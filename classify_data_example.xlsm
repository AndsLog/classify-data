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1600" windowHeight="9690" tabRatio="961"/>
  </bookViews>
  <sheets>
    <sheet name="客戶明細" sheetId="7" r:id="rId1"/>
    <sheet name="帳齡分析_驗算" sheetId="4" r:id="rId2"/>
    <sheet name="作法V" sheetId="6" state="hidden" r:id="rId3"/>
  </sheets>
  <functionGroups builtInGroupCount="18"/>
  <externalReferences>
    <externalReference r:id="rId4"/>
  </externalReferences>
  <definedNames>
    <definedName name="_xlnm._FilterDatabase" localSheetId="0" hidden="1">客戶明細!$A$1:$K$180</definedName>
    <definedName name="Z_33918BA4_ABCF_42C9_BCF3_B26AD863E4BB_.wvu.FilterData" localSheetId="0" hidden="1">客戶明細!$A$1:$K$180</definedName>
  </definedNames>
  <calcPr calcId="152511"/>
  <customWorkbookViews>
    <customWorkbookView name="forsterlin - 個人檢視畫面" guid="{33918BA4-ABCF-42C9-BCF3-B26AD863E4BB}" mergeInterval="0" personalView="1" maximized="1" xWindow="1" yWindow="1" windowWidth="1362" windowHeight="502" activeSheetId="1"/>
  </customWorkbookViews>
</workbook>
</file>

<file path=xl/calcChain.xml><?xml version="1.0" encoding="utf-8"?>
<calcChain xmlns="http://schemas.openxmlformats.org/spreadsheetml/2006/main">
  <c r="H2895" i="7" l="1"/>
  <c r="G2895" i="7"/>
  <c r="K2894" i="7"/>
  <c r="J2894" i="7"/>
  <c r="L2894" i="7" s="1"/>
  <c r="L2893" i="7"/>
  <c r="J2893" i="7"/>
  <c r="K2893" i="7" s="1"/>
  <c r="L2892" i="7"/>
  <c r="K2892" i="7"/>
  <c r="J2892" i="7"/>
  <c r="K2891" i="7"/>
  <c r="J2891" i="7"/>
  <c r="L2891" i="7" s="1"/>
  <c r="K2890" i="7"/>
  <c r="J2890" i="7"/>
  <c r="L2890" i="7" s="1"/>
  <c r="L2889" i="7"/>
  <c r="J2889" i="7"/>
  <c r="K2889" i="7" s="1"/>
  <c r="L2888" i="7"/>
  <c r="K2888" i="7"/>
  <c r="J2888" i="7"/>
  <c r="K2887" i="7"/>
  <c r="J2887" i="7"/>
  <c r="L2887" i="7" s="1"/>
  <c r="K2886" i="7"/>
  <c r="J2886" i="7"/>
  <c r="L2886" i="7" s="1"/>
  <c r="L2885" i="7"/>
  <c r="J2885" i="7"/>
  <c r="K2885" i="7" s="1"/>
  <c r="L2884" i="7"/>
  <c r="K2884" i="7"/>
  <c r="J2884" i="7"/>
  <c r="K2883" i="7"/>
  <c r="J2883" i="7"/>
  <c r="L2883" i="7" s="1"/>
  <c r="K2882" i="7"/>
  <c r="J2882" i="7"/>
  <c r="L2882" i="7" s="1"/>
  <c r="L2881" i="7"/>
  <c r="J2881" i="7"/>
  <c r="K2881" i="7" s="1"/>
  <c r="L2880" i="7"/>
  <c r="K2880" i="7"/>
  <c r="J2880" i="7"/>
  <c r="L2879" i="7"/>
  <c r="K2879" i="7"/>
  <c r="J2879" i="7"/>
  <c r="K2878" i="7"/>
  <c r="J2878" i="7"/>
  <c r="L2878" i="7" s="1"/>
  <c r="L2877" i="7"/>
  <c r="J2877" i="7"/>
  <c r="K2877" i="7" s="1"/>
  <c r="L2876" i="7"/>
  <c r="K2876" i="7"/>
  <c r="J2876" i="7"/>
  <c r="K2875" i="7"/>
  <c r="J2875" i="7"/>
  <c r="L2875" i="7" s="1"/>
  <c r="K2874" i="7"/>
  <c r="J2874" i="7"/>
  <c r="L2874" i="7" s="1"/>
  <c r="L2873" i="7"/>
  <c r="J2873" i="7"/>
  <c r="K2873" i="7" s="1"/>
  <c r="L2872" i="7"/>
  <c r="K2872" i="7"/>
  <c r="J2872" i="7"/>
  <c r="L2871" i="7"/>
  <c r="K2871" i="7"/>
  <c r="J2871" i="7"/>
  <c r="K2870" i="7"/>
  <c r="J2870" i="7"/>
  <c r="L2870" i="7" s="1"/>
  <c r="L2869" i="7"/>
  <c r="J2869" i="7"/>
  <c r="K2869" i="7" s="1"/>
  <c r="L2868" i="7"/>
  <c r="K2868" i="7"/>
  <c r="J2868" i="7"/>
  <c r="K2867" i="7"/>
  <c r="J2867" i="7"/>
  <c r="L2867" i="7" s="1"/>
  <c r="K2866" i="7"/>
  <c r="J2866" i="7"/>
  <c r="L2866" i="7" s="1"/>
  <c r="L2865" i="7"/>
  <c r="J2865" i="7"/>
  <c r="K2865" i="7" s="1"/>
  <c r="L2864" i="7"/>
  <c r="K2864" i="7"/>
  <c r="J2864" i="7"/>
  <c r="L2863" i="7"/>
  <c r="K2863" i="7"/>
  <c r="J2863" i="7"/>
  <c r="K2862" i="7"/>
  <c r="J2862" i="7"/>
  <c r="L2862" i="7" s="1"/>
  <c r="L2861" i="7"/>
  <c r="J2861" i="7"/>
  <c r="K2861" i="7" s="1"/>
  <c r="L2860" i="7"/>
  <c r="K2860" i="7"/>
  <c r="J2860" i="7"/>
  <c r="K2859" i="7"/>
  <c r="J2859" i="7"/>
  <c r="L2859" i="7" s="1"/>
  <c r="K2858" i="7"/>
  <c r="J2858" i="7"/>
  <c r="L2858" i="7" s="1"/>
  <c r="L2857" i="7"/>
  <c r="J2857" i="7"/>
  <c r="K2857" i="7" s="1"/>
  <c r="L2856" i="7"/>
  <c r="K2856" i="7"/>
  <c r="J2856" i="7"/>
  <c r="L2855" i="7"/>
  <c r="K2855" i="7"/>
  <c r="J2855" i="7"/>
  <c r="K2854" i="7"/>
  <c r="J2854" i="7"/>
  <c r="L2854" i="7" s="1"/>
  <c r="L2853" i="7"/>
  <c r="J2853" i="7"/>
  <c r="K2853" i="7" s="1"/>
  <c r="L2852" i="7"/>
  <c r="K2852" i="7"/>
  <c r="J2852" i="7"/>
  <c r="K2851" i="7"/>
  <c r="J2851" i="7"/>
  <c r="L2851" i="7" s="1"/>
  <c r="K2850" i="7"/>
  <c r="J2850" i="7"/>
  <c r="L2850" i="7" s="1"/>
  <c r="L2849" i="7"/>
  <c r="J2849" i="7"/>
  <c r="K2849" i="7" s="1"/>
  <c r="L2848" i="7"/>
  <c r="K2848" i="7"/>
  <c r="J2848" i="7"/>
  <c r="K2847" i="7"/>
  <c r="J2847" i="7"/>
  <c r="L2847" i="7" s="1"/>
  <c r="K2846" i="7"/>
  <c r="J2846" i="7"/>
  <c r="L2846" i="7" s="1"/>
  <c r="L2845" i="7"/>
  <c r="J2845" i="7"/>
  <c r="K2845" i="7" s="1"/>
  <c r="L2844" i="7"/>
  <c r="K2844" i="7"/>
  <c r="J2844" i="7"/>
  <c r="L2843" i="7"/>
  <c r="K2843" i="7"/>
  <c r="J2843" i="7"/>
  <c r="J2842" i="7"/>
  <c r="L2842" i="7" s="1"/>
  <c r="L2841" i="7"/>
  <c r="J2841" i="7"/>
  <c r="K2841" i="7" s="1"/>
  <c r="L2840" i="7"/>
  <c r="K2840" i="7"/>
  <c r="J2840" i="7"/>
  <c r="J2839" i="7"/>
  <c r="K2839" i="7" s="1"/>
  <c r="K2838" i="7"/>
  <c r="J2838" i="7"/>
  <c r="L2838" i="7" s="1"/>
  <c r="J2837" i="7"/>
  <c r="K2837" i="7" s="1"/>
  <c r="L2836" i="7"/>
  <c r="K2836" i="7"/>
  <c r="J2836" i="7"/>
  <c r="L2835" i="7"/>
  <c r="K2835" i="7"/>
  <c r="J2835" i="7"/>
  <c r="J2834" i="7"/>
  <c r="L2834" i="7" s="1"/>
  <c r="L2833" i="7"/>
  <c r="J2833" i="7"/>
  <c r="K2833" i="7" s="1"/>
  <c r="L2832" i="7"/>
  <c r="K2832" i="7"/>
  <c r="J2832" i="7"/>
  <c r="J2831" i="7"/>
  <c r="K2831" i="7" s="1"/>
  <c r="K2830" i="7"/>
  <c r="J2830" i="7"/>
  <c r="L2830" i="7" s="1"/>
  <c r="J2829" i="7"/>
  <c r="K2829" i="7" s="1"/>
  <c r="L2828" i="7"/>
  <c r="K2828" i="7"/>
  <c r="J2828" i="7"/>
  <c r="L2827" i="7"/>
  <c r="K2827" i="7"/>
  <c r="J2827" i="7"/>
  <c r="J2826" i="7"/>
  <c r="L2826" i="7" s="1"/>
  <c r="L2825" i="7"/>
  <c r="J2825" i="7"/>
  <c r="K2825" i="7" s="1"/>
  <c r="L2824" i="7"/>
  <c r="K2824" i="7"/>
  <c r="J2824" i="7"/>
  <c r="J2823" i="7"/>
  <c r="K2823" i="7" s="1"/>
  <c r="K2822" i="7"/>
  <c r="J2822" i="7"/>
  <c r="L2822" i="7" s="1"/>
  <c r="J2821" i="7"/>
  <c r="K2821" i="7" s="1"/>
  <c r="L2820" i="7"/>
  <c r="K2820" i="7"/>
  <c r="J2820" i="7"/>
  <c r="L2819" i="7"/>
  <c r="K2819" i="7"/>
  <c r="J2819" i="7"/>
  <c r="J2818" i="7"/>
  <c r="L2818" i="7" s="1"/>
  <c r="L2817" i="7"/>
  <c r="J2817" i="7"/>
  <c r="K2817" i="7" s="1"/>
  <c r="L2816" i="7"/>
  <c r="K2816" i="7"/>
  <c r="J2816" i="7"/>
  <c r="J2815" i="7"/>
  <c r="K2815" i="7" s="1"/>
  <c r="K2814" i="7"/>
  <c r="J2814" i="7"/>
  <c r="L2814" i="7" s="1"/>
  <c r="J2813" i="7"/>
  <c r="K2813" i="7" s="1"/>
  <c r="L2812" i="7"/>
  <c r="K2812" i="7"/>
  <c r="J2812" i="7"/>
  <c r="L2811" i="7"/>
  <c r="K2811" i="7"/>
  <c r="J2811" i="7"/>
  <c r="J2810" i="7"/>
  <c r="L2810" i="7" s="1"/>
  <c r="L2809" i="7"/>
  <c r="J2809" i="7"/>
  <c r="K2809" i="7" s="1"/>
  <c r="L2808" i="7"/>
  <c r="K2808" i="7"/>
  <c r="J2808" i="7"/>
  <c r="J2807" i="7"/>
  <c r="K2807" i="7" s="1"/>
  <c r="K2806" i="7"/>
  <c r="J2806" i="7"/>
  <c r="L2806" i="7" s="1"/>
  <c r="J2805" i="7"/>
  <c r="K2805" i="7" s="1"/>
  <c r="L2804" i="7"/>
  <c r="K2804" i="7"/>
  <c r="J2804" i="7"/>
  <c r="L2803" i="7"/>
  <c r="K2803" i="7"/>
  <c r="J2803" i="7"/>
  <c r="J2802" i="7"/>
  <c r="L2802" i="7" s="1"/>
  <c r="L2801" i="7"/>
  <c r="J2801" i="7"/>
  <c r="K2801" i="7" s="1"/>
  <c r="L2800" i="7"/>
  <c r="K2800" i="7"/>
  <c r="J2800" i="7"/>
  <c r="J2799" i="7"/>
  <c r="K2799" i="7" s="1"/>
  <c r="K2798" i="7"/>
  <c r="J2798" i="7"/>
  <c r="L2798" i="7" s="1"/>
  <c r="J2797" i="7"/>
  <c r="K2797" i="7" s="1"/>
  <c r="L2796" i="7"/>
  <c r="K2796" i="7"/>
  <c r="J2796" i="7"/>
  <c r="L2795" i="7"/>
  <c r="K2795" i="7"/>
  <c r="J2795" i="7"/>
  <c r="J2794" i="7"/>
  <c r="L2794" i="7" s="1"/>
  <c r="L2793" i="7"/>
  <c r="J2793" i="7"/>
  <c r="K2793" i="7" s="1"/>
  <c r="L2792" i="7"/>
  <c r="K2792" i="7"/>
  <c r="J2792" i="7"/>
  <c r="J2791" i="7"/>
  <c r="K2791" i="7" s="1"/>
  <c r="K2790" i="7"/>
  <c r="J2790" i="7"/>
  <c r="L2790" i="7" s="1"/>
  <c r="J2789" i="7"/>
  <c r="K2789" i="7" s="1"/>
  <c r="L2788" i="7"/>
  <c r="K2788" i="7"/>
  <c r="J2788" i="7"/>
  <c r="L2787" i="7"/>
  <c r="K2787" i="7"/>
  <c r="J2787" i="7"/>
  <c r="J2786" i="7"/>
  <c r="L2786" i="7" s="1"/>
  <c r="L2785" i="7"/>
  <c r="J2785" i="7"/>
  <c r="K2785" i="7" s="1"/>
  <c r="L2784" i="7"/>
  <c r="K2784" i="7"/>
  <c r="J2784" i="7"/>
  <c r="J2783" i="7"/>
  <c r="K2783" i="7" s="1"/>
  <c r="K2782" i="7"/>
  <c r="J2782" i="7"/>
  <c r="L2782" i="7" s="1"/>
  <c r="J2781" i="7"/>
  <c r="K2781" i="7" s="1"/>
  <c r="L2780" i="7"/>
  <c r="K2780" i="7"/>
  <c r="J2780" i="7"/>
  <c r="L2779" i="7"/>
  <c r="K2779" i="7"/>
  <c r="J2779" i="7"/>
  <c r="J2778" i="7"/>
  <c r="L2778" i="7" s="1"/>
  <c r="L2777" i="7"/>
  <c r="J2777" i="7"/>
  <c r="K2777" i="7" s="1"/>
  <c r="L2776" i="7"/>
  <c r="K2776" i="7"/>
  <c r="J2776" i="7"/>
  <c r="J2775" i="7"/>
  <c r="K2775" i="7" s="1"/>
  <c r="K2774" i="7"/>
  <c r="J2774" i="7"/>
  <c r="L2774" i="7" s="1"/>
  <c r="J2773" i="7"/>
  <c r="K2773" i="7" s="1"/>
  <c r="L2772" i="7"/>
  <c r="K2772" i="7"/>
  <c r="J2772" i="7"/>
  <c r="L2771" i="7"/>
  <c r="K2771" i="7"/>
  <c r="J2771" i="7"/>
  <c r="J2770" i="7"/>
  <c r="L2769" i="7"/>
  <c r="J2769" i="7"/>
  <c r="K2769" i="7" s="1"/>
  <c r="L2768" i="7"/>
  <c r="K2768" i="7"/>
  <c r="J2768" i="7"/>
  <c r="J2767" i="7"/>
  <c r="K2766" i="7"/>
  <c r="J2766" i="7"/>
  <c r="L2766" i="7" s="1"/>
  <c r="J2765" i="7"/>
  <c r="L2764" i="7"/>
  <c r="K2764" i="7"/>
  <c r="J2764" i="7"/>
  <c r="L2763" i="7"/>
  <c r="K2763" i="7"/>
  <c r="J2763" i="7"/>
  <c r="J2762" i="7"/>
  <c r="L2761" i="7"/>
  <c r="J2761" i="7"/>
  <c r="K2761" i="7" s="1"/>
  <c r="L2760" i="7"/>
  <c r="K2760" i="7"/>
  <c r="J2760" i="7"/>
  <c r="J2759" i="7"/>
  <c r="K2758" i="7"/>
  <c r="J2758" i="7"/>
  <c r="L2758" i="7" s="1"/>
  <c r="J2757" i="7"/>
  <c r="L2756" i="7"/>
  <c r="K2756" i="7"/>
  <c r="J2756" i="7"/>
  <c r="L2755" i="7"/>
  <c r="K2755" i="7"/>
  <c r="J2755" i="7"/>
  <c r="J2754" i="7"/>
  <c r="L2753" i="7"/>
  <c r="J2753" i="7"/>
  <c r="K2753" i="7" s="1"/>
  <c r="L2752" i="7"/>
  <c r="K2752" i="7"/>
  <c r="J2752" i="7"/>
  <c r="J2751" i="7"/>
  <c r="K2750" i="7"/>
  <c r="J2750" i="7"/>
  <c r="L2750" i="7" s="1"/>
  <c r="J2749" i="7"/>
  <c r="L2748" i="7"/>
  <c r="K2748" i="7"/>
  <c r="J2748" i="7"/>
  <c r="L2747" i="7"/>
  <c r="K2747" i="7"/>
  <c r="J2747" i="7"/>
  <c r="J2746" i="7"/>
  <c r="L2745" i="7"/>
  <c r="J2745" i="7"/>
  <c r="K2745" i="7" s="1"/>
  <c r="L2744" i="7"/>
  <c r="K2744" i="7"/>
  <c r="J2744" i="7"/>
  <c r="J2743" i="7"/>
  <c r="K2742" i="7"/>
  <c r="J2742" i="7"/>
  <c r="L2742" i="7" s="1"/>
  <c r="J2741" i="7"/>
  <c r="L2740" i="7"/>
  <c r="K2740" i="7"/>
  <c r="J2740" i="7"/>
  <c r="L2739" i="7"/>
  <c r="K2739" i="7"/>
  <c r="J2739" i="7"/>
  <c r="J2738" i="7"/>
  <c r="L2737" i="7"/>
  <c r="J2737" i="7"/>
  <c r="K2737" i="7" s="1"/>
  <c r="L2736" i="7"/>
  <c r="K2736" i="7"/>
  <c r="J2736" i="7"/>
  <c r="J2735" i="7"/>
  <c r="K2734" i="7"/>
  <c r="J2734" i="7"/>
  <c r="L2734" i="7" s="1"/>
  <c r="J2733" i="7"/>
  <c r="L2732" i="7"/>
  <c r="K2732" i="7"/>
  <c r="J2732" i="7"/>
  <c r="L2731" i="7"/>
  <c r="K2731" i="7"/>
  <c r="J2731" i="7"/>
  <c r="J2730" i="7"/>
  <c r="J2729" i="7"/>
  <c r="L2728" i="7"/>
  <c r="K2728" i="7"/>
  <c r="J2728" i="7"/>
  <c r="L2727" i="7"/>
  <c r="J2727" i="7"/>
  <c r="K2727" i="7" s="1"/>
  <c r="J2726" i="7"/>
  <c r="L2726" i="7" s="1"/>
  <c r="K2725" i="7"/>
  <c r="J2725" i="7"/>
  <c r="L2725" i="7" s="1"/>
  <c r="J2724" i="7"/>
  <c r="K2724" i="7" s="1"/>
  <c r="L2723" i="7"/>
  <c r="K2723" i="7"/>
  <c r="J2723" i="7"/>
  <c r="L2722" i="7"/>
  <c r="K2722" i="7"/>
  <c r="J2722" i="7"/>
  <c r="J2721" i="7"/>
  <c r="L2721" i="7" s="1"/>
  <c r="L2720" i="7"/>
  <c r="J2720" i="7"/>
  <c r="K2720" i="7" s="1"/>
  <c r="L2719" i="7"/>
  <c r="K2719" i="7"/>
  <c r="J2719" i="7"/>
  <c r="J2718" i="7"/>
  <c r="K2718" i="7" s="1"/>
  <c r="K2717" i="7"/>
  <c r="J2717" i="7"/>
  <c r="L2717" i="7" s="1"/>
  <c r="J2716" i="7"/>
  <c r="K2716" i="7" s="1"/>
  <c r="L2715" i="7"/>
  <c r="K2715" i="7"/>
  <c r="J2715" i="7"/>
  <c r="L2714" i="7"/>
  <c r="K2714" i="7"/>
  <c r="J2714" i="7"/>
  <c r="J2713" i="7"/>
  <c r="L2713" i="7" s="1"/>
  <c r="L2712" i="7"/>
  <c r="J2712" i="7"/>
  <c r="K2712" i="7" s="1"/>
  <c r="L2711" i="7"/>
  <c r="K2711" i="7"/>
  <c r="J2711" i="7"/>
  <c r="J2710" i="7"/>
  <c r="K2710" i="7" s="1"/>
  <c r="K2709" i="7"/>
  <c r="J2709" i="7"/>
  <c r="L2709" i="7" s="1"/>
  <c r="J2708" i="7"/>
  <c r="K2708" i="7" s="1"/>
  <c r="L2707" i="7"/>
  <c r="K2707" i="7"/>
  <c r="J2707" i="7"/>
  <c r="L2706" i="7"/>
  <c r="K2706" i="7"/>
  <c r="J2706" i="7"/>
  <c r="J2705" i="7"/>
  <c r="L2705" i="7" s="1"/>
  <c r="L2704" i="7"/>
  <c r="J2704" i="7"/>
  <c r="K2704" i="7" s="1"/>
  <c r="L2703" i="7"/>
  <c r="K2703" i="7"/>
  <c r="J2703" i="7"/>
  <c r="J2702" i="7"/>
  <c r="K2702" i="7" s="1"/>
  <c r="K2701" i="7"/>
  <c r="J2701" i="7"/>
  <c r="L2701" i="7" s="1"/>
  <c r="J2700" i="7"/>
  <c r="K2700" i="7" s="1"/>
  <c r="L2699" i="7"/>
  <c r="K2699" i="7"/>
  <c r="J2699" i="7"/>
  <c r="L2698" i="7"/>
  <c r="K2698" i="7"/>
  <c r="J2698" i="7"/>
  <c r="J2697" i="7"/>
  <c r="L2697" i="7" s="1"/>
  <c r="L2696" i="7"/>
  <c r="J2696" i="7"/>
  <c r="K2696" i="7" s="1"/>
  <c r="L2695" i="7"/>
  <c r="K2695" i="7"/>
  <c r="J2695" i="7"/>
  <c r="J2694" i="7"/>
  <c r="K2694" i="7" s="1"/>
  <c r="K2693" i="7"/>
  <c r="J2693" i="7"/>
  <c r="L2693" i="7" s="1"/>
  <c r="J2692" i="7"/>
  <c r="K2692" i="7" s="1"/>
  <c r="L2691" i="7"/>
  <c r="K2691" i="7"/>
  <c r="J2691" i="7"/>
  <c r="L2690" i="7"/>
  <c r="K2690" i="7"/>
  <c r="J2690" i="7"/>
  <c r="J2689" i="7"/>
  <c r="L2689" i="7" s="1"/>
  <c r="L2688" i="7"/>
  <c r="J2688" i="7"/>
  <c r="K2688" i="7" s="1"/>
  <c r="L2687" i="7"/>
  <c r="K2687" i="7"/>
  <c r="J2687" i="7"/>
  <c r="J2686" i="7"/>
  <c r="K2686" i="7" s="1"/>
  <c r="K2685" i="7"/>
  <c r="J2685" i="7"/>
  <c r="L2685" i="7" s="1"/>
  <c r="J2684" i="7"/>
  <c r="K2684" i="7" s="1"/>
  <c r="L2683" i="7"/>
  <c r="K2683" i="7"/>
  <c r="J2683" i="7"/>
  <c r="L2682" i="7"/>
  <c r="K2682" i="7"/>
  <c r="J2682" i="7"/>
  <c r="J2681" i="7"/>
  <c r="L2681" i="7" s="1"/>
  <c r="L2680" i="7"/>
  <c r="J2680" i="7"/>
  <c r="K2680" i="7" s="1"/>
  <c r="L2679" i="7"/>
  <c r="K2679" i="7"/>
  <c r="J2679" i="7"/>
  <c r="J2678" i="7"/>
  <c r="K2678" i="7" s="1"/>
  <c r="K2677" i="7"/>
  <c r="J2677" i="7"/>
  <c r="L2677" i="7" s="1"/>
  <c r="J2676" i="7"/>
  <c r="K2676" i="7" s="1"/>
  <c r="L2675" i="7"/>
  <c r="K2675" i="7"/>
  <c r="J2675" i="7"/>
  <c r="L2674" i="7"/>
  <c r="K2674" i="7"/>
  <c r="J2674" i="7"/>
  <c r="J2673" i="7"/>
  <c r="L2673" i="7" s="1"/>
  <c r="L2672" i="7"/>
  <c r="J2672" i="7"/>
  <c r="K2672" i="7" s="1"/>
  <c r="L2671" i="7"/>
  <c r="K2671" i="7"/>
  <c r="J2671" i="7"/>
  <c r="J2670" i="7"/>
  <c r="K2670" i="7" s="1"/>
  <c r="K2669" i="7"/>
  <c r="J2669" i="7"/>
  <c r="L2669" i="7" s="1"/>
  <c r="J2668" i="7"/>
  <c r="K2668" i="7" s="1"/>
  <c r="L2667" i="7"/>
  <c r="K2667" i="7"/>
  <c r="J2667" i="7"/>
  <c r="L2666" i="7"/>
  <c r="K2666" i="7"/>
  <c r="J2666" i="7"/>
  <c r="J2665" i="7"/>
  <c r="L2665" i="7" s="1"/>
  <c r="L2664" i="7"/>
  <c r="J2664" i="7"/>
  <c r="K2664" i="7" s="1"/>
  <c r="L2663" i="7"/>
  <c r="K2663" i="7"/>
  <c r="J2663" i="7"/>
  <c r="J2662" i="7"/>
  <c r="K2662" i="7" s="1"/>
  <c r="K2661" i="7"/>
  <c r="J2661" i="7"/>
  <c r="L2661" i="7" s="1"/>
  <c r="J2660" i="7"/>
  <c r="K2660" i="7" s="1"/>
  <c r="L2659" i="7"/>
  <c r="K2659" i="7"/>
  <c r="J2659" i="7"/>
  <c r="L2658" i="7"/>
  <c r="K2658" i="7"/>
  <c r="J2658" i="7"/>
  <c r="J2657" i="7"/>
  <c r="L2657" i="7" s="1"/>
  <c r="L2656" i="7"/>
  <c r="J2656" i="7"/>
  <c r="K2656" i="7" s="1"/>
  <c r="L2655" i="7"/>
  <c r="K2655" i="7"/>
  <c r="J2655" i="7"/>
  <c r="J2654" i="7"/>
  <c r="K2654" i="7" s="1"/>
  <c r="K2653" i="7"/>
  <c r="J2653" i="7"/>
  <c r="L2653" i="7" s="1"/>
  <c r="J2652" i="7"/>
  <c r="K2652" i="7" s="1"/>
  <c r="L2651" i="7"/>
  <c r="K2651" i="7"/>
  <c r="J2651" i="7"/>
  <c r="L2650" i="7"/>
  <c r="K2650" i="7"/>
  <c r="J2650" i="7"/>
  <c r="J2649" i="7"/>
  <c r="L2649" i="7" s="1"/>
  <c r="L2648" i="7"/>
  <c r="J2648" i="7"/>
  <c r="K2648" i="7" s="1"/>
  <c r="L2647" i="7"/>
  <c r="K2647" i="7"/>
  <c r="J2647" i="7"/>
  <c r="J2646" i="7"/>
  <c r="K2646" i="7" s="1"/>
  <c r="K2645" i="7"/>
  <c r="J2645" i="7"/>
  <c r="L2645" i="7" s="1"/>
  <c r="J2644" i="7"/>
  <c r="J2643" i="7"/>
  <c r="K2643" i="7" s="1"/>
  <c r="L2642" i="7"/>
  <c r="K2642" i="7"/>
  <c r="J2642" i="7"/>
  <c r="L2641" i="7"/>
  <c r="K2641" i="7"/>
  <c r="J2641" i="7"/>
  <c r="J2640" i="7"/>
  <c r="J2639" i="7"/>
  <c r="K2639" i="7" s="1"/>
  <c r="L2638" i="7"/>
  <c r="K2638" i="7"/>
  <c r="J2638" i="7"/>
  <c r="L2637" i="7"/>
  <c r="K2637" i="7"/>
  <c r="J2637" i="7"/>
  <c r="J2636" i="7"/>
  <c r="J2635" i="7"/>
  <c r="K2635" i="7" s="1"/>
  <c r="L2634" i="7"/>
  <c r="K2634" i="7"/>
  <c r="J2634" i="7"/>
  <c r="L2633" i="7"/>
  <c r="K2633" i="7"/>
  <c r="J2633" i="7"/>
  <c r="J2632" i="7"/>
  <c r="J2631" i="7"/>
  <c r="K2631" i="7" s="1"/>
  <c r="L2630" i="7"/>
  <c r="K2630" i="7"/>
  <c r="J2630" i="7"/>
  <c r="L2629" i="7"/>
  <c r="K2629" i="7"/>
  <c r="J2629" i="7"/>
  <c r="J2628" i="7"/>
  <c r="J2627" i="7"/>
  <c r="K2627" i="7" s="1"/>
  <c r="L2626" i="7"/>
  <c r="K2626" i="7"/>
  <c r="J2626" i="7"/>
  <c r="L2625" i="7"/>
  <c r="K2625" i="7"/>
  <c r="J2625" i="7"/>
  <c r="J2624" i="7"/>
  <c r="J2623" i="7"/>
  <c r="K2623" i="7" s="1"/>
  <c r="L2622" i="7"/>
  <c r="K2622" i="7"/>
  <c r="J2622" i="7"/>
  <c r="L2621" i="7"/>
  <c r="K2621" i="7"/>
  <c r="J2621" i="7"/>
  <c r="J2620" i="7"/>
  <c r="J2619" i="7"/>
  <c r="K2619" i="7" s="1"/>
  <c r="L2618" i="7"/>
  <c r="K2618" i="7"/>
  <c r="J2618" i="7"/>
  <c r="L2617" i="7"/>
  <c r="K2617" i="7"/>
  <c r="J2617" i="7"/>
  <c r="J2616" i="7"/>
  <c r="J2615" i="7"/>
  <c r="K2615" i="7" s="1"/>
  <c r="L2614" i="7"/>
  <c r="K2614" i="7"/>
  <c r="J2614" i="7"/>
  <c r="L2613" i="7"/>
  <c r="K2613" i="7"/>
  <c r="J2613" i="7"/>
  <c r="J2612" i="7"/>
  <c r="J2611" i="7"/>
  <c r="K2611" i="7" s="1"/>
  <c r="L2610" i="7"/>
  <c r="K2610" i="7"/>
  <c r="J2610" i="7"/>
  <c r="L2609" i="7"/>
  <c r="K2609" i="7"/>
  <c r="J2609" i="7"/>
  <c r="J2608" i="7"/>
  <c r="J2607" i="7"/>
  <c r="K2607" i="7" s="1"/>
  <c r="L2606" i="7"/>
  <c r="K2606" i="7"/>
  <c r="J2606" i="7"/>
  <c r="L2605" i="7"/>
  <c r="K2605" i="7"/>
  <c r="J2605" i="7"/>
  <c r="J2604" i="7"/>
  <c r="J2603" i="7"/>
  <c r="K2603" i="7" s="1"/>
  <c r="L2602" i="7"/>
  <c r="K2602" i="7"/>
  <c r="J2602" i="7"/>
  <c r="L2601" i="7"/>
  <c r="K2601" i="7"/>
  <c r="J2601" i="7"/>
  <c r="J2600" i="7"/>
  <c r="J2599" i="7"/>
  <c r="K2599" i="7" s="1"/>
  <c r="L2598" i="7"/>
  <c r="K2598" i="7"/>
  <c r="J2598" i="7"/>
  <c r="L2597" i="7"/>
  <c r="K2597" i="7"/>
  <c r="J2597" i="7"/>
  <c r="J2596" i="7"/>
  <c r="J2595" i="7"/>
  <c r="K2595" i="7" s="1"/>
  <c r="L2594" i="7"/>
  <c r="K2594" i="7"/>
  <c r="J2594" i="7"/>
  <c r="L2593" i="7"/>
  <c r="K2593" i="7"/>
  <c r="J2593" i="7"/>
  <c r="K2592" i="7"/>
  <c r="J2592" i="7"/>
  <c r="L2592" i="7" s="1"/>
  <c r="J2591" i="7"/>
  <c r="L2590" i="7"/>
  <c r="K2590" i="7"/>
  <c r="J2590" i="7"/>
  <c r="L2589" i="7"/>
  <c r="K2589" i="7"/>
  <c r="J2589" i="7"/>
  <c r="J2588" i="7"/>
  <c r="J2587" i="7"/>
  <c r="L2586" i="7"/>
  <c r="K2586" i="7"/>
  <c r="J2586" i="7"/>
  <c r="L2585" i="7"/>
  <c r="K2585" i="7"/>
  <c r="J2585" i="7"/>
  <c r="K2584" i="7"/>
  <c r="J2584" i="7"/>
  <c r="L2584" i="7" s="1"/>
  <c r="J2583" i="7"/>
  <c r="L2582" i="7"/>
  <c r="K2582" i="7"/>
  <c r="J2582" i="7"/>
  <c r="L2581" i="7"/>
  <c r="K2581" i="7"/>
  <c r="J2581" i="7"/>
  <c r="J2580" i="7"/>
  <c r="J2579" i="7"/>
  <c r="L2578" i="7"/>
  <c r="K2578" i="7"/>
  <c r="J2578" i="7"/>
  <c r="L2577" i="7"/>
  <c r="K2577" i="7"/>
  <c r="J2577" i="7"/>
  <c r="K2576" i="7"/>
  <c r="J2576" i="7"/>
  <c r="L2576" i="7" s="1"/>
  <c r="J2575" i="7"/>
  <c r="L2574" i="7"/>
  <c r="K2574" i="7"/>
  <c r="J2574" i="7"/>
  <c r="L2573" i="7"/>
  <c r="K2573" i="7"/>
  <c r="J2573" i="7"/>
  <c r="J2572" i="7"/>
  <c r="J2571" i="7"/>
  <c r="L2570" i="7"/>
  <c r="K2570" i="7"/>
  <c r="J2570" i="7"/>
  <c r="L2569" i="7"/>
  <c r="K2569" i="7"/>
  <c r="J2569" i="7"/>
  <c r="K2568" i="7"/>
  <c r="J2568" i="7"/>
  <c r="L2568" i="7" s="1"/>
  <c r="J2567" i="7"/>
  <c r="L2566" i="7"/>
  <c r="K2566" i="7"/>
  <c r="J2566" i="7"/>
  <c r="L2565" i="7"/>
  <c r="K2565" i="7"/>
  <c r="J2565" i="7"/>
  <c r="J2564" i="7"/>
  <c r="J2563" i="7"/>
  <c r="L2562" i="7"/>
  <c r="K2562" i="7"/>
  <c r="J2562" i="7"/>
  <c r="L2561" i="7"/>
  <c r="K2561" i="7"/>
  <c r="J2561" i="7"/>
  <c r="K2560" i="7"/>
  <c r="J2560" i="7"/>
  <c r="L2560" i="7" s="1"/>
  <c r="J2559" i="7"/>
  <c r="L2558" i="7"/>
  <c r="K2558" i="7"/>
  <c r="J2558" i="7"/>
  <c r="L2557" i="7"/>
  <c r="K2557" i="7"/>
  <c r="J2557" i="7"/>
  <c r="J2556" i="7"/>
  <c r="J2555" i="7"/>
  <c r="L2554" i="7"/>
  <c r="K2554" i="7"/>
  <c r="J2554" i="7"/>
  <c r="L2553" i="7"/>
  <c r="K2553" i="7"/>
  <c r="J2553" i="7"/>
  <c r="K2552" i="7"/>
  <c r="J2552" i="7"/>
  <c r="L2552" i="7" s="1"/>
  <c r="J2551" i="7"/>
  <c r="L2550" i="7"/>
  <c r="K2550" i="7"/>
  <c r="J2550" i="7"/>
  <c r="L2549" i="7"/>
  <c r="K2549" i="7"/>
  <c r="J2549" i="7"/>
  <c r="J2548" i="7"/>
  <c r="J2547" i="7"/>
  <c r="L2546" i="7"/>
  <c r="K2546" i="7"/>
  <c r="J2546" i="7"/>
  <c r="L2545" i="7"/>
  <c r="K2545" i="7"/>
  <c r="J2545" i="7"/>
  <c r="K2544" i="7"/>
  <c r="J2544" i="7"/>
  <c r="L2544" i="7" s="1"/>
  <c r="J2543" i="7"/>
  <c r="L2542" i="7"/>
  <c r="K2542" i="7"/>
  <c r="J2542" i="7"/>
  <c r="L2541" i="7"/>
  <c r="K2541" i="7"/>
  <c r="J2541" i="7"/>
  <c r="J2540" i="7"/>
  <c r="J2539" i="7"/>
  <c r="L2538" i="7"/>
  <c r="K2538" i="7"/>
  <c r="J2538" i="7"/>
  <c r="L2537" i="7"/>
  <c r="K2537" i="7"/>
  <c r="J2537" i="7"/>
  <c r="K2536" i="7"/>
  <c r="J2536" i="7"/>
  <c r="L2536" i="7" s="1"/>
  <c r="J2535" i="7"/>
  <c r="L2534" i="7"/>
  <c r="K2534" i="7"/>
  <c r="J2534" i="7"/>
  <c r="L2533" i="7"/>
  <c r="K2533" i="7"/>
  <c r="J2533" i="7"/>
  <c r="J2532" i="7"/>
  <c r="J2531" i="7"/>
  <c r="L2530" i="7"/>
  <c r="K2530" i="7"/>
  <c r="J2530" i="7"/>
  <c r="L2529" i="7"/>
  <c r="K2529" i="7"/>
  <c r="J2529" i="7"/>
  <c r="K2528" i="7"/>
  <c r="J2528" i="7"/>
  <c r="L2528" i="7" s="1"/>
  <c r="J2527" i="7"/>
  <c r="L2526" i="7"/>
  <c r="K2526" i="7"/>
  <c r="J2526" i="7"/>
  <c r="L2525" i="7"/>
  <c r="K2525" i="7"/>
  <c r="J2525" i="7"/>
  <c r="J2524" i="7"/>
  <c r="J2523" i="7"/>
  <c r="L2522" i="7"/>
  <c r="K2522" i="7"/>
  <c r="J2522" i="7"/>
  <c r="L2521" i="7"/>
  <c r="J2521" i="7"/>
  <c r="K2521" i="7" s="1"/>
  <c r="J2520" i="7"/>
  <c r="J2519" i="7"/>
  <c r="L2518" i="7"/>
  <c r="K2518" i="7"/>
  <c r="J2518" i="7"/>
  <c r="J2517" i="7"/>
  <c r="K2517" i="7" s="1"/>
  <c r="J2516" i="7"/>
  <c r="J2515" i="7"/>
  <c r="L2514" i="7"/>
  <c r="K2514" i="7"/>
  <c r="J2514" i="7"/>
  <c r="L2513" i="7"/>
  <c r="J2513" i="7"/>
  <c r="K2513" i="7" s="1"/>
  <c r="J2512" i="7"/>
  <c r="J2511" i="7"/>
  <c r="L2510" i="7"/>
  <c r="K2510" i="7"/>
  <c r="J2510" i="7"/>
  <c r="J2509" i="7"/>
  <c r="K2509" i="7" s="1"/>
  <c r="J2508" i="7"/>
  <c r="J2507" i="7"/>
  <c r="L2506" i="7"/>
  <c r="K2506" i="7"/>
  <c r="J2506" i="7"/>
  <c r="L2505" i="7"/>
  <c r="J2505" i="7"/>
  <c r="K2505" i="7" s="1"/>
  <c r="J2504" i="7"/>
  <c r="J2503" i="7"/>
  <c r="L2502" i="7"/>
  <c r="K2502" i="7"/>
  <c r="J2502" i="7"/>
  <c r="J2501" i="7"/>
  <c r="K2501" i="7" s="1"/>
  <c r="J2500" i="7"/>
  <c r="J2499" i="7"/>
  <c r="L2498" i="7"/>
  <c r="K2498" i="7"/>
  <c r="J2498" i="7"/>
  <c r="L2497" i="7"/>
  <c r="J2497" i="7"/>
  <c r="K2497" i="7" s="1"/>
  <c r="J2496" i="7"/>
  <c r="J2495" i="7"/>
  <c r="L2494" i="7"/>
  <c r="K2494" i="7"/>
  <c r="J2494" i="7"/>
  <c r="J2493" i="7"/>
  <c r="K2493" i="7" s="1"/>
  <c r="J2492" i="7"/>
  <c r="J2491" i="7"/>
  <c r="L2490" i="7"/>
  <c r="K2490" i="7"/>
  <c r="J2490" i="7"/>
  <c r="L2489" i="7"/>
  <c r="J2489" i="7"/>
  <c r="K2489" i="7" s="1"/>
  <c r="J2488" i="7"/>
  <c r="J2487" i="7"/>
  <c r="L2486" i="7"/>
  <c r="K2486" i="7"/>
  <c r="J2486" i="7"/>
  <c r="J2485" i="7"/>
  <c r="K2485" i="7" s="1"/>
  <c r="J2484" i="7"/>
  <c r="J2483" i="7"/>
  <c r="L2482" i="7"/>
  <c r="K2482" i="7"/>
  <c r="J2482" i="7"/>
  <c r="L2481" i="7"/>
  <c r="J2481" i="7"/>
  <c r="K2481" i="7" s="1"/>
  <c r="J2480" i="7"/>
  <c r="J2479" i="7"/>
  <c r="L2478" i="7"/>
  <c r="K2478" i="7"/>
  <c r="J2478" i="7"/>
  <c r="J2477" i="7"/>
  <c r="K2477" i="7" s="1"/>
  <c r="J2476" i="7"/>
  <c r="J2475" i="7"/>
  <c r="L2474" i="7"/>
  <c r="K2474" i="7"/>
  <c r="J2474" i="7"/>
  <c r="L2473" i="7"/>
  <c r="J2473" i="7"/>
  <c r="K2473" i="7" s="1"/>
  <c r="J2472" i="7"/>
  <c r="L2471" i="7"/>
  <c r="J2471" i="7"/>
  <c r="K2471" i="7" s="1"/>
  <c r="L2470" i="7"/>
  <c r="K2470" i="7"/>
  <c r="J2470" i="7"/>
  <c r="J2469" i="7"/>
  <c r="K2469" i="7" s="1"/>
  <c r="J2468" i="7"/>
  <c r="L2468" i="7" s="1"/>
  <c r="J2467" i="7"/>
  <c r="L2466" i="7"/>
  <c r="K2466" i="7"/>
  <c r="J2466" i="7"/>
  <c r="K2465" i="7"/>
  <c r="J2465" i="7"/>
  <c r="L2465" i="7" s="1"/>
  <c r="J2464" i="7"/>
  <c r="J2463" i="7"/>
  <c r="K2463" i="7" s="1"/>
  <c r="L2462" i="7"/>
  <c r="K2462" i="7"/>
  <c r="J2462" i="7"/>
  <c r="L2461" i="7"/>
  <c r="J2461" i="7"/>
  <c r="K2461" i="7" s="1"/>
  <c r="K2460" i="7"/>
  <c r="J2460" i="7"/>
  <c r="L2460" i="7" s="1"/>
  <c r="J2459" i="7"/>
  <c r="L2458" i="7"/>
  <c r="K2458" i="7"/>
  <c r="J2458" i="7"/>
  <c r="J2457" i="7"/>
  <c r="L2457" i="7" s="1"/>
  <c r="J2456" i="7"/>
  <c r="L2455" i="7"/>
  <c r="J2455" i="7"/>
  <c r="K2455" i="7" s="1"/>
  <c r="L2454" i="7"/>
  <c r="K2454" i="7"/>
  <c r="J2454" i="7"/>
  <c r="J2453" i="7"/>
  <c r="K2453" i="7" s="1"/>
  <c r="J2452" i="7"/>
  <c r="L2452" i="7" s="1"/>
  <c r="J2451" i="7"/>
  <c r="L2450" i="7"/>
  <c r="K2450" i="7"/>
  <c r="J2450" i="7"/>
  <c r="L2449" i="7"/>
  <c r="K2449" i="7"/>
  <c r="J2449" i="7"/>
  <c r="J2448" i="7"/>
  <c r="J2447" i="7"/>
  <c r="K2447" i="7" s="1"/>
  <c r="L2446" i="7"/>
  <c r="K2446" i="7"/>
  <c r="J2446" i="7"/>
  <c r="L2445" i="7"/>
  <c r="J2445" i="7"/>
  <c r="K2445" i="7" s="1"/>
  <c r="K2444" i="7"/>
  <c r="J2444" i="7"/>
  <c r="L2444" i="7" s="1"/>
  <c r="J2443" i="7"/>
  <c r="L2442" i="7"/>
  <c r="K2442" i="7"/>
  <c r="J2442" i="7"/>
  <c r="L2441" i="7"/>
  <c r="J2441" i="7"/>
  <c r="K2441" i="7" s="1"/>
  <c r="J2440" i="7"/>
  <c r="L2439" i="7"/>
  <c r="J2439" i="7"/>
  <c r="K2439" i="7" s="1"/>
  <c r="L2438" i="7"/>
  <c r="K2438" i="7"/>
  <c r="J2438" i="7"/>
  <c r="J2437" i="7"/>
  <c r="K2437" i="7" s="1"/>
  <c r="J2436" i="7"/>
  <c r="L2436" i="7" s="1"/>
  <c r="J2435" i="7"/>
  <c r="L2434" i="7"/>
  <c r="K2434" i="7"/>
  <c r="J2434" i="7"/>
  <c r="K2433" i="7"/>
  <c r="J2433" i="7"/>
  <c r="L2433" i="7" s="1"/>
  <c r="J2432" i="7"/>
  <c r="J2431" i="7"/>
  <c r="K2431" i="7" s="1"/>
  <c r="L2430" i="7"/>
  <c r="K2430" i="7"/>
  <c r="J2430" i="7"/>
  <c r="L2429" i="7"/>
  <c r="J2429" i="7"/>
  <c r="K2429" i="7" s="1"/>
  <c r="K2428" i="7"/>
  <c r="J2428" i="7"/>
  <c r="L2428" i="7" s="1"/>
  <c r="J2427" i="7"/>
  <c r="L2426" i="7"/>
  <c r="K2426" i="7"/>
  <c r="J2426" i="7"/>
  <c r="J2425" i="7"/>
  <c r="L2425" i="7" s="1"/>
  <c r="J2424" i="7"/>
  <c r="L2423" i="7"/>
  <c r="J2423" i="7"/>
  <c r="K2423" i="7" s="1"/>
  <c r="L2422" i="7"/>
  <c r="K2422" i="7"/>
  <c r="J2422" i="7"/>
  <c r="J2421" i="7"/>
  <c r="K2421" i="7" s="1"/>
  <c r="J2420" i="7"/>
  <c r="L2420" i="7" s="1"/>
  <c r="J2419" i="7"/>
  <c r="L2418" i="7"/>
  <c r="K2418" i="7"/>
  <c r="J2418" i="7"/>
  <c r="L2417" i="7"/>
  <c r="K2417" i="7"/>
  <c r="J2417" i="7"/>
  <c r="J2416" i="7"/>
  <c r="J2415" i="7"/>
  <c r="K2415" i="7" s="1"/>
  <c r="L2414" i="7"/>
  <c r="K2414" i="7"/>
  <c r="J2414" i="7"/>
  <c r="L2413" i="7"/>
  <c r="J2413" i="7"/>
  <c r="K2413" i="7" s="1"/>
  <c r="K2412" i="7"/>
  <c r="J2412" i="7"/>
  <c r="L2412" i="7" s="1"/>
  <c r="J2411" i="7"/>
  <c r="L2410" i="7"/>
  <c r="K2410" i="7"/>
  <c r="J2410" i="7"/>
  <c r="L2409" i="7"/>
  <c r="J2409" i="7"/>
  <c r="K2409" i="7" s="1"/>
  <c r="J2408" i="7"/>
  <c r="L2407" i="7"/>
  <c r="J2407" i="7"/>
  <c r="K2407" i="7" s="1"/>
  <c r="L2406" i="7"/>
  <c r="K2406" i="7"/>
  <c r="J2406" i="7"/>
  <c r="J2405" i="7"/>
  <c r="K2405" i="7" s="1"/>
  <c r="J2404" i="7"/>
  <c r="L2404" i="7" s="1"/>
  <c r="J2403" i="7"/>
  <c r="L2402" i="7"/>
  <c r="K2402" i="7"/>
  <c r="J2402" i="7"/>
  <c r="K2401" i="7"/>
  <c r="J2401" i="7"/>
  <c r="L2401" i="7" s="1"/>
  <c r="J2400" i="7"/>
  <c r="J2399" i="7"/>
  <c r="K2399" i="7" s="1"/>
  <c r="L2398" i="7"/>
  <c r="K2398" i="7"/>
  <c r="J2398" i="7"/>
  <c r="L2397" i="7"/>
  <c r="J2397" i="7"/>
  <c r="K2397" i="7" s="1"/>
  <c r="K2396" i="7"/>
  <c r="J2396" i="7"/>
  <c r="L2396" i="7" s="1"/>
  <c r="J2395" i="7"/>
  <c r="L2394" i="7"/>
  <c r="K2394" i="7"/>
  <c r="J2394" i="7"/>
  <c r="J2393" i="7"/>
  <c r="L2393" i="7" s="1"/>
  <c r="J2392" i="7"/>
  <c r="L2391" i="7"/>
  <c r="J2391" i="7"/>
  <c r="K2391" i="7" s="1"/>
  <c r="L2390" i="7"/>
  <c r="K2390" i="7"/>
  <c r="J2390" i="7"/>
  <c r="J2389" i="7"/>
  <c r="K2389" i="7" s="1"/>
  <c r="J2388" i="7"/>
  <c r="L2388" i="7" s="1"/>
  <c r="J2387" i="7"/>
  <c r="L2386" i="7"/>
  <c r="K2386" i="7"/>
  <c r="J2386" i="7"/>
  <c r="L2385" i="7"/>
  <c r="K2385" i="7"/>
  <c r="J2385" i="7"/>
  <c r="J2384" i="7"/>
  <c r="J2383" i="7"/>
  <c r="K2383" i="7" s="1"/>
  <c r="L2382" i="7"/>
  <c r="K2382" i="7"/>
  <c r="J2382" i="7"/>
  <c r="L2381" i="7"/>
  <c r="J2381" i="7"/>
  <c r="K2381" i="7" s="1"/>
  <c r="K2380" i="7"/>
  <c r="J2380" i="7"/>
  <c r="L2380" i="7" s="1"/>
  <c r="J2379" i="7"/>
  <c r="L2378" i="7"/>
  <c r="K2378" i="7"/>
  <c r="J2378" i="7"/>
  <c r="L2377" i="7"/>
  <c r="J2377" i="7"/>
  <c r="K2377" i="7" s="1"/>
  <c r="J2376" i="7"/>
  <c r="L2375" i="7"/>
  <c r="J2375" i="7"/>
  <c r="K2375" i="7" s="1"/>
  <c r="L2374" i="7"/>
  <c r="K2374" i="7"/>
  <c r="J2374" i="7"/>
  <c r="J2373" i="7"/>
  <c r="K2373" i="7" s="1"/>
  <c r="J2372" i="7"/>
  <c r="L2372" i="7" s="1"/>
  <c r="J2371" i="7"/>
  <c r="L2371" i="7" s="1"/>
  <c r="J2370" i="7"/>
  <c r="K2370" i="7" s="1"/>
  <c r="L2369" i="7"/>
  <c r="K2369" i="7"/>
  <c r="J2369" i="7"/>
  <c r="L2368" i="7"/>
  <c r="J2368" i="7"/>
  <c r="K2368" i="7" s="1"/>
  <c r="J2367" i="7"/>
  <c r="L2367" i="7" s="1"/>
  <c r="J2366" i="7"/>
  <c r="K2366" i="7" s="1"/>
  <c r="L2365" i="7"/>
  <c r="K2365" i="7"/>
  <c r="J2365" i="7"/>
  <c r="J2364" i="7"/>
  <c r="L2364" i="7" s="1"/>
  <c r="J2363" i="7"/>
  <c r="L2363" i="7" s="1"/>
  <c r="J2362" i="7"/>
  <c r="K2362" i="7" s="1"/>
  <c r="L2361" i="7"/>
  <c r="K2361" i="7"/>
  <c r="J2361" i="7"/>
  <c r="L2360" i="7"/>
  <c r="J2360" i="7"/>
  <c r="K2360" i="7" s="1"/>
  <c r="J2359" i="7"/>
  <c r="L2359" i="7" s="1"/>
  <c r="J2358" i="7"/>
  <c r="K2358" i="7" s="1"/>
  <c r="L2357" i="7"/>
  <c r="K2357" i="7"/>
  <c r="J2357" i="7"/>
  <c r="J2356" i="7"/>
  <c r="J2355" i="7"/>
  <c r="L2355" i="7" s="1"/>
  <c r="J2354" i="7"/>
  <c r="L2353" i="7"/>
  <c r="K2353" i="7"/>
  <c r="J2353" i="7"/>
  <c r="L2352" i="7"/>
  <c r="J2352" i="7"/>
  <c r="K2352" i="7" s="1"/>
  <c r="J2351" i="7"/>
  <c r="J2350" i="7"/>
  <c r="K2350" i="7" s="1"/>
  <c r="L2349" i="7"/>
  <c r="K2349" i="7"/>
  <c r="J2349" i="7"/>
  <c r="J2348" i="7"/>
  <c r="J2347" i="7"/>
  <c r="L2347" i="7" s="1"/>
  <c r="J2346" i="7"/>
  <c r="L2345" i="7"/>
  <c r="K2345" i="7"/>
  <c r="J2345" i="7"/>
  <c r="L2344" i="7"/>
  <c r="J2344" i="7"/>
  <c r="K2344" i="7" s="1"/>
  <c r="J2343" i="7"/>
  <c r="J2342" i="7"/>
  <c r="K2342" i="7" s="1"/>
  <c r="L2341" i="7"/>
  <c r="K2341" i="7"/>
  <c r="J2341" i="7"/>
  <c r="J2340" i="7"/>
  <c r="J2339" i="7"/>
  <c r="L2339" i="7" s="1"/>
  <c r="J2338" i="7"/>
  <c r="L2337" i="7"/>
  <c r="K2337" i="7"/>
  <c r="J2337" i="7"/>
  <c r="L2336" i="7"/>
  <c r="J2336" i="7"/>
  <c r="K2336" i="7" s="1"/>
  <c r="J2335" i="7"/>
  <c r="J2334" i="7"/>
  <c r="K2334" i="7" s="1"/>
  <c r="L2333" i="7"/>
  <c r="K2333" i="7"/>
  <c r="J2333" i="7"/>
  <c r="J2332" i="7"/>
  <c r="J2331" i="7"/>
  <c r="L2331" i="7" s="1"/>
  <c r="J2330" i="7"/>
  <c r="K2329" i="7"/>
  <c r="J2329" i="7"/>
  <c r="L2329" i="7" s="1"/>
  <c r="L2328" i="7"/>
  <c r="J2328" i="7"/>
  <c r="K2328" i="7" s="1"/>
  <c r="L2327" i="7"/>
  <c r="K2327" i="7"/>
  <c r="J2327" i="7"/>
  <c r="J2326" i="7"/>
  <c r="K2325" i="7"/>
  <c r="J2325" i="7"/>
  <c r="L2325" i="7" s="1"/>
  <c r="L2324" i="7"/>
  <c r="J2324" i="7"/>
  <c r="K2324" i="7" s="1"/>
  <c r="L2323" i="7"/>
  <c r="K2323" i="7"/>
  <c r="J2323" i="7"/>
  <c r="J2322" i="7"/>
  <c r="K2321" i="7"/>
  <c r="J2321" i="7"/>
  <c r="L2321" i="7" s="1"/>
  <c r="L2320" i="7"/>
  <c r="J2320" i="7"/>
  <c r="K2320" i="7" s="1"/>
  <c r="L2319" i="7"/>
  <c r="K2319" i="7"/>
  <c r="J2319" i="7"/>
  <c r="J2318" i="7"/>
  <c r="K2317" i="7"/>
  <c r="J2317" i="7"/>
  <c r="L2317" i="7" s="1"/>
  <c r="L2316" i="7"/>
  <c r="J2316" i="7"/>
  <c r="K2316" i="7" s="1"/>
  <c r="L2315" i="7"/>
  <c r="K2315" i="7"/>
  <c r="J2315" i="7"/>
  <c r="J2314" i="7"/>
  <c r="K2313" i="7"/>
  <c r="J2313" i="7"/>
  <c r="L2313" i="7" s="1"/>
  <c r="L2312" i="7"/>
  <c r="J2312" i="7"/>
  <c r="K2312" i="7" s="1"/>
  <c r="L2311" i="7"/>
  <c r="K2311" i="7"/>
  <c r="J2311" i="7"/>
  <c r="J2310" i="7"/>
  <c r="K2309" i="7"/>
  <c r="J2309" i="7"/>
  <c r="L2309" i="7" s="1"/>
  <c r="L2308" i="7"/>
  <c r="J2308" i="7"/>
  <c r="K2308" i="7" s="1"/>
  <c r="L2307" i="7"/>
  <c r="K2307" i="7"/>
  <c r="J2307" i="7"/>
  <c r="J2306" i="7"/>
  <c r="K2305" i="7"/>
  <c r="J2305" i="7"/>
  <c r="L2305" i="7" s="1"/>
  <c r="J2304" i="7"/>
  <c r="K2304" i="7" s="1"/>
  <c r="L2303" i="7"/>
  <c r="K2303" i="7"/>
  <c r="J2303" i="7"/>
  <c r="L2302" i="7"/>
  <c r="J2302" i="7"/>
  <c r="K2302" i="7" s="1"/>
  <c r="K2301" i="7"/>
  <c r="J2301" i="7"/>
  <c r="L2301" i="7" s="1"/>
  <c r="L2300" i="7"/>
  <c r="J2300" i="7"/>
  <c r="K2300" i="7" s="1"/>
  <c r="L2299" i="7"/>
  <c r="K2299" i="7"/>
  <c r="J2299" i="7"/>
  <c r="J2298" i="7"/>
  <c r="K2298" i="7" s="1"/>
  <c r="K2297" i="7"/>
  <c r="J2297" i="7"/>
  <c r="L2297" i="7" s="1"/>
  <c r="J2296" i="7"/>
  <c r="K2296" i="7" s="1"/>
  <c r="L2295" i="7"/>
  <c r="K2295" i="7"/>
  <c r="J2295" i="7"/>
  <c r="L2294" i="7"/>
  <c r="J2294" i="7"/>
  <c r="K2294" i="7" s="1"/>
  <c r="K2293" i="7"/>
  <c r="J2293" i="7"/>
  <c r="L2293" i="7" s="1"/>
  <c r="L2292" i="7"/>
  <c r="J2292" i="7"/>
  <c r="K2292" i="7" s="1"/>
  <c r="L2291" i="7"/>
  <c r="K2291" i="7"/>
  <c r="J2291" i="7"/>
  <c r="J2290" i="7"/>
  <c r="K2290" i="7" s="1"/>
  <c r="K2289" i="7"/>
  <c r="J2289" i="7"/>
  <c r="L2289" i="7" s="1"/>
  <c r="J2288" i="7"/>
  <c r="K2288" i="7" s="1"/>
  <c r="L2287" i="7"/>
  <c r="K2287" i="7"/>
  <c r="J2287" i="7"/>
  <c r="L2286" i="7"/>
  <c r="J2286" i="7"/>
  <c r="K2286" i="7" s="1"/>
  <c r="K2285" i="7"/>
  <c r="J2285" i="7"/>
  <c r="L2285" i="7" s="1"/>
  <c r="L2284" i="7"/>
  <c r="J2284" i="7"/>
  <c r="K2284" i="7" s="1"/>
  <c r="L2283" i="7"/>
  <c r="K2283" i="7"/>
  <c r="J2283" i="7"/>
  <c r="J2282" i="7"/>
  <c r="K2282" i="7" s="1"/>
  <c r="K2281" i="7"/>
  <c r="J2281" i="7"/>
  <c r="L2281" i="7" s="1"/>
  <c r="J2280" i="7"/>
  <c r="K2280" i="7" s="1"/>
  <c r="L2279" i="7"/>
  <c r="K2279" i="7"/>
  <c r="J2279" i="7"/>
  <c r="L2278" i="7"/>
  <c r="J2278" i="7"/>
  <c r="K2278" i="7" s="1"/>
  <c r="K2277" i="7"/>
  <c r="J2277" i="7"/>
  <c r="L2277" i="7" s="1"/>
  <c r="L2276" i="7"/>
  <c r="J2276" i="7"/>
  <c r="K2276" i="7" s="1"/>
  <c r="L2275" i="7"/>
  <c r="K2275" i="7"/>
  <c r="J2275" i="7"/>
  <c r="J2274" i="7"/>
  <c r="K2274" i="7" s="1"/>
  <c r="K2273" i="7"/>
  <c r="J2273" i="7"/>
  <c r="L2273" i="7" s="1"/>
  <c r="J2272" i="7"/>
  <c r="K2272" i="7" s="1"/>
  <c r="L2271" i="7"/>
  <c r="K2271" i="7"/>
  <c r="J2271" i="7"/>
  <c r="L2270" i="7"/>
  <c r="J2270" i="7"/>
  <c r="K2270" i="7" s="1"/>
  <c r="K2269" i="7"/>
  <c r="J2269" i="7"/>
  <c r="L2269" i="7" s="1"/>
  <c r="L2268" i="7"/>
  <c r="J2268" i="7"/>
  <c r="K2268" i="7" s="1"/>
  <c r="L2267" i="7"/>
  <c r="K2267" i="7"/>
  <c r="J2267" i="7"/>
  <c r="J2266" i="7"/>
  <c r="K2266" i="7" s="1"/>
  <c r="K2265" i="7"/>
  <c r="J2265" i="7"/>
  <c r="L2265" i="7" s="1"/>
  <c r="J2264" i="7"/>
  <c r="K2264" i="7" s="1"/>
  <c r="L2263" i="7"/>
  <c r="K2263" i="7"/>
  <c r="J2263" i="7"/>
  <c r="L2262" i="7"/>
  <c r="J2262" i="7"/>
  <c r="K2262" i="7" s="1"/>
  <c r="K2261" i="7"/>
  <c r="J2261" i="7"/>
  <c r="L2261" i="7" s="1"/>
  <c r="L2260" i="7"/>
  <c r="J2260" i="7"/>
  <c r="K2260" i="7" s="1"/>
  <c r="L2259" i="7"/>
  <c r="K2259" i="7"/>
  <c r="J2259" i="7"/>
  <c r="J2258" i="7"/>
  <c r="K2258" i="7" s="1"/>
  <c r="K2257" i="7"/>
  <c r="J2257" i="7"/>
  <c r="L2257" i="7" s="1"/>
  <c r="J2256" i="7"/>
  <c r="K2256" i="7" s="1"/>
  <c r="L2255" i="7"/>
  <c r="K2255" i="7"/>
  <c r="J2255" i="7"/>
  <c r="L2254" i="7"/>
  <c r="J2254" i="7"/>
  <c r="K2254" i="7" s="1"/>
  <c r="K2253" i="7"/>
  <c r="J2253" i="7"/>
  <c r="L2253" i="7" s="1"/>
  <c r="L2252" i="7"/>
  <c r="J2252" i="7"/>
  <c r="K2252" i="7" s="1"/>
  <c r="L2251" i="7"/>
  <c r="K2251" i="7"/>
  <c r="J2251" i="7"/>
  <c r="J2250" i="7"/>
  <c r="K2250" i="7" s="1"/>
  <c r="K2249" i="7"/>
  <c r="J2249" i="7"/>
  <c r="L2249" i="7" s="1"/>
  <c r="J2248" i="7"/>
  <c r="K2248" i="7" s="1"/>
  <c r="L2247" i="7"/>
  <c r="K2247" i="7"/>
  <c r="J2247" i="7"/>
  <c r="L2246" i="7"/>
  <c r="J2246" i="7"/>
  <c r="K2246" i="7" s="1"/>
  <c r="K2245" i="7"/>
  <c r="J2245" i="7"/>
  <c r="L2245" i="7" s="1"/>
  <c r="L2244" i="7"/>
  <c r="J2244" i="7"/>
  <c r="K2244" i="7" s="1"/>
  <c r="L2243" i="7"/>
  <c r="K2243" i="7"/>
  <c r="J2243" i="7"/>
  <c r="J2242" i="7"/>
  <c r="K2242" i="7" s="1"/>
  <c r="K2241" i="7"/>
  <c r="J2241" i="7"/>
  <c r="L2241" i="7" s="1"/>
  <c r="J2240" i="7"/>
  <c r="K2240" i="7" s="1"/>
  <c r="L2239" i="7"/>
  <c r="K2239" i="7"/>
  <c r="J2239" i="7"/>
  <c r="L2238" i="7"/>
  <c r="J2238" i="7"/>
  <c r="K2238" i="7" s="1"/>
  <c r="K2237" i="7"/>
  <c r="J2237" i="7"/>
  <c r="L2237" i="7" s="1"/>
  <c r="L2236" i="7"/>
  <c r="J2236" i="7"/>
  <c r="K2236" i="7" s="1"/>
  <c r="L2235" i="7"/>
  <c r="K2235" i="7"/>
  <c r="J2235" i="7"/>
  <c r="J2234" i="7"/>
  <c r="K2234" i="7" s="1"/>
  <c r="K2233" i="7"/>
  <c r="J2233" i="7"/>
  <c r="L2233" i="7" s="1"/>
  <c r="J2232" i="7"/>
  <c r="K2232" i="7" s="1"/>
  <c r="L2231" i="7"/>
  <c r="K2231" i="7"/>
  <c r="J2231" i="7"/>
  <c r="L2230" i="7"/>
  <c r="J2230" i="7"/>
  <c r="K2230" i="7" s="1"/>
  <c r="K2229" i="7"/>
  <c r="J2229" i="7"/>
  <c r="L2229" i="7" s="1"/>
  <c r="L2228" i="7"/>
  <c r="J2228" i="7"/>
  <c r="K2228" i="7" s="1"/>
  <c r="L2227" i="7"/>
  <c r="K2227" i="7"/>
  <c r="J2227" i="7"/>
  <c r="J2226" i="7"/>
  <c r="K2226" i="7" s="1"/>
  <c r="K2225" i="7"/>
  <c r="J2225" i="7"/>
  <c r="L2225" i="7" s="1"/>
  <c r="J2224" i="7"/>
  <c r="K2224" i="7" s="1"/>
  <c r="L2223" i="7"/>
  <c r="K2223" i="7"/>
  <c r="J2223" i="7"/>
  <c r="L2222" i="7"/>
  <c r="J2222" i="7"/>
  <c r="K2222" i="7" s="1"/>
  <c r="J2221" i="7"/>
  <c r="L2221" i="7" s="1"/>
  <c r="J2220" i="7"/>
  <c r="K2220" i="7" s="1"/>
  <c r="L2219" i="7"/>
  <c r="K2219" i="7"/>
  <c r="J2219" i="7"/>
  <c r="J2218" i="7"/>
  <c r="L2218" i="7" s="1"/>
  <c r="J2217" i="7"/>
  <c r="L2217" i="7" s="1"/>
  <c r="J2216" i="7"/>
  <c r="K2216" i="7" s="1"/>
  <c r="L2215" i="7"/>
  <c r="K2215" i="7"/>
  <c r="J2215" i="7"/>
  <c r="L2214" i="7"/>
  <c r="J2214" i="7"/>
  <c r="K2214" i="7" s="1"/>
  <c r="J2213" i="7"/>
  <c r="L2213" i="7" s="1"/>
  <c r="J2212" i="7"/>
  <c r="K2212" i="7" s="1"/>
  <c r="L2211" i="7"/>
  <c r="K2211" i="7"/>
  <c r="J2211" i="7"/>
  <c r="J2210" i="7"/>
  <c r="L2210" i="7" s="1"/>
  <c r="J2209" i="7"/>
  <c r="L2209" i="7" s="1"/>
  <c r="J2208" i="7"/>
  <c r="K2208" i="7" s="1"/>
  <c r="L2207" i="7"/>
  <c r="K2207" i="7"/>
  <c r="J2207" i="7"/>
  <c r="L2206" i="7"/>
  <c r="J2206" i="7"/>
  <c r="K2206" i="7" s="1"/>
  <c r="J2205" i="7"/>
  <c r="L2205" i="7" s="1"/>
  <c r="J2204" i="7"/>
  <c r="K2204" i="7" s="1"/>
  <c r="L2203" i="7"/>
  <c r="K2203" i="7"/>
  <c r="J2203" i="7"/>
  <c r="J2202" i="7"/>
  <c r="L2202" i="7" s="1"/>
  <c r="J2201" i="7"/>
  <c r="L2201" i="7" s="1"/>
  <c r="J2200" i="7"/>
  <c r="K2200" i="7" s="1"/>
  <c r="L2199" i="7"/>
  <c r="K2199" i="7"/>
  <c r="J2199" i="7"/>
  <c r="L2198" i="7"/>
  <c r="J2198" i="7"/>
  <c r="K2198" i="7" s="1"/>
  <c r="J2197" i="7"/>
  <c r="L2197" i="7" s="1"/>
  <c r="J2196" i="7"/>
  <c r="K2196" i="7" s="1"/>
  <c r="L2195" i="7"/>
  <c r="K2195" i="7"/>
  <c r="J2195" i="7"/>
  <c r="J2194" i="7"/>
  <c r="L2194" i="7" s="1"/>
  <c r="J2193" i="7"/>
  <c r="L2193" i="7" s="1"/>
  <c r="J2192" i="7"/>
  <c r="K2192" i="7" s="1"/>
  <c r="L2191" i="7"/>
  <c r="K2191" i="7"/>
  <c r="J2191" i="7"/>
  <c r="L2190" i="7"/>
  <c r="J2190" i="7"/>
  <c r="K2190" i="7" s="1"/>
  <c r="J2189" i="7"/>
  <c r="J2188" i="7"/>
  <c r="K2188" i="7" s="1"/>
  <c r="L2187" i="7"/>
  <c r="K2187" i="7"/>
  <c r="J2187" i="7"/>
  <c r="J2186" i="7"/>
  <c r="J2185" i="7"/>
  <c r="L2185" i="7" s="1"/>
  <c r="J2184" i="7"/>
  <c r="L2183" i="7"/>
  <c r="K2183" i="7"/>
  <c r="J2183" i="7"/>
  <c r="L2182" i="7"/>
  <c r="J2182" i="7"/>
  <c r="K2182" i="7" s="1"/>
  <c r="J2181" i="7"/>
  <c r="J2180" i="7"/>
  <c r="K2180" i="7" s="1"/>
  <c r="L2179" i="7"/>
  <c r="K2179" i="7"/>
  <c r="J2179" i="7"/>
  <c r="J2178" i="7"/>
  <c r="J2177" i="7"/>
  <c r="L2177" i="7" s="1"/>
  <c r="J2176" i="7"/>
  <c r="L2175" i="7"/>
  <c r="K2175" i="7"/>
  <c r="J2175" i="7"/>
  <c r="L2174" i="7"/>
  <c r="J2174" i="7"/>
  <c r="K2174" i="7" s="1"/>
  <c r="J2173" i="7"/>
  <c r="J2172" i="7"/>
  <c r="K2172" i="7" s="1"/>
  <c r="L2171" i="7"/>
  <c r="K2171" i="7"/>
  <c r="J2171" i="7"/>
  <c r="J2170" i="7"/>
  <c r="J2169" i="7"/>
  <c r="L2169" i="7" s="1"/>
  <c r="J2168" i="7"/>
  <c r="L2167" i="7"/>
  <c r="K2167" i="7"/>
  <c r="J2167" i="7"/>
  <c r="L2166" i="7"/>
  <c r="J2166" i="7"/>
  <c r="K2166" i="7" s="1"/>
  <c r="J2165" i="7"/>
  <c r="J2164" i="7"/>
  <c r="K2164" i="7" s="1"/>
  <c r="L2163" i="7"/>
  <c r="K2163" i="7"/>
  <c r="J2163" i="7"/>
  <c r="J2162" i="7"/>
  <c r="J2161" i="7"/>
  <c r="L2161" i="7" s="1"/>
  <c r="J2160" i="7"/>
  <c r="L2159" i="7"/>
  <c r="K2159" i="7"/>
  <c r="J2159" i="7"/>
  <c r="L2158" i="7"/>
  <c r="J2158" i="7"/>
  <c r="K2158" i="7" s="1"/>
  <c r="J2157" i="7"/>
  <c r="J2156" i="7"/>
  <c r="K2156" i="7" s="1"/>
  <c r="L2155" i="7"/>
  <c r="K2155" i="7"/>
  <c r="J2155" i="7"/>
  <c r="J2154" i="7"/>
  <c r="J2153" i="7"/>
  <c r="L2153" i="7" s="1"/>
  <c r="J2152" i="7"/>
  <c r="L2151" i="7"/>
  <c r="K2151" i="7"/>
  <c r="J2151" i="7"/>
  <c r="L2150" i="7"/>
  <c r="J2150" i="7"/>
  <c r="K2150" i="7" s="1"/>
  <c r="J2149" i="7"/>
  <c r="J2148" i="7"/>
  <c r="L2147" i="7"/>
  <c r="K2147" i="7"/>
  <c r="J2147" i="7"/>
  <c r="J2146" i="7"/>
  <c r="K2146" i="7" s="1"/>
  <c r="J2145" i="7"/>
  <c r="J2144" i="7"/>
  <c r="L2143" i="7"/>
  <c r="K2143" i="7"/>
  <c r="J2143" i="7"/>
  <c r="J2142" i="7"/>
  <c r="K2142" i="7" s="1"/>
  <c r="J2141" i="7"/>
  <c r="J2140" i="7"/>
  <c r="L2139" i="7"/>
  <c r="K2139" i="7"/>
  <c r="J2139" i="7"/>
  <c r="L2138" i="7"/>
  <c r="J2138" i="7"/>
  <c r="K2138" i="7" s="1"/>
  <c r="J2137" i="7"/>
  <c r="J2136" i="7"/>
  <c r="L2135" i="7"/>
  <c r="K2135" i="7"/>
  <c r="J2135" i="7"/>
  <c r="L2134" i="7"/>
  <c r="J2134" i="7"/>
  <c r="K2134" i="7" s="1"/>
  <c r="J2133" i="7"/>
  <c r="J2132" i="7"/>
  <c r="L2131" i="7"/>
  <c r="K2131" i="7"/>
  <c r="J2131" i="7"/>
  <c r="J2130" i="7"/>
  <c r="K2130" i="7" s="1"/>
  <c r="J2129" i="7"/>
  <c r="J2128" i="7"/>
  <c r="L2127" i="7"/>
  <c r="K2127" i="7"/>
  <c r="J2127" i="7"/>
  <c r="J2126" i="7"/>
  <c r="K2126" i="7" s="1"/>
  <c r="J2125" i="7"/>
  <c r="J2124" i="7"/>
  <c r="L2123" i="7"/>
  <c r="K2123" i="7"/>
  <c r="J2123" i="7"/>
  <c r="L2122" i="7"/>
  <c r="J2122" i="7"/>
  <c r="K2122" i="7" s="1"/>
  <c r="J2121" i="7"/>
  <c r="J2120" i="7"/>
  <c r="L2119" i="7"/>
  <c r="K2119" i="7"/>
  <c r="J2119" i="7"/>
  <c r="L2118" i="7"/>
  <c r="J2118" i="7"/>
  <c r="K2118" i="7" s="1"/>
  <c r="J2117" i="7"/>
  <c r="J2116" i="7"/>
  <c r="L2115" i="7"/>
  <c r="K2115" i="7"/>
  <c r="J2115" i="7"/>
  <c r="J2114" i="7"/>
  <c r="K2114" i="7" s="1"/>
  <c r="J2113" i="7"/>
  <c r="J2112" i="7"/>
  <c r="L2111" i="7"/>
  <c r="K2111" i="7"/>
  <c r="J2111" i="7"/>
  <c r="J2110" i="7"/>
  <c r="K2110" i="7" s="1"/>
  <c r="J2109" i="7"/>
  <c r="J2108" i="7"/>
  <c r="L2107" i="7"/>
  <c r="K2107" i="7"/>
  <c r="J2107" i="7"/>
  <c r="L2106" i="7"/>
  <c r="J2106" i="7"/>
  <c r="K2106" i="7" s="1"/>
  <c r="J2105" i="7"/>
  <c r="J2104" i="7"/>
  <c r="L2103" i="7"/>
  <c r="K2103" i="7"/>
  <c r="J2103" i="7"/>
  <c r="L2102" i="7"/>
  <c r="J2102" i="7"/>
  <c r="K2102" i="7" s="1"/>
  <c r="J2101" i="7"/>
  <c r="J2100" i="7"/>
  <c r="L2099" i="7"/>
  <c r="K2099" i="7"/>
  <c r="J2099" i="7"/>
  <c r="J2098" i="7"/>
  <c r="K2098" i="7" s="1"/>
  <c r="J2097" i="7"/>
  <c r="J2096" i="7"/>
  <c r="L2095" i="7"/>
  <c r="K2095" i="7"/>
  <c r="J2095" i="7"/>
  <c r="J2094" i="7"/>
  <c r="K2094" i="7" s="1"/>
  <c r="J2093" i="7"/>
  <c r="J2092" i="7"/>
  <c r="L2091" i="7"/>
  <c r="K2091" i="7"/>
  <c r="J2091" i="7"/>
  <c r="L2090" i="7"/>
  <c r="J2090" i="7"/>
  <c r="K2090" i="7" s="1"/>
  <c r="J2089" i="7"/>
  <c r="J2088" i="7"/>
  <c r="L2087" i="7"/>
  <c r="K2087" i="7"/>
  <c r="J2087" i="7"/>
  <c r="L2086" i="7"/>
  <c r="J2086" i="7"/>
  <c r="K2086" i="7" s="1"/>
  <c r="J2085" i="7"/>
  <c r="J2084" i="7"/>
  <c r="L2083" i="7"/>
  <c r="K2083" i="7"/>
  <c r="J2083" i="7"/>
  <c r="J2082" i="7"/>
  <c r="K2082" i="7" s="1"/>
  <c r="J2081" i="7"/>
  <c r="J2080" i="7"/>
  <c r="L2079" i="7"/>
  <c r="K2079" i="7"/>
  <c r="J2079" i="7"/>
  <c r="J2078" i="7"/>
  <c r="K2078" i="7" s="1"/>
  <c r="J2077" i="7"/>
  <c r="J2076" i="7"/>
  <c r="L2075" i="7"/>
  <c r="K2075" i="7"/>
  <c r="J2075" i="7"/>
  <c r="L2074" i="7"/>
  <c r="J2074" i="7"/>
  <c r="K2074" i="7" s="1"/>
  <c r="J2073" i="7"/>
  <c r="L2072" i="7"/>
  <c r="K2072" i="7"/>
  <c r="J2072" i="7"/>
  <c r="J2071" i="7"/>
  <c r="K2071" i="7" s="1"/>
  <c r="K2070" i="7"/>
  <c r="J2070" i="7"/>
  <c r="L2070" i="7" s="1"/>
  <c r="J2069" i="7"/>
  <c r="K2069" i="7" s="1"/>
  <c r="L2068" i="7"/>
  <c r="K2068" i="7"/>
  <c r="J2068" i="7"/>
  <c r="L2067" i="7"/>
  <c r="J2067" i="7"/>
  <c r="K2067" i="7" s="1"/>
  <c r="K2066" i="7"/>
  <c r="J2066" i="7"/>
  <c r="L2066" i="7" s="1"/>
  <c r="L2065" i="7"/>
  <c r="J2065" i="7"/>
  <c r="K2065" i="7" s="1"/>
  <c r="L2064" i="7"/>
  <c r="K2064" i="7"/>
  <c r="J2064" i="7"/>
  <c r="L2063" i="7"/>
  <c r="J2063" i="7"/>
  <c r="K2063" i="7" s="1"/>
  <c r="K2062" i="7"/>
  <c r="J2062" i="7"/>
  <c r="L2062" i="7" s="1"/>
  <c r="L2061" i="7"/>
  <c r="J2061" i="7"/>
  <c r="K2061" i="7" s="1"/>
  <c r="L2060" i="7"/>
  <c r="K2060" i="7"/>
  <c r="J2060" i="7"/>
  <c r="J2059" i="7"/>
  <c r="K2059" i="7" s="1"/>
  <c r="K2058" i="7"/>
  <c r="J2058" i="7"/>
  <c r="L2058" i="7" s="1"/>
  <c r="J2057" i="7"/>
  <c r="K2057" i="7" s="1"/>
  <c r="L2056" i="7"/>
  <c r="K2056" i="7"/>
  <c r="J2056" i="7"/>
  <c r="J2055" i="7"/>
  <c r="K2055" i="7" s="1"/>
  <c r="K2054" i="7"/>
  <c r="J2054" i="7"/>
  <c r="L2054" i="7" s="1"/>
  <c r="J2053" i="7"/>
  <c r="K2053" i="7" s="1"/>
  <c r="L2052" i="7"/>
  <c r="K2052" i="7"/>
  <c r="J2052" i="7"/>
  <c r="L2051" i="7"/>
  <c r="J2051" i="7"/>
  <c r="K2051" i="7" s="1"/>
  <c r="K2050" i="7"/>
  <c r="J2050" i="7"/>
  <c r="L2050" i="7" s="1"/>
  <c r="L2049" i="7"/>
  <c r="J2049" i="7"/>
  <c r="K2049" i="7" s="1"/>
  <c r="L2048" i="7"/>
  <c r="K2048" i="7"/>
  <c r="J2048" i="7"/>
  <c r="L2047" i="7"/>
  <c r="J2047" i="7"/>
  <c r="K2047" i="7" s="1"/>
  <c r="K2046" i="7"/>
  <c r="J2046" i="7"/>
  <c r="L2046" i="7" s="1"/>
  <c r="L2045" i="7"/>
  <c r="J2045" i="7"/>
  <c r="K2045" i="7" s="1"/>
  <c r="L2044" i="7"/>
  <c r="K2044" i="7"/>
  <c r="J2044" i="7"/>
  <c r="J2043" i="7"/>
  <c r="K2043" i="7" s="1"/>
  <c r="K2042" i="7"/>
  <c r="J2042" i="7"/>
  <c r="L2042" i="7" s="1"/>
  <c r="J2041" i="7"/>
  <c r="K2041" i="7" s="1"/>
  <c r="L2040" i="7"/>
  <c r="K2040" i="7"/>
  <c r="J2040" i="7"/>
  <c r="J2039" i="7"/>
  <c r="K2039" i="7" s="1"/>
  <c r="K2038" i="7"/>
  <c r="J2038" i="7"/>
  <c r="L2038" i="7" s="1"/>
  <c r="J2037" i="7"/>
  <c r="K2037" i="7" s="1"/>
  <c r="L2036" i="7"/>
  <c r="K2036" i="7"/>
  <c r="J2036" i="7"/>
  <c r="L2035" i="7"/>
  <c r="J2035" i="7"/>
  <c r="K2035" i="7" s="1"/>
  <c r="K2034" i="7"/>
  <c r="J2034" i="7"/>
  <c r="L2034" i="7" s="1"/>
  <c r="L2033" i="7"/>
  <c r="J2033" i="7"/>
  <c r="K2033" i="7" s="1"/>
  <c r="L2032" i="7"/>
  <c r="K2032" i="7"/>
  <c r="J2032" i="7"/>
  <c r="L2031" i="7"/>
  <c r="J2031" i="7"/>
  <c r="K2031" i="7" s="1"/>
  <c r="K2030" i="7"/>
  <c r="J2030" i="7"/>
  <c r="L2030" i="7" s="1"/>
  <c r="L2029" i="7"/>
  <c r="J2029" i="7"/>
  <c r="K2029" i="7" s="1"/>
  <c r="L2028" i="7"/>
  <c r="K2028" i="7"/>
  <c r="J2028" i="7"/>
  <c r="J2027" i="7"/>
  <c r="K2027" i="7" s="1"/>
  <c r="K2026" i="7"/>
  <c r="J2026" i="7"/>
  <c r="L2026" i="7" s="1"/>
  <c r="J2025" i="7"/>
  <c r="K2025" i="7" s="1"/>
  <c r="L2024" i="7"/>
  <c r="K2024" i="7"/>
  <c r="J2024" i="7"/>
  <c r="J2023" i="7"/>
  <c r="K2023" i="7" s="1"/>
  <c r="K2022" i="7"/>
  <c r="J2022" i="7"/>
  <c r="L2022" i="7" s="1"/>
  <c r="J2021" i="7"/>
  <c r="K2021" i="7" s="1"/>
  <c r="L2020" i="7"/>
  <c r="K2020" i="7"/>
  <c r="J2020" i="7"/>
  <c r="L2019" i="7"/>
  <c r="J2019" i="7"/>
  <c r="K2019" i="7" s="1"/>
  <c r="K2018" i="7"/>
  <c r="J2018" i="7"/>
  <c r="L2018" i="7" s="1"/>
  <c r="L2017" i="7"/>
  <c r="J2017" i="7"/>
  <c r="K2017" i="7" s="1"/>
  <c r="L2016" i="7"/>
  <c r="K2016" i="7"/>
  <c r="J2016" i="7"/>
  <c r="L2015" i="7"/>
  <c r="J2015" i="7"/>
  <c r="K2015" i="7" s="1"/>
  <c r="K2014" i="7"/>
  <c r="J2014" i="7"/>
  <c r="L2014" i="7" s="1"/>
  <c r="L2013" i="7"/>
  <c r="J2013" i="7"/>
  <c r="K2013" i="7" s="1"/>
  <c r="L2012" i="7"/>
  <c r="K2012" i="7"/>
  <c r="J2012" i="7"/>
  <c r="J2011" i="7"/>
  <c r="K2011" i="7" s="1"/>
  <c r="K2010" i="7"/>
  <c r="J2010" i="7"/>
  <c r="L2010" i="7" s="1"/>
  <c r="J2009" i="7"/>
  <c r="K2009" i="7" s="1"/>
  <c r="L2008" i="7"/>
  <c r="K2008" i="7"/>
  <c r="J2008" i="7"/>
  <c r="J2007" i="7"/>
  <c r="K2007" i="7" s="1"/>
  <c r="K2006" i="7"/>
  <c r="J2006" i="7"/>
  <c r="L2006" i="7" s="1"/>
  <c r="J2005" i="7"/>
  <c r="K2005" i="7" s="1"/>
  <c r="L2004" i="7"/>
  <c r="K2004" i="7"/>
  <c r="J2004" i="7"/>
  <c r="L2003" i="7"/>
  <c r="K2003" i="7"/>
  <c r="J2003" i="7"/>
  <c r="J2002" i="7"/>
  <c r="L2002" i="7" s="1"/>
  <c r="L2001" i="7"/>
  <c r="J2001" i="7"/>
  <c r="K2001" i="7" s="1"/>
  <c r="L2000" i="7"/>
  <c r="K2000" i="7"/>
  <c r="J2000" i="7"/>
  <c r="J1999" i="7"/>
  <c r="L1999" i="7" s="1"/>
  <c r="K1998" i="7"/>
  <c r="J1998" i="7"/>
  <c r="L1998" i="7" s="1"/>
  <c r="J1997" i="7"/>
  <c r="K1997" i="7" s="1"/>
  <c r="L1996" i="7"/>
  <c r="K1996" i="7"/>
  <c r="J1996" i="7"/>
  <c r="L1995" i="7"/>
  <c r="K1995" i="7"/>
  <c r="J1995" i="7"/>
  <c r="J1994" i="7"/>
  <c r="L1994" i="7" s="1"/>
  <c r="L1993" i="7"/>
  <c r="J1993" i="7"/>
  <c r="K1993" i="7" s="1"/>
  <c r="L1992" i="7"/>
  <c r="K1992" i="7"/>
  <c r="J1992" i="7"/>
  <c r="J1991" i="7"/>
  <c r="L1991" i="7" s="1"/>
  <c r="K1990" i="7"/>
  <c r="J1990" i="7"/>
  <c r="L1990" i="7" s="1"/>
  <c r="J1989" i="7"/>
  <c r="K1989" i="7" s="1"/>
  <c r="L1988" i="7"/>
  <c r="K1988" i="7"/>
  <c r="J1988" i="7"/>
  <c r="L1987" i="7"/>
  <c r="K1987" i="7"/>
  <c r="J1987" i="7"/>
  <c r="J1986" i="7"/>
  <c r="L1986" i="7" s="1"/>
  <c r="L1985" i="7"/>
  <c r="J1985" i="7"/>
  <c r="K1985" i="7" s="1"/>
  <c r="L1984" i="7"/>
  <c r="K1984" i="7"/>
  <c r="J1984" i="7"/>
  <c r="J1983" i="7"/>
  <c r="L1983" i="7" s="1"/>
  <c r="K1982" i="7"/>
  <c r="J1982" i="7"/>
  <c r="L1982" i="7" s="1"/>
  <c r="J1981" i="7"/>
  <c r="K1981" i="7" s="1"/>
  <c r="L1980" i="7"/>
  <c r="K1980" i="7"/>
  <c r="J1980" i="7"/>
  <c r="L1979" i="7"/>
  <c r="K1979" i="7"/>
  <c r="J1979" i="7"/>
  <c r="J1978" i="7"/>
  <c r="L1978" i="7" s="1"/>
  <c r="L1977" i="7"/>
  <c r="J1977" i="7"/>
  <c r="K1977" i="7" s="1"/>
  <c r="L1976" i="7"/>
  <c r="K1976" i="7"/>
  <c r="J1976" i="7"/>
  <c r="J1975" i="7"/>
  <c r="L1975" i="7" s="1"/>
  <c r="K1974" i="7"/>
  <c r="J1974" i="7"/>
  <c r="L1974" i="7" s="1"/>
  <c r="J1973" i="7"/>
  <c r="K1973" i="7" s="1"/>
  <c r="L1972" i="7"/>
  <c r="K1972" i="7"/>
  <c r="J1972" i="7"/>
  <c r="L1971" i="7"/>
  <c r="K1971" i="7"/>
  <c r="J1971" i="7"/>
  <c r="J1970" i="7"/>
  <c r="L1970" i="7" s="1"/>
  <c r="L1969" i="7"/>
  <c r="J1969" i="7"/>
  <c r="K1969" i="7" s="1"/>
  <c r="L1968" i="7"/>
  <c r="K1968" i="7"/>
  <c r="J1968" i="7"/>
  <c r="J1967" i="7"/>
  <c r="L1967" i="7" s="1"/>
  <c r="K1966" i="7"/>
  <c r="J1966" i="7"/>
  <c r="L1966" i="7" s="1"/>
  <c r="J1965" i="7"/>
  <c r="K1965" i="7" s="1"/>
  <c r="L1964" i="7"/>
  <c r="K1964" i="7"/>
  <c r="J1964" i="7"/>
  <c r="L1963" i="7"/>
  <c r="K1963" i="7"/>
  <c r="J1963" i="7"/>
  <c r="J1962" i="7"/>
  <c r="L1962" i="7" s="1"/>
  <c r="L1961" i="7"/>
  <c r="J1961" i="7"/>
  <c r="K1961" i="7" s="1"/>
  <c r="L1960" i="7"/>
  <c r="K1960" i="7"/>
  <c r="J1960" i="7"/>
  <c r="J1959" i="7"/>
  <c r="L1959" i="7" s="1"/>
  <c r="K1958" i="7"/>
  <c r="J1958" i="7"/>
  <c r="L1958" i="7" s="1"/>
  <c r="J1957" i="7"/>
  <c r="K1957" i="7" s="1"/>
  <c r="L1956" i="7"/>
  <c r="K1956" i="7"/>
  <c r="J1956" i="7"/>
  <c r="L1955" i="7"/>
  <c r="K1955" i="7"/>
  <c r="J1955" i="7"/>
  <c r="J1954" i="7"/>
  <c r="L1954" i="7" s="1"/>
  <c r="L1953" i="7"/>
  <c r="J1953" i="7"/>
  <c r="K1953" i="7" s="1"/>
  <c r="L1952" i="7"/>
  <c r="K1952" i="7"/>
  <c r="J1952" i="7"/>
  <c r="J1951" i="7"/>
  <c r="L1951" i="7" s="1"/>
  <c r="K1950" i="7"/>
  <c r="J1950" i="7"/>
  <c r="L1950" i="7" s="1"/>
  <c r="J1949" i="7"/>
  <c r="K1949" i="7" s="1"/>
  <c r="L1948" i="7"/>
  <c r="K1948" i="7"/>
  <c r="J1948" i="7"/>
  <c r="L1947" i="7"/>
  <c r="K1947" i="7"/>
  <c r="J1947" i="7"/>
  <c r="J1946" i="7"/>
  <c r="L1946" i="7" s="1"/>
  <c r="L1945" i="7"/>
  <c r="J1945" i="7"/>
  <c r="K1945" i="7" s="1"/>
  <c r="L1944" i="7"/>
  <c r="K1944" i="7"/>
  <c r="J1944" i="7"/>
  <c r="J1943" i="7"/>
  <c r="L1943" i="7" s="1"/>
  <c r="K1942" i="7"/>
  <c r="J1942" i="7"/>
  <c r="L1942" i="7" s="1"/>
  <c r="J1941" i="7"/>
  <c r="K1941" i="7" s="1"/>
  <c r="L1940" i="7"/>
  <c r="K1940" i="7"/>
  <c r="J1940" i="7"/>
  <c r="L1939" i="7"/>
  <c r="K1939" i="7"/>
  <c r="J1939" i="7"/>
  <c r="J1938" i="7"/>
  <c r="L1938" i="7" s="1"/>
  <c r="L1937" i="7"/>
  <c r="J1937" i="7"/>
  <c r="K1937" i="7" s="1"/>
  <c r="L1936" i="7"/>
  <c r="K1936" i="7"/>
  <c r="J1936" i="7"/>
  <c r="J1935" i="7"/>
  <c r="L1935" i="7" s="1"/>
  <c r="K1934" i="7"/>
  <c r="J1934" i="7"/>
  <c r="L1934" i="7" s="1"/>
  <c r="J1933" i="7"/>
  <c r="K1933" i="7" s="1"/>
  <c r="L1932" i="7"/>
  <c r="K1932" i="7"/>
  <c r="J1932" i="7"/>
  <c r="L1931" i="7"/>
  <c r="K1931" i="7"/>
  <c r="J1931" i="7"/>
  <c r="J1930" i="7"/>
  <c r="L1929" i="7"/>
  <c r="J1929" i="7"/>
  <c r="K1929" i="7" s="1"/>
  <c r="L1928" i="7"/>
  <c r="K1928" i="7"/>
  <c r="J1928" i="7"/>
  <c r="J1927" i="7"/>
  <c r="K1926" i="7"/>
  <c r="J1926" i="7"/>
  <c r="L1926" i="7" s="1"/>
  <c r="J1925" i="7"/>
  <c r="L1924" i="7"/>
  <c r="K1924" i="7"/>
  <c r="J1924" i="7"/>
  <c r="L1923" i="7"/>
  <c r="K1923" i="7"/>
  <c r="J1923" i="7"/>
  <c r="J1922" i="7"/>
  <c r="L1921" i="7"/>
  <c r="J1921" i="7"/>
  <c r="K1921" i="7" s="1"/>
  <c r="L1920" i="7"/>
  <c r="K1920" i="7"/>
  <c r="J1920" i="7"/>
  <c r="J1919" i="7"/>
  <c r="K1918" i="7"/>
  <c r="J1918" i="7"/>
  <c r="L1918" i="7" s="1"/>
  <c r="J1917" i="7"/>
  <c r="L1916" i="7"/>
  <c r="K1916" i="7"/>
  <c r="J1916" i="7"/>
  <c r="L1915" i="7"/>
  <c r="K1915" i="7"/>
  <c r="J1915" i="7"/>
  <c r="J1914" i="7"/>
  <c r="L1913" i="7"/>
  <c r="J1913" i="7"/>
  <c r="K1913" i="7" s="1"/>
  <c r="L1912" i="7"/>
  <c r="K1912" i="7"/>
  <c r="J1912" i="7"/>
  <c r="J1911" i="7"/>
  <c r="L1910" i="7"/>
  <c r="K1910" i="7"/>
  <c r="J1910" i="7"/>
  <c r="L1909" i="7"/>
  <c r="K1909" i="7"/>
  <c r="J1909" i="7"/>
  <c r="K1908" i="7"/>
  <c r="J1908" i="7"/>
  <c r="L1908" i="7" s="1"/>
  <c r="J1907" i="7"/>
  <c r="L1906" i="7"/>
  <c r="K1906" i="7"/>
  <c r="J1906" i="7"/>
  <c r="L1905" i="7"/>
  <c r="K1905" i="7"/>
  <c r="J1905" i="7"/>
  <c r="K1904" i="7"/>
  <c r="J1904" i="7"/>
  <c r="L1904" i="7" s="1"/>
  <c r="J1903" i="7"/>
  <c r="L1902" i="7"/>
  <c r="K1902" i="7"/>
  <c r="J1902" i="7"/>
  <c r="L1901" i="7"/>
  <c r="K1901" i="7"/>
  <c r="J1901" i="7"/>
  <c r="K1900" i="7"/>
  <c r="J1900" i="7"/>
  <c r="L1900" i="7" s="1"/>
  <c r="J1899" i="7"/>
  <c r="L1898" i="7"/>
  <c r="K1898" i="7"/>
  <c r="J1898" i="7"/>
  <c r="L1897" i="7"/>
  <c r="K1897" i="7"/>
  <c r="J1897" i="7"/>
  <c r="K1896" i="7"/>
  <c r="J1896" i="7"/>
  <c r="L1896" i="7" s="1"/>
  <c r="J1895" i="7"/>
  <c r="L1894" i="7"/>
  <c r="K1894" i="7"/>
  <c r="J1894" i="7"/>
  <c r="L1893" i="7"/>
  <c r="K1893" i="7"/>
  <c r="J1893" i="7"/>
  <c r="K1892" i="7"/>
  <c r="J1892" i="7"/>
  <c r="L1892" i="7" s="1"/>
  <c r="J1891" i="7"/>
  <c r="L1890" i="7"/>
  <c r="K1890" i="7"/>
  <c r="J1890" i="7"/>
  <c r="L1889" i="7"/>
  <c r="K1889" i="7"/>
  <c r="J1889" i="7"/>
  <c r="K1888" i="7"/>
  <c r="J1888" i="7"/>
  <c r="L1888" i="7" s="1"/>
  <c r="J1887" i="7"/>
  <c r="L1886" i="7"/>
  <c r="K1886" i="7"/>
  <c r="J1886" i="7"/>
  <c r="L1885" i="7"/>
  <c r="K1885" i="7"/>
  <c r="J1885" i="7"/>
  <c r="K1884" i="7"/>
  <c r="J1884" i="7"/>
  <c r="L1884" i="7" s="1"/>
  <c r="J1883" i="7"/>
  <c r="L1882" i="7"/>
  <c r="K1882" i="7"/>
  <c r="J1882" i="7"/>
  <c r="L1881" i="7"/>
  <c r="K1881" i="7"/>
  <c r="J1881" i="7"/>
  <c r="K1880" i="7"/>
  <c r="J1880" i="7"/>
  <c r="L1880" i="7" s="1"/>
  <c r="J1879" i="7"/>
  <c r="L1878" i="7"/>
  <c r="K1878" i="7"/>
  <c r="J1878" i="7"/>
  <c r="L1877" i="7"/>
  <c r="K1877" i="7"/>
  <c r="J1877" i="7"/>
  <c r="K1876" i="7"/>
  <c r="J1876" i="7"/>
  <c r="L1876" i="7" s="1"/>
  <c r="J1875" i="7"/>
  <c r="L1874" i="7"/>
  <c r="K1874" i="7"/>
  <c r="J1874" i="7"/>
  <c r="L1873" i="7"/>
  <c r="K1873" i="7"/>
  <c r="J1873" i="7"/>
  <c r="K1872" i="7"/>
  <c r="J1872" i="7"/>
  <c r="L1872" i="7" s="1"/>
  <c r="J1871" i="7"/>
  <c r="L1870" i="7"/>
  <c r="K1870" i="7"/>
  <c r="J1870" i="7"/>
  <c r="L1869" i="7"/>
  <c r="K1869" i="7"/>
  <c r="J1869" i="7"/>
  <c r="K1868" i="7"/>
  <c r="J1868" i="7"/>
  <c r="L1868" i="7" s="1"/>
  <c r="J1867" i="7"/>
  <c r="L1866" i="7"/>
  <c r="K1866" i="7"/>
  <c r="J1866" i="7"/>
  <c r="L1865" i="7"/>
  <c r="K1865" i="7"/>
  <c r="J1865" i="7"/>
  <c r="K1864" i="7"/>
  <c r="J1864" i="7"/>
  <c r="L1864" i="7" s="1"/>
  <c r="J1863" i="7"/>
  <c r="L1862" i="7"/>
  <c r="K1862" i="7"/>
  <c r="J1862" i="7"/>
  <c r="L1861" i="7"/>
  <c r="K1861" i="7"/>
  <c r="J1861" i="7"/>
  <c r="K1860" i="7"/>
  <c r="J1860" i="7"/>
  <c r="L1860" i="7" s="1"/>
  <c r="J1859" i="7"/>
  <c r="L1858" i="7"/>
  <c r="K1858" i="7"/>
  <c r="J1858" i="7"/>
  <c r="L1857" i="7"/>
  <c r="K1857" i="7"/>
  <c r="J1857" i="7"/>
  <c r="K1856" i="7"/>
  <c r="J1856" i="7"/>
  <c r="L1856" i="7" s="1"/>
  <c r="J1855" i="7"/>
  <c r="L1854" i="7"/>
  <c r="K1854" i="7"/>
  <c r="J1854" i="7"/>
  <c r="L1853" i="7"/>
  <c r="K1853" i="7"/>
  <c r="J1853" i="7"/>
  <c r="K1852" i="7"/>
  <c r="J1852" i="7"/>
  <c r="L1852" i="7" s="1"/>
  <c r="J1851" i="7"/>
  <c r="L1850" i="7"/>
  <c r="K1850" i="7"/>
  <c r="J1850" i="7"/>
  <c r="L1849" i="7"/>
  <c r="K1849" i="7"/>
  <c r="J1849" i="7"/>
  <c r="K1848" i="7"/>
  <c r="J1848" i="7"/>
  <c r="L1848" i="7" s="1"/>
  <c r="J1847" i="7"/>
  <c r="L1846" i="7"/>
  <c r="K1846" i="7"/>
  <c r="J1846" i="7"/>
  <c r="L1845" i="7"/>
  <c r="K1845" i="7"/>
  <c r="J1845" i="7"/>
  <c r="K1844" i="7"/>
  <c r="J1844" i="7"/>
  <c r="L1844" i="7" s="1"/>
  <c r="J1843" i="7"/>
  <c r="L1842" i="7"/>
  <c r="K1842" i="7"/>
  <c r="J1842" i="7"/>
  <c r="L1841" i="7"/>
  <c r="K1841" i="7"/>
  <c r="J1841" i="7"/>
  <c r="K1840" i="7"/>
  <c r="J1840" i="7"/>
  <c r="L1840" i="7" s="1"/>
  <c r="J1839" i="7"/>
  <c r="L1838" i="7"/>
  <c r="K1838" i="7"/>
  <c r="J1838" i="7"/>
  <c r="L1837" i="7"/>
  <c r="K1837" i="7"/>
  <c r="J1837" i="7"/>
  <c r="K1836" i="7"/>
  <c r="J1836" i="7"/>
  <c r="L1836" i="7" s="1"/>
  <c r="J1835" i="7"/>
  <c r="L1834" i="7"/>
  <c r="K1834" i="7"/>
  <c r="J1834" i="7"/>
  <c r="L1833" i="7"/>
  <c r="K1833" i="7"/>
  <c r="J1833" i="7"/>
  <c r="K1832" i="7"/>
  <c r="J1832" i="7"/>
  <c r="L1832" i="7" s="1"/>
  <c r="J1831" i="7"/>
  <c r="L1830" i="7"/>
  <c r="K1830" i="7"/>
  <c r="J1830" i="7"/>
  <c r="L1829" i="7"/>
  <c r="K1829" i="7"/>
  <c r="J1829" i="7"/>
  <c r="K1828" i="7"/>
  <c r="J1828" i="7"/>
  <c r="L1828" i="7" s="1"/>
  <c r="J1827" i="7"/>
  <c r="L1826" i="7"/>
  <c r="K1826" i="7"/>
  <c r="J1826" i="7"/>
  <c r="L1825" i="7"/>
  <c r="K1825" i="7"/>
  <c r="J1825" i="7"/>
  <c r="K1824" i="7"/>
  <c r="J1824" i="7"/>
  <c r="L1824" i="7" s="1"/>
  <c r="J1823" i="7"/>
  <c r="L1822" i="7"/>
  <c r="K1822" i="7"/>
  <c r="J1822" i="7"/>
  <c r="L1821" i="7"/>
  <c r="K1821" i="7"/>
  <c r="J1821" i="7"/>
  <c r="K1820" i="7"/>
  <c r="J1820" i="7"/>
  <c r="L1820" i="7" s="1"/>
  <c r="J1819" i="7"/>
  <c r="L1818" i="7"/>
  <c r="K1818" i="7"/>
  <c r="J1818" i="7"/>
  <c r="L1817" i="7"/>
  <c r="K1817" i="7"/>
  <c r="J1817" i="7"/>
  <c r="K1816" i="7"/>
  <c r="J1816" i="7"/>
  <c r="L1816" i="7" s="1"/>
  <c r="J1815" i="7"/>
  <c r="L1814" i="7"/>
  <c r="K1814" i="7"/>
  <c r="J1814" i="7"/>
  <c r="L1813" i="7"/>
  <c r="K1813" i="7"/>
  <c r="J1813" i="7"/>
  <c r="K1812" i="7"/>
  <c r="J1812" i="7"/>
  <c r="L1812" i="7" s="1"/>
  <c r="J1811" i="7"/>
  <c r="L1810" i="7"/>
  <c r="K1810" i="7"/>
  <c r="J1810" i="7"/>
  <c r="L1809" i="7"/>
  <c r="K1809" i="7"/>
  <c r="J1809" i="7"/>
  <c r="K1808" i="7"/>
  <c r="J1808" i="7"/>
  <c r="L1808" i="7" s="1"/>
  <c r="J1807" i="7"/>
  <c r="L1806" i="7"/>
  <c r="K1806" i="7"/>
  <c r="J1806" i="7"/>
  <c r="L1805" i="7"/>
  <c r="K1805" i="7"/>
  <c r="J1805" i="7"/>
  <c r="J1804" i="7"/>
  <c r="L1804" i="7" s="1"/>
  <c r="J1803" i="7"/>
  <c r="L1802" i="7"/>
  <c r="K1802" i="7"/>
  <c r="J1802" i="7"/>
  <c r="L1801" i="7"/>
  <c r="K1801" i="7"/>
  <c r="J1801" i="7"/>
  <c r="J1800" i="7"/>
  <c r="L1800" i="7" s="1"/>
  <c r="J1799" i="7"/>
  <c r="L1798" i="7"/>
  <c r="K1798" i="7"/>
  <c r="J1798" i="7"/>
  <c r="L1797" i="7"/>
  <c r="K1797" i="7"/>
  <c r="J1797" i="7"/>
  <c r="K1796" i="7"/>
  <c r="J1796" i="7"/>
  <c r="L1796" i="7" s="1"/>
  <c r="J1795" i="7"/>
  <c r="L1794" i="7"/>
  <c r="K1794" i="7"/>
  <c r="J1794" i="7"/>
  <c r="L1793" i="7"/>
  <c r="K1793" i="7"/>
  <c r="J1793" i="7"/>
  <c r="K1792" i="7"/>
  <c r="J1792" i="7"/>
  <c r="L1792" i="7" s="1"/>
  <c r="J1791" i="7"/>
  <c r="L1790" i="7"/>
  <c r="K1790" i="7"/>
  <c r="J1790" i="7"/>
  <c r="L1789" i="7"/>
  <c r="K1789" i="7"/>
  <c r="J1789" i="7"/>
  <c r="J1788" i="7"/>
  <c r="L1788" i="7" s="1"/>
  <c r="J1787" i="7"/>
  <c r="L1786" i="7"/>
  <c r="K1786" i="7"/>
  <c r="J1786" i="7"/>
  <c r="L1785" i="7"/>
  <c r="K1785" i="7"/>
  <c r="J1785" i="7"/>
  <c r="J1784" i="7"/>
  <c r="L1784" i="7" s="1"/>
  <c r="L1783" i="7"/>
  <c r="J1783" i="7"/>
  <c r="K1783" i="7" s="1"/>
  <c r="L1782" i="7"/>
  <c r="K1782" i="7"/>
  <c r="J1782" i="7"/>
  <c r="J1781" i="7"/>
  <c r="L1781" i="7" s="1"/>
  <c r="K1780" i="7"/>
  <c r="J1780" i="7"/>
  <c r="L1780" i="7" s="1"/>
  <c r="J1779" i="7"/>
  <c r="K1779" i="7" s="1"/>
  <c r="L1778" i="7"/>
  <c r="K1778" i="7"/>
  <c r="J1778" i="7"/>
  <c r="L1777" i="7"/>
  <c r="K1777" i="7"/>
  <c r="J1777" i="7"/>
  <c r="J1776" i="7"/>
  <c r="L1776" i="7" s="1"/>
  <c r="L1775" i="7"/>
  <c r="J1775" i="7"/>
  <c r="K1775" i="7" s="1"/>
  <c r="L1774" i="7"/>
  <c r="K1774" i="7"/>
  <c r="J1774" i="7"/>
  <c r="J1773" i="7"/>
  <c r="L1773" i="7" s="1"/>
  <c r="K1772" i="7"/>
  <c r="J1772" i="7"/>
  <c r="L1772" i="7" s="1"/>
  <c r="J1771" i="7"/>
  <c r="K1771" i="7" s="1"/>
  <c r="L1770" i="7"/>
  <c r="K1770" i="7"/>
  <c r="J1770" i="7"/>
  <c r="L1769" i="7"/>
  <c r="K1769" i="7"/>
  <c r="J1769" i="7"/>
  <c r="J1768" i="7"/>
  <c r="L1768" i="7" s="1"/>
  <c r="L1767" i="7"/>
  <c r="J1767" i="7"/>
  <c r="K1767" i="7" s="1"/>
  <c r="L1766" i="7"/>
  <c r="K1766" i="7"/>
  <c r="J1766" i="7"/>
  <c r="J1765" i="7"/>
  <c r="L1765" i="7" s="1"/>
  <c r="K1764" i="7"/>
  <c r="J1764" i="7"/>
  <c r="L1764" i="7" s="1"/>
  <c r="J1763" i="7"/>
  <c r="K1763" i="7" s="1"/>
  <c r="L1762" i="7"/>
  <c r="K1762" i="7"/>
  <c r="J1762" i="7"/>
  <c r="L1761" i="7"/>
  <c r="K1761" i="7"/>
  <c r="J1761" i="7"/>
  <c r="J1760" i="7"/>
  <c r="L1760" i="7" s="1"/>
  <c r="L1759" i="7"/>
  <c r="J1759" i="7"/>
  <c r="K1759" i="7" s="1"/>
  <c r="L1758" i="7"/>
  <c r="K1758" i="7"/>
  <c r="J1758" i="7"/>
  <c r="J1757" i="7"/>
  <c r="L1757" i="7" s="1"/>
  <c r="K1756" i="7"/>
  <c r="J1756" i="7"/>
  <c r="L1756" i="7" s="1"/>
  <c r="J1755" i="7"/>
  <c r="K1755" i="7" s="1"/>
  <c r="L1754" i="7"/>
  <c r="K1754" i="7"/>
  <c r="J1754" i="7"/>
  <c r="L1753" i="7"/>
  <c r="K1753" i="7"/>
  <c r="J1753" i="7"/>
  <c r="J1752" i="7"/>
  <c r="L1752" i="7" s="1"/>
  <c r="L1751" i="7"/>
  <c r="J1751" i="7"/>
  <c r="K1751" i="7" s="1"/>
  <c r="L1750" i="7"/>
  <c r="K1750" i="7"/>
  <c r="J1750" i="7"/>
  <c r="J1749" i="7"/>
  <c r="L1749" i="7" s="1"/>
  <c r="K1748" i="7"/>
  <c r="J1748" i="7"/>
  <c r="L1748" i="7" s="1"/>
  <c r="J1747" i="7"/>
  <c r="K1747" i="7" s="1"/>
  <c r="L1746" i="7"/>
  <c r="K1746" i="7"/>
  <c r="J1746" i="7"/>
  <c r="L1745" i="7"/>
  <c r="K1745" i="7"/>
  <c r="J1745" i="7"/>
  <c r="J1744" i="7"/>
  <c r="L1744" i="7" s="1"/>
  <c r="L1743" i="7"/>
  <c r="J1743" i="7"/>
  <c r="K1743" i="7" s="1"/>
  <c r="L1742" i="7"/>
  <c r="K1742" i="7"/>
  <c r="J1742" i="7"/>
  <c r="J1741" i="7"/>
  <c r="L1741" i="7" s="1"/>
  <c r="K1740" i="7"/>
  <c r="J1740" i="7"/>
  <c r="L1740" i="7" s="1"/>
  <c r="J1739" i="7"/>
  <c r="K1739" i="7" s="1"/>
  <c r="L1738" i="7"/>
  <c r="K1738" i="7"/>
  <c r="J1738" i="7"/>
  <c r="L1737" i="7"/>
  <c r="K1737" i="7"/>
  <c r="J1737" i="7"/>
  <c r="J1736" i="7"/>
  <c r="L1736" i="7" s="1"/>
  <c r="L1735" i="7"/>
  <c r="J1735" i="7"/>
  <c r="K1735" i="7" s="1"/>
  <c r="L1734" i="7"/>
  <c r="K1734" i="7"/>
  <c r="J1734" i="7"/>
  <c r="J1733" i="7"/>
  <c r="L1733" i="7" s="1"/>
  <c r="K1732" i="7"/>
  <c r="J1732" i="7"/>
  <c r="L1732" i="7" s="1"/>
  <c r="J1731" i="7"/>
  <c r="K1731" i="7" s="1"/>
  <c r="L1730" i="7"/>
  <c r="K1730" i="7"/>
  <c r="J1730" i="7"/>
  <c r="L1729" i="7"/>
  <c r="K1729" i="7"/>
  <c r="J1729" i="7"/>
  <c r="J1728" i="7"/>
  <c r="L1728" i="7" s="1"/>
  <c r="L1727" i="7"/>
  <c r="J1727" i="7"/>
  <c r="K1727" i="7" s="1"/>
  <c r="L1726" i="7"/>
  <c r="K1726" i="7"/>
  <c r="J1726" i="7"/>
  <c r="J1725" i="7"/>
  <c r="L1725" i="7" s="1"/>
  <c r="K1724" i="7"/>
  <c r="J1724" i="7"/>
  <c r="L1724" i="7" s="1"/>
  <c r="J1723" i="7"/>
  <c r="K1723" i="7" s="1"/>
  <c r="L1722" i="7"/>
  <c r="K1722" i="7"/>
  <c r="J1722" i="7"/>
  <c r="L1721" i="7"/>
  <c r="K1721" i="7"/>
  <c r="J1721" i="7"/>
  <c r="J1720" i="7"/>
  <c r="L1720" i="7" s="1"/>
  <c r="L1719" i="7"/>
  <c r="J1719" i="7"/>
  <c r="K1719" i="7" s="1"/>
  <c r="L1718" i="7"/>
  <c r="K1718" i="7"/>
  <c r="J1718" i="7"/>
  <c r="J1717" i="7"/>
  <c r="L1717" i="7" s="1"/>
  <c r="K1716" i="7"/>
  <c r="J1716" i="7"/>
  <c r="L1716" i="7" s="1"/>
  <c r="J1715" i="7"/>
  <c r="K1715" i="7" s="1"/>
  <c r="L1714" i="7"/>
  <c r="K1714" i="7"/>
  <c r="J1714" i="7"/>
  <c r="L1713" i="7"/>
  <c r="J1713" i="7"/>
  <c r="K1713" i="7" s="1"/>
  <c r="J1712" i="7"/>
  <c r="L1712" i="7" s="1"/>
  <c r="J1711" i="7"/>
  <c r="K1711" i="7" s="1"/>
  <c r="L1710" i="7"/>
  <c r="K1710" i="7"/>
  <c r="J1710" i="7"/>
  <c r="J1709" i="7"/>
  <c r="L1709" i="7" s="1"/>
  <c r="J1708" i="7"/>
  <c r="L1708" i="7" s="1"/>
  <c r="J1707" i="7"/>
  <c r="K1707" i="7" s="1"/>
  <c r="L1706" i="7"/>
  <c r="K1706" i="7"/>
  <c r="J1706" i="7"/>
  <c r="L1705" i="7"/>
  <c r="J1705" i="7"/>
  <c r="K1705" i="7" s="1"/>
  <c r="J1704" i="7"/>
  <c r="L1704" i="7" s="1"/>
  <c r="J1703" i="7"/>
  <c r="K1703" i="7" s="1"/>
  <c r="L1702" i="7"/>
  <c r="K1702" i="7"/>
  <c r="J1702" i="7"/>
  <c r="J1701" i="7"/>
  <c r="L1701" i="7" s="1"/>
  <c r="J1700" i="7"/>
  <c r="L1700" i="7" s="1"/>
  <c r="J1699" i="7"/>
  <c r="K1699" i="7" s="1"/>
  <c r="L1698" i="7"/>
  <c r="K1698" i="7"/>
  <c r="J1698" i="7"/>
  <c r="L1697" i="7"/>
  <c r="J1697" i="7"/>
  <c r="K1697" i="7" s="1"/>
  <c r="J1696" i="7"/>
  <c r="L1696" i="7" s="1"/>
  <c r="J1695" i="7"/>
  <c r="K1695" i="7" s="1"/>
  <c r="L1694" i="7"/>
  <c r="K1694" i="7"/>
  <c r="J1694" i="7"/>
  <c r="J1693" i="7"/>
  <c r="L1693" i="7" s="1"/>
  <c r="J1692" i="7"/>
  <c r="L1692" i="7" s="1"/>
  <c r="J1691" i="7"/>
  <c r="K1691" i="7" s="1"/>
  <c r="L1690" i="7"/>
  <c r="K1690" i="7"/>
  <c r="J1690" i="7"/>
  <c r="L1689" i="7"/>
  <c r="J1689" i="7"/>
  <c r="K1689" i="7" s="1"/>
  <c r="J1688" i="7"/>
  <c r="L1688" i="7" s="1"/>
  <c r="J1687" i="7"/>
  <c r="K1687" i="7" s="1"/>
  <c r="L1686" i="7"/>
  <c r="K1686" i="7"/>
  <c r="J1686" i="7"/>
  <c r="J1685" i="7"/>
  <c r="L1685" i="7" s="1"/>
  <c r="J1684" i="7"/>
  <c r="L1684" i="7" s="1"/>
  <c r="J1683" i="7"/>
  <c r="K1683" i="7" s="1"/>
  <c r="L1682" i="7"/>
  <c r="K1682" i="7"/>
  <c r="J1682" i="7"/>
  <c r="L1681" i="7"/>
  <c r="J1681" i="7"/>
  <c r="K1681" i="7" s="1"/>
  <c r="J1680" i="7"/>
  <c r="L1680" i="7" s="1"/>
  <c r="J1679" i="7"/>
  <c r="K1679" i="7" s="1"/>
  <c r="K1678" i="7"/>
  <c r="J1678" i="7"/>
  <c r="L1678" i="7" s="1"/>
  <c r="J1677" i="7"/>
  <c r="L1677" i="7" s="1"/>
  <c r="L1676" i="7"/>
  <c r="K1676" i="7"/>
  <c r="J1676" i="7"/>
  <c r="L1675" i="7"/>
  <c r="J1675" i="7"/>
  <c r="K1675" i="7" s="1"/>
  <c r="K1674" i="7"/>
  <c r="J1674" i="7"/>
  <c r="L1674" i="7" s="1"/>
  <c r="J1673" i="7"/>
  <c r="L1673" i="7" s="1"/>
  <c r="L1672" i="7"/>
  <c r="K1672" i="7"/>
  <c r="J1672" i="7"/>
  <c r="L1671" i="7"/>
  <c r="J1671" i="7"/>
  <c r="K1671" i="7" s="1"/>
  <c r="K1670" i="7"/>
  <c r="J1670" i="7"/>
  <c r="L1670" i="7" s="1"/>
  <c r="J1669" i="7"/>
  <c r="L1669" i="7" s="1"/>
  <c r="L1668" i="7"/>
  <c r="K1668" i="7"/>
  <c r="J1668" i="7"/>
  <c r="L1667" i="7"/>
  <c r="J1667" i="7"/>
  <c r="K1667" i="7" s="1"/>
  <c r="K1666" i="7"/>
  <c r="J1666" i="7"/>
  <c r="L1666" i="7" s="1"/>
  <c r="J1665" i="7"/>
  <c r="L1665" i="7" s="1"/>
  <c r="L1664" i="7"/>
  <c r="K1664" i="7"/>
  <c r="J1664" i="7"/>
  <c r="L1663" i="7"/>
  <c r="J1663" i="7"/>
  <c r="K1663" i="7" s="1"/>
  <c r="K1662" i="7"/>
  <c r="J1662" i="7"/>
  <c r="L1662" i="7" s="1"/>
  <c r="J1661" i="7"/>
  <c r="L1661" i="7" s="1"/>
  <c r="L1660" i="7"/>
  <c r="K1660" i="7"/>
  <c r="J1660" i="7"/>
  <c r="L1659" i="7"/>
  <c r="J1659" i="7"/>
  <c r="K1659" i="7" s="1"/>
  <c r="K1658" i="7"/>
  <c r="J1658" i="7"/>
  <c r="L1658" i="7" s="1"/>
  <c r="J1657" i="7"/>
  <c r="L1657" i="7" s="1"/>
  <c r="L1656" i="7"/>
  <c r="K1656" i="7"/>
  <c r="J1656" i="7"/>
  <c r="L1655" i="7"/>
  <c r="J1655" i="7"/>
  <c r="K1655" i="7" s="1"/>
  <c r="K1654" i="7"/>
  <c r="J1654" i="7"/>
  <c r="L1654" i="7" s="1"/>
  <c r="J1653" i="7"/>
  <c r="L1653" i="7" s="1"/>
  <c r="L1652" i="7"/>
  <c r="K1652" i="7"/>
  <c r="J1652" i="7"/>
  <c r="L1651" i="7"/>
  <c r="J1651" i="7"/>
  <c r="K1651" i="7" s="1"/>
  <c r="K1650" i="7"/>
  <c r="J1650" i="7"/>
  <c r="L1650" i="7" s="1"/>
  <c r="J1649" i="7"/>
  <c r="L1649" i="7" s="1"/>
  <c r="L1648" i="7"/>
  <c r="K1648" i="7"/>
  <c r="J1648" i="7"/>
  <c r="L1647" i="7"/>
  <c r="J1647" i="7"/>
  <c r="K1647" i="7" s="1"/>
  <c r="K1646" i="7"/>
  <c r="J1646" i="7"/>
  <c r="L1646" i="7" s="1"/>
  <c r="J1645" i="7"/>
  <c r="L1645" i="7" s="1"/>
  <c r="L1644" i="7"/>
  <c r="K1644" i="7"/>
  <c r="J1644" i="7"/>
  <c r="L1643" i="7"/>
  <c r="J1643" i="7"/>
  <c r="K1643" i="7" s="1"/>
  <c r="K1642" i="7"/>
  <c r="J1642" i="7"/>
  <c r="L1642" i="7" s="1"/>
  <c r="J1641" i="7"/>
  <c r="L1641" i="7" s="1"/>
  <c r="L1640" i="7"/>
  <c r="K1640" i="7"/>
  <c r="J1640" i="7"/>
  <c r="L1639" i="7"/>
  <c r="J1639" i="7"/>
  <c r="K1639" i="7" s="1"/>
  <c r="K1638" i="7"/>
  <c r="J1638" i="7"/>
  <c r="L1638" i="7" s="1"/>
  <c r="J1637" i="7"/>
  <c r="L1637" i="7" s="1"/>
  <c r="L1636" i="7"/>
  <c r="K1636" i="7"/>
  <c r="J1636" i="7"/>
  <c r="L1635" i="7"/>
  <c r="J1635" i="7"/>
  <c r="K1635" i="7" s="1"/>
  <c r="K1634" i="7"/>
  <c r="J1634" i="7"/>
  <c r="L1634" i="7" s="1"/>
  <c r="J1633" i="7"/>
  <c r="L1633" i="7" s="1"/>
  <c r="L1632" i="7"/>
  <c r="K1632" i="7"/>
  <c r="J1632" i="7"/>
  <c r="L1631" i="7"/>
  <c r="J1631" i="7"/>
  <c r="K1631" i="7" s="1"/>
  <c r="K1630" i="7"/>
  <c r="J1630" i="7"/>
  <c r="L1630" i="7" s="1"/>
  <c r="J1629" i="7"/>
  <c r="L1629" i="7" s="1"/>
  <c r="L1628" i="7"/>
  <c r="K1628" i="7"/>
  <c r="J1628" i="7"/>
  <c r="L1627" i="7"/>
  <c r="J1627" i="7"/>
  <c r="K1627" i="7" s="1"/>
  <c r="K1626" i="7"/>
  <c r="J1626" i="7"/>
  <c r="L1626" i="7" s="1"/>
  <c r="J1625" i="7"/>
  <c r="L1625" i="7" s="1"/>
  <c r="L1624" i="7"/>
  <c r="K1624" i="7"/>
  <c r="J1624" i="7"/>
  <c r="L1623" i="7"/>
  <c r="J1623" i="7"/>
  <c r="K1623" i="7" s="1"/>
  <c r="K1622" i="7"/>
  <c r="J1622" i="7"/>
  <c r="L1622" i="7" s="1"/>
  <c r="J1621" i="7"/>
  <c r="L1621" i="7" s="1"/>
  <c r="L1620" i="7"/>
  <c r="K1620" i="7"/>
  <c r="J1620" i="7"/>
  <c r="L1619" i="7"/>
  <c r="J1619" i="7"/>
  <c r="K1619" i="7" s="1"/>
  <c r="K1618" i="7"/>
  <c r="J1618" i="7"/>
  <c r="L1618" i="7" s="1"/>
  <c r="J1617" i="7"/>
  <c r="L1617" i="7" s="1"/>
  <c r="L1616" i="7"/>
  <c r="K1616" i="7"/>
  <c r="J1616" i="7"/>
  <c r="L1615" i="7"/>
  <c r="J1615" i="7"/>
  <c r="K1615" i="7" s="1"/>
  <c r="K1614" i="7"/>
  <c r="J1614" i="7"/>
  <c r="L1614" i="7" s="1"/>
  <c r="J1613" i="7"/>
  <c r="L1613" i="7" s="1"/>
  <c r="L1612" i="7"/>
  <c r="K1612" i="7"/>
  <c r="J1612" i="7"/>
  <c r="L1611" i="7"/>
  <c r="J1611" i="7"/>
  <c r="K1611" i="7" s="1"/>
  <c r="K1610" i="7"/>
  <c r="J1610" i="7"/>
  <c r="L1610" i="7" s="1"/>
  <c r="J1609" i="7"/>
  <c r="L1609" i="7" s="1"/>
  <c r="L1608" i="7"/>
  <c r="K1608" i="7"/>
  <c r="J1608" i="7"/>
  <c r="L1607" i="7"/>
  <c r="J1607" i="7"/>
  <c r="K1607" i="7" s="1"/>
  <c r="K1606" i="7"/>
  <c r="J1606" i="7"/>
  <c r="L1606" i="7" s="1"/>
  <c r="J1605" i="7"/>
  <c r="L1605" i="7" s="1"/>
  <c r="L1604" i="7"/>
  <c r="K1604" i="7"/>
  <c r="J1604" i="7"/>
  <c r="L1603" i="7"/>
  <c r="J1603" i="7"/>
  <c r="K1603" i="7" s="1"/>
  <c r="K1602" i="7"/>
  <c r="J1602" i="7"/>
  <c r="L1602" i="7" s="1"/>
  <c r="J1601" i="7"/>
  <c r="L1601" i="7" s="1"/>
  <c r="L1600" i="7"/>
  <c r="K1600" i="7"/>
  <c r="J1600" i="7"/>
  <c r="L1599" i="7"/>
  <c r="J1599" i="7"/>
  <c r="K1599" i="7" s="1"/>
  <c r="K1598" i="7"/>
  <c r="J1598" i="7"/>
  <c r="L1598" i="7" s="1"/>
  <c r="J1597" i="7"/>
  <c r="L1597" i="7" s="1"/>
  <c r="L1596" i="7"/>
  <c r="K1596" i="7"/>
  <c r="J1596" i="7"/>
  <c r="L1595" i="7"/>
  <c r="J1595" i="7"/>
  <c r="K1595" i="7" s="1"/>
  <c r="K1594" i="7"/>
  <c r="J1594" i="7"/>
  <c r="L1594" i="7" s="1"/>
  <c r="J1593" i="7"/>
  <c r="L1593" i="7" s="1"/>
  <c r="L1592" i="7"/>
  <c r="K1592" i="7"/>
  <c r="J1592" i="7"/>
  <c r="L1591" i="7"/>
  <c r="J1591" i="7"/>
  <c r="K1591" i="7" s="1"/>
  <c r="K1590" i="7"/>
  <c r="J1590" i="7"/>
  <c r="L1590" i="7" s="1"/>
  <c r="J1589" i="7"/>
  <c r="L1589" i="7" s="1"/>
  <c r="L1588" i="7"/>
  <c r="K1588" i="7"/>
  <c r="J1588" i="7"/>
  <c r="L1587" i="7"/>
  <c r="J1587" i="7"/>
  <c r="K1587" i="7" s="1"/>
  <c r="K1586" i="7"/>
  <c r="J1586" i="7"/>
  <c r="L1586" i="7" s="1"/>
  <c r="J1585" i="7"/>
  <c r="L1585" i="7" s="1"/>
  <c r="L1584" i="7"/>
  <c r="K1584" i="7"/>
  <c r="J1584" i="7"/>
  <c r="L1583" i="7"/>
  <c r="J1583" i="7"/>
  <c r="K1583" i="7" s="1"/>
  <c r="K1582" i="7"/>
  <c r="J1582" i="7"/>
  <c r="L1582" i="7" s="1"/>
  <c r="J1581" i="7"/>
  <c r="L1581" i="7" s="1"/>
  <c r="L1580" i="7"/>
  <c r="K1580" i="7"/>
  <c r="J1580" i="7"/>
  <c r="L1579" i="7"/>
  <c r="J1579" i="7"/>
  <c r="K1579" i="7" s="1"/>
  <c r="K1578" i="7"/>
  <c r="J1578" i="7"/>
  <c r="L1578" i="7" s="1"/>
  <c r="J1577" i="7"/>
  <c r="L1577" i="7" s="1"/>
  <c r="L1576" i="7"/>
  <c r="K1576" i="7"/>
  <c r="J1576" i="7"/>
  <c r="L1575" i="7"/>
  <c r="J1575" i="7"/>
  <c r="K1575" i="7" s="1"/>
  <c r="K1574" i="7"/>
  <c r="J1574" i="7"/>
  <c r="L1574" i="7" s="1"/>
  <c r="J1573" i="7"/>
  <c r="L1573" i="7" s="1"/>
  <c r="L1572" i="7"/>
  <c r="K1572" i="7"/>
  <c r="J1572" i="7"/>
  <c r="L1571" i="7"/>
  <c r="J1571" i="7"/>
  <c r="K1571" i="7" s="1"/>
  <c r="K1570" i="7"/>
  <c r="J1570" i="7"/>
  <c r="L1570" i="7" s="1"/>
  <c r="J1569" i="7"/>
  <c r="L1569" i="7" s="1"/>
  <c r="L1568" i="7"/>
  <c r="K1568" i="7"/>
  <c r="J1568" i="7"/>
  <c r="L1567" i="7"/>
  <c r="J1567" i="7"/>
  <c r="K1567" i="7" s="1"/>
  <c r="K1566" i="7"/>
  <c r="J1566" i="7"/>
  <c r="L1566" i="7" s="1"/>
  <c r="J1565" i="7"/>
  <c r="L1565" i="7" s="1"/>
  <c r="L1564" i="7"/>
  <c r="K1564" i="7"/>
  <c r="J1564" i="7"/>
  <c r="L1563" i="7"/>
  <c r="J1563" i="7"/>
  <c r="K1563" i="7" s="1"/>
  <c r="K1562" i="7"/>
  <c r="J1562" i="7"/>
  <c r="L1562" i="7" s="1"/>
  <c r="J1561" i="7"/>
  <c r="L1561" i="7" s="1"/>
  <c r="L1560" i="7"/>
  <c r="K1560" i="7"/>
  <c r="J1560" i="7"/>
  <c r="L1559" i="7"/>
  <c r="J1559" i="7"/>
  <c r="K1559" i="7" s="1"/>
  <c r="K1558" i="7"/>
  <c r="J1558" i="7"/>
  <c r="L1558" i="7" s="1"/>
  <c r="J1557" i="7"/>
  <c r="L1557" i="7" s="1"/>
  <c r="L1556" i="7"/>
  <c r="K1556" i="7"/>
  <c r="J1556" i="7"/>
  <c r="L1555" i="7"/>
  <c r="J1555" i="7"/>
  <c r="K1555" i="7" s="1"/>
  <c r="K1554" i="7"/>
  <c r="J1554" i="7"/>
  <c r="L1554" i="7" s="1"/>
  <c r="J1553" i="7"/>
  <c r="L1553" i="7" s="1"/>
  <c r="L1552" i="7"/>
  <c r="K1552" i="7"/>
  <c r="J1552" i="7"/>
  <c r="L1551" i="7"/>
  <c r="J1551" i="7"/>
  <c r="K1551" i="7" s="1"/>
  <c r="K1550" i="7"/>
  <c r="J1550" i="7"/>
  <c r="L1550" i="7" s="1"/>
  <c r="J1549" i="7"/>
  <c r="L1549" i="7" s="1"/>
  <c r="L1548" i="7"/>
  <c r="K1548" i="7"/>
  <c r="J1548" i="7"/>
  <c r="L1547" i="7"/>
  <c r="J1547" i="7"/>
  <c r="K1547" i="7" s="1"/>
  <c r="K1546" i="7"/>
  <c r="J1546" i="7"/>
  <c r="L1546" i="7" s="1"/>
  <c r="J1545" i="7"/>
  <c r="L1545" i="7" s="1"/>
  <c r="L1544" i="7"/>
  <c r="K1544" i="7"/>
  <c r="J1544" i="7"/>
  <c r="L1543" i="7"/>
  <c r="J1543" i="7"/>
  <c r="K1543" i="7" s="1"/>
  <c r="K1542" i="7"/>
  <c r="J1542" i="7"/>
  <c r="L1542" i="7" s="1"/>
  <c r="J1541" i="7"/>
  <c r="L1541" i="7" s="1"/>
  <c r="L1540" i="7"/>
  <c r="K1540" i="7"/>
  <c r="J1540" i="7"/>
  <c r="L1539" i="7"/>
  <c r="J1539" i="7"/>
  <c r="K1539" i="7" s="1"/>
  <c r="K1538" i="7"/>
  <c r="J1538" i="7"/>
  <c r="L1538" i="7" s="1"/>
  <c r="J1537" i="7"/>
  <c r="L1537" i="7" s="1"/>
  <c r="L1536" i="7"/>
  <c r="K1536" i="7"/>
  <c r="J1536" i="7"/>
  <c r="L1535" i="7"/>
  <c r="J1535" i="7"/>
  <c r="K1535" i="7" s="1"/>
  <c r="K1534" i="7"/>
  <c r="J1534" i="7"/>
  <c r="L1534" i="7" s="1"/>
  <c r="J1533" i="7"/>
  <c r="L1533" i="7" s="1"/>
  <c r="L1532" i="7"/>
  <c r="K1532" i="7"/>
  <c r="J1532" i="7"/>
  <c r="L1531" i="7"/>
  <c r="J1531" i="7"/>
  <c r="K1531" i="7" s="1"/>
  <c r="K1530" i="7"/>
  <c r="J1530" i="7"/>
  <c r="L1530" i="7" s="1"/>
  <c r="J1529" i="7"/>
  <c r="L1529" i="7" s="1"/>
  <c r="L1528" i="7"/>
  <c r="K1528" i="7"/>
  <c r="J1528" i="7"/>
  <c r="L1527" i="7"/>
  <c r="J1527" i="7"/>
  <c r="K1527" i="7" s="1"/>
  <c r="K1526" i="7"/>
  <c r="J1526" i="7"/>
  <c r="L1526" i="7" s="1"/>
  <c r="J1525" i="7"/>
  <c r="L1525" i="7" s="1"/>
  <c r="L1524" i="7"/>
  <c r="K1524" i="7"/>
  <c r="J1524" i="7"/>
  <c r="L1523" i="7"/>
  <c r="J1523" i="7"/>
  <c r="K1523" i="7" s="1"/>
  <c r="K1522" i="7"/>
  <c r="J1522" i="7"/>
  <c r="L1522" i="7" s="1"/>
  <c r="J1521" i="7"/>
  <c r="L1521" i="7" s="1"/>
  <c r="L1520" i="7"/>
  <c r="K1520" i="7"/>
  <c r="J1520" i="7"/>
  <c r="L1519" i="7"/>
  <c r="J1519" i="7"/>
  <c r="K1519" i="7" s="1"/>
  <c r="K1518" i="7"/>
  <c r="J1518" i="7"/>
  <c r="L1518" i="7" s="1"/>
  <c r="J1517" i="7"/>
  <c r="L1517" i="7" s="1"/>
  <c r="L1516" i="7"/>
  <c r="K1516" i="7"/>
  <c r="J1516" i="7"/>
  <c r="L1515" i="7"/>
  <c r="J1515" i="7"/>
  <c r="K1515" i="7" s="1"/>
  <c r="K1514" i="7"/>
  <c r="J1514" i="7"/>
  <c r="L1514" i="7" s="1"/>
  <c r="J1513" i="7"/>
  <c r="L1513" i="7" s="1"/>
  <c r="L1512" i="7"/>
  <c r="K1512" i="7"/>
  <c r="J1512" i="7"/>
  <c r="L1511" i="7"/>
  <c r="J1511" i="7"/>
  <c r="K1511" i="7" s="1"/>
  <c r="K1510" i="7"/>
  <c r="J1510" i="7"/>
  <c r="L1510" i="7" s="1"/>
  <c r="J1509" i="7"/>
  <c r="L1509" i="7" s="1"/>
  <c r="L1508" i="7"/>
  <c r="K1508" i="7"/>
  <c r="J1508" i="7"/>
  <c r="L1507" i="7"/>
  <c r="J1507" i="7"/>
  <c r="K1507" i="7" s="1"/>
  <c r="K1506" i="7"/>
  <c r="J1506" i="7"/>
  <c r="L1506" i="7" s="1"/>
  <c r="J1505" i="7"/>
  <c r="L1505" i="7" s="1"/>
  <c r="L1504" i="7"/>
  <c r="K1504" i="7"/>
  <c r="J1504" i="7"/>
  <c r="L1503" i="7"/>
  <c r="J1503" i="7"/>
  <c r="K1503" i="7" s="1"/>
  <c r="K1502" i="7"/>
  <c r="J1502" i="7"/>
  <c r="L1502" i="7" s="1"/>
  <c r="J1501" i="7"/>
  <c r="L1501" i="7" s="1"/>
  <c r="L1500" i="7"/>
  <c r="K1500" i="7"/>
  <c r="J1500" i="7"/>
  <c r="L1499" i="7"/>
  <c r="J1499" i="7"/>
  <c r="K1499" i="7" s="1"/>
  <c r="K1498" i="7"/>
  <c r="J1498" i="7"/>
  <c r="L1498" i="7" s="1"/>
  <c r="J1497" i="7"/>
  <c r="L1497" i="7" s="1"/>
  <c r="L1496" i="7"/>
  <c r="K1496" i="7"/>
  <c r="J1496" i="7"/>
  <c r="L1495" i="7"/>
  <c r="J1495" i="7"/>
  <c r="K1495" i="7" s="1"/>
  <c r="K1494" i="7"/>
  <c r="J1494" i="7"/>
  <c r="L1494" i="7" s="1"/>
  <c r="J1493" i="7"/>
  <c r="L1493" i="7" s="1"/>
  <c r="L1492" i="7"/>
  <c r="K1492" i="7"/>
  <c r="J1492" i="7"/>
  <c r="L1491" i="7"/>
  <c r="J1491" i="7"/>
  <c r="K1491" i="7" s="1"/>
  <c r="K1490" i="7"/>
  <c r="J1490" i="7"/>
  <c r="L1490" i="7" s="1"/>
  <c r="J1489" i="7"/>
  <c r="L1489" i="7" s="1"/>
  <c r="L1488" i="7"/>
  <c r="K1488" i="7"/>
  <c r="J1488" i="7"/>
  <c r="L1487" i="7"/>
  <c r="J1487" i="7"/>
  <c r="K1487" i="7" s="1"/>
  <c r="K1486" i="7"/>
  <c r="J1486" i="7"/>
  <c r="L1486" i="7" s="1"/>
  <c r="J1485" i="7"/>
  <c r="L1485" i="7" s="1"/>
  <c r="L1484" i="7"/>
  <c r="K1484" i="7"/>
  <c r="J1484" i="7"/>
  <c r="L1483" i="7"/>
  <c r="J1483" i="7"/>
  <c r="K1483" i="7" s="1"/>
  <c r="K1482" i="7"/>
  <c r="J1482" i="7"/>
  <c r="L1482" i="7" s="1"/>
  <c r="J1481" i="7"/>
  <c r="L1481" i="7" s="1"/>
  <c r="L1480" i="7"/>
  <c r="K1480" i="7"/>
  <c r="J1480" i="7"/>
  <c r="L1479" i="7"/>
  <c r="J1479" i="7"/>
  <c r="K1479" i="7" s="1"/>
  <c r="K1478" i="7"/>
  <c r="J1478" i="7"/>
  <c r="L1478" i="7" s="1"/>
  <c r="J1477" i="7"/>
  <c r="L1476" i="7"/>
  <c r="K1476" i="7"/>
  <c r="J1476" i="7"/>
  <c r="L1475" i="7"/>
  <c r="J1475" i="7"/>
  <c r="K1475" i="7" s="1"/>
  <c r="K1474" i="7"/>
  <c r="J1474" i="7"/>
  <c r="L1474" i="7" s="1"/>
  <c r="J1473" i="7"/>
  <c r="L1472" i="7"/>
  <c r="K1472" i="7"/>
  <c r="J1472" i="7"/>
  <c r="L1471" i="7"/>
  <c r="J1471" i="7"/>
  <c r="K1471" i="7" s="1"/>
  <c r="K1470" i="7"/>
  <c r="J1470" i="7"/>
  <c r="L1470" i="7" s="1"/>
  <c r="J1469" i="7"/>
  <c r="L1468" i="7"/>
  <c r="K1468" i="7"/>
  <c r="J1468" i="7"/>
  <c r="L1467" i="7"/>
  <c r="J1467" i="7"/>
  <c r="K1467" i="7" s="1"/>
  <c r="K1466" i="7"/>
  <c r="J1466" i="7"/>
  <c r="L1466" i="7" s="1"/>
  <c r="J1465" i="7"/>
  <c r="L1464" i="7"/>
  <c r="K1464" i="7"/>
  <c r="J1464" i="7"/>
  <c r="L1463" i="7"/>
  <c r="J1463" i="7"/>
  <c r="K1463" i="7" s="1"/>
  <c r="K1462" i="7"/>
  <c r="J1462" i="7"/>
  <c r="L1462" i="7" s="1"/>
  <c r="J1461" i="7"/>
  <c r="L1460" i="7"/>
  <c r="K1460" i="7"/>
  <c r="J1460" i="7"/>
  <c r="L1459" i="7"/>
  <c r="J1459" i="7"/>
  <c r="K1459" i="7" s="1"/>
  <c r="K1458" i="7"/>
  <c r="J1458" i="7"/>
  <c r="L1458" i="7" s="1"/>
  <c r="J1457" i="7"/>
  <c r="L1456" i="7"/>
  <c r="K1456" i="7"/>
  <c r="J1456" i="7"/>
  <c r="L1455" i="7"/>
  <c r="J1455" i="7"/>
  <c r="K1455" i="7" s="1"/>
  <c r="K1454" i="7"/>
  <c r="J1454" i="7"/>
  <c r="L1454" i="7" s="1"/>
  <c r="J1453" i="7"/>
  <c r="L1452" i="7"/>
  <c r="K1452" i="7"/>
  <c r="J1452" i="7"/>
  <c r="L1451" i="7"/>
  <c r="J1451" i="7"/>
  <c r="K1451" i="7" s="1"/>
  <c r="K1450" i="7"/>
  <c r="J1450" i="7"/>
  <c r="L1450" i="7" s="1"/>
  <c r="J1449" i="7"/>
  <c r="L1448" i="7"/>
  <c r="K1448" i="7"/>
  <c r="J1448" i="7"/>
  <c r="L1447" i="7"/>
  <c r="J1447" i="7"/>
  <c r="K1447" i="7" s="1"/>
  <c r="K1446" i="7"/>
  <c r="J1446" i="7"/>
  <c r="L1446" i="7" s="1"/>
  <c r="J1445" i="7"/>
  <c r="L1444" i="7"/>
  <c r="K1444" i="7"/>
  <c r="J1444" i="7"/>
  <c r="L1443" i="7"/>
  <c r="J1443" i="7"/>
  <c r="K1443" i="7" s="1"/>
  <c r="K1442" i="7"/>
  <c r="J1442" i="7"/>
  <c r="L1442" i="7" s="1"/>
  <c r="J1441" i="7"/>
  <c r="L1440" i="7"/>
  <c r="K1440" i="7"/>
  <c r="J1440" i="7"/>
  <c r="L1439" i="7"/>
  <c r="J1439" i="7"/>
  <c r="K1439" i="7" s="1"/>
  <c r="K1438" i="7"/>
  <c r="J1438" i="7"/>
  <c r="L1438" i="7" s="1"/>
  <c r="J1437" i="7"/>
  <c r="L1436" i="7"/>
  <c r="K1436" i="7"/>
  <c r="J1436" i="7"/>
  <c r="L1435" i="7"/>
  <c r="J1435" i="7"/>
  <c r="K1435" i="7" s="1"/>
  <c r="K1434" i="7"/>
  <c r="J1434" i="7"/>
  <c r="L1434" i="7" s="1"/>
  <c r="J1433" i="7"/>
  <c r="L1432" i="7"/>
  <c r="K1432" i="7"/>
  <c r="J1432" i="7"/>
  <c r="L1431" i="7"/>
  <c r="J1431" i="7"/>
  <c r="K1431" i="7" s="1"/>
  <c r="K1430" i="7"/>
  <c r="J1430" i="7"/>
  <c r="L1430" i="7" s="1"/>
  <c r="J1429" i="7"/>
  <c r="L1428" i="7"/>
  <c r="K1428" i="7"/>
  <c r="J1428" i="7"/>
  <c r="L1427" i="7"/>
  <c r="J1427" i="7"/>
  <c r="K1427" i="7" s="1"/>
  <c r="K1426" i="7"/>
  <c r="J1426" i="7"/>
  <c r="L1426" i="7" s="1"/>
  <c r="J1425" i="7"/>
  <c r="L1424" i="7"/>
  <c r="K1424" i="7"/>
  <c r="J1424" i="7"/>
  <c r="L1423" i="7"/>
  <c r="J1423" i="7"/>
  <c r="K1423" i="7" s="1"/>
  <c r="K1422" i="7"/>
  <c r="J1422" i="7"/>
  <c r="L1422" i="7" s="1"/>
  <c r="J1421" i="7"/>
  <c r="L1420" i="7"/>
  <c r="K1420" i="7"/>
  <c r="J1420" i="7"/>
  <c r="L1419" i="7"/>
  <c r="J1419" i="7"/>
  <c r="K1419" i="7" s="1"/>
  <c r="K1418" i="7"/>
  <c r="J1418" i="7"/>
  <c r="L1418" i="7" s="1"/>
  <c r="J1417" i="7"/>
  <c r="L1416" i="7"/>
  <c r="K1416" i="7"/>
  <c r="J1416" i="7"/>
  <c r="L1415" i="7"/>
  <c r="J1415" i="7"/>
  <c r="K1415" i="7" s="1"/>
  <c r="K1414" i="7"/>
  <c r="J1414" i="7"/>
  <c r="L1414" i="7" s="1"/>
  <c r="J1413" i="7"/>
  <c r="L1412" i="7"/>
  <c r="K1412" i="7"/>
  <c r="J1412" i="7"/>
  <c r="L1411" i="7"/>
  <c r="J1411" i="7"/>
  <c r="K1411" i="7" s="1"/>
  <c r="K1410" i="7"/>
  <c r="J1410" i="7"/>
  <c r="L1410" i="7" s="1"/>
  <c r="J1409" i="7"/>
  <c r="L1408" i="7"/>
  <c r="K1408" i="7"/>
  <c r="J1408" i="7"/>
  <c r="L1407" i="7"/>
  <c r="J1407" i="7"/>
  <c r="K1407" i="7" s="1"/>
  <c r="K1406" i="7"/>
  <c r="J1406" i="7"/>
  <c r="L1406" i="7" s="1"/>
  <c r="J1405" i="7"/>
  <c r="L1404" i="7"/>
  <c r="K1404" i="7"/>
  <c r="J1404" i="7"/>
  <c r="L1403" i="7"/>
  <c r="J1403" i="7"/>
  <c r="K1403" i="7" s="1"/>
  <c r="K1402" i="7"/>
  <c r="J1402" i="7"/>
  <c r="L1402" i="7" s="1"/>
  <c r="J1401" i="7"/>
  <c r="L1400" i="7"/>
  <c r="K1400" i="7"/>
  <c r="J1400" i="7"/>
  <c r="L1399" i="7"/>
  <c r="J1399" i="7"/>
  <c r="K1399" i="7" s="1"/>
  <c r="K1398" i="7"/>
  <c r="J1398" i="7"/>
  <c r="L1398" i="7" s="1"/>
  <c r="J1397" i="7"/>
  <c r="L1396" i="7"/>
  <c r="K1396" i="7"/>
  <c r="J1396" i="7"/>
  <c r="L1395" i="7"/>
  <c r="J1395" i="7"/>
  <c r="K1395" i="7" s="1"/>
  <c r="K1394" i="7"/>
  <c r="J1394" i="7"/>
  <c r="L1394" i="7" s="1"/>
  <c r="J1393" i="7"/>
  <c r="L1392" i="7"/>
  <c r="K1392" i="7"/>
  <c r="J1392" i="7"/>
  <c r="L1391" i="7"/>
  <c r="J1391" i="7"/>
  <c r="K1391" i="7" s="1"/>
  <c r="K1390" i="7"/>
  <c r="J1390" i="7"/>
  <c r="L1390" i="7" s="1"/>
  <c r="J1389" i="7"/>
  <c r="L1388" i="7"/>
  <c r="K1388" i="7"/>
  <c r="J1388" i="7"/>
  <c r="L1387" i="7"/>
  <c r="J1387" i="7"/>
  <c r="K1387" i="7" s="1"/>
  <c r="K1386" i="7"/>
  <c r="J1386" i="7"/>
  <c r="L1386" i="7" s="1"/>
  <c r="J1385" i="7"/>
  <c r="L1384" i="7"/>
  <c r="K1384" i="7"/>
  <c r="J1384" i="7"/>
  <c r="L1383" i="7"/>
  <c r="J1383" i="7"/>
  <c r="K1383" i="7" s="1"/>
  <c r="K1382" i="7"/>
  <c r="J1382" i="7"/>
  <c r="L1382" i="7" s="1"/>
  <c r="J1381" i="7"/>
  <c r="L1380" i="7"/>
  <c r="K1380" i="7"/>
  <c r="J1380" i="7"/>
  <c r="L1379" i="7"/>
  <c r="J1379" i="7"/>
  <c r="K1379" i="7" s="1"/>
  <c r="K1378" i="7"/>
  <c r="J1378" i="7"/>
  <c r="L1378" i="7" s="1"/>
  <c r="J1377" i="7"/>
  <c r="L1376" i="7"/>
  <c r="K1376" i="7"/>
  <c r="J1376" i="7"/>
  <c r="L1375" i="7"/>
  <c r="J1375" i="7"/>
  <c r="K1375" i="7" s="1"/>
  <c r="K1374" i="7"/>
  <c r="J1374" i="7"/>
  <c r="L1374" i="7" s="1"/>
  <c r="J1373" i="7"/>
  <c r="L1372" i="7"/>
  <c r="K1372" i="7"/>
  <c r="J1372" i="7"/>
  <c r="L1371" i="7"/>
  <c r="J1371" i="7"/>
  <c r="K1371" i="7" s="1"/>
  <c r="K1370" i="7"/>
  <c r="J1370" i="7"/>
  <c r="L1370" i="7" s="1"/>
  <c r="J1369" i="7"/>
  <c r="L1368" i="7"/>
  <c r="K1368" i="7"/>
  <c r="J1368" i="7"/>
  <c r="L1367" i="7"/>
  <c r="J1367" i="7"/>
  <c r="K1367" i="7" s="1"/>
  <c r="K1366" i="7"/>
  <c r="J1366" i="7"/>
  <c r="L1366" i="7" s="1"/>
  <c r="L1365" i="7"/>
  <c r="J1365" i="7"/>
  <c r="K1365" i="7" s="1"/>
  <c r="L1364" i="7"/>
  <c r="K1364" i="7"/>
  <c r="J1364" i="7"/>
  <c r="L1363" i="7"/>
  <c r="J1363" i="7"/>
  <c r="K1363" i="7" s="1"/>
  <c r="K1362" i="7"/>
  <c r="J1362" i="7"/>
  <c r="L1362" i="7" s="1"/>
  <c r="L1361" i="7"/>
  <c r="J1361" i="7"/>
  <c r="K1361" i="7" s="1"/>
  <c r="L1360" i="7"/>
  <c r="K1360" i="7"/>
  <c r="J1360" i="7"/>
  <c r="J1359" i="7"/>
  <c r="K1359" i="7" s="1"/>
  <c r="K1358" i="7"/>
  <c r="J1358" i="7"/>
  <c r="L1358" i="7" s="1"/>
  <c r="J1357" i="7"/>
  <c r="K1357" i="7" s="1"/>
  <c r="L1356" i="7"/>
  <c r="K1356" i="7"/>
  <c r="J1356" i="7"/>
  <c r="L1355" i="7"/>
  <c r="K1355" i="7"/>
  <c r="J1355" i="7"/>
  <c r="J1354" i="7"/>
  <c r="L1354" i="7" s="1"/>
  <c r="L1353" i="7"/>
  <c r="J1353" i="7"/>
  <c r="K1353" i="7" s="1"/>
  <c r="L1352" i="7"/>
  <c r="K1352" i="7"/>
  <c r="J1352" i="7"/>
  <c r="J1351" i="7"/>
  <c r="L1351" i="7" s="1"/>
  <c r="K1350" i="7"/>
  <c r="J1350" i="7"/>
  <c r="L1350" i="7" s="1"/>
  <c r="J1349" i="7"/>
  <c r="K1349" i="7" s="1"/>
  <c r="L1348" i="7"/>
  <c r="K1348" i="7"/>
  <c r="J1348" i="7"/>
  <c r="L1347" i="7"/>
  <c r="K1347" i="7"/>
  <c r="J1347" i="7"/>
  <c r="J1346" i="7"/>
  <c r="L1346" i="7" s="1"/>
  <c r="L1345" i="7"/>
  <c r="J1345" i="7"/>
  <c r="K1345" i="7" s="1"/>
  <c r="L1344" i="7"/>
  <c r="K1344" i="7"/>
  <c r="J1344" i="7"/>
  <c r="J1343" i="7"/>
  <c r="L1343" i="7" s="1"/>
  <c r="K1342" i="7"/>
  <c r="J1342" i="7"/>
  <c r="L1342" i="7" s="1"/>
  <c r="J1341" i="7"/>
  <c r="K1341" i="7" s="1"/>
  <c r="L1340" i="7"/>
  <c r="K1340" i="7"/>
  <c r="J1340" i="7"/>
  <c r="L1339" i="7"/>
  <c r="K1339" i="7"/>
  <c r="J1339" i="7"/>
  <c r="J1338" i="7"/>
  <c r="L1338" i="7" s="1"/>
  <c r="L1337" i="7"/>
  <c r="J1337" i="7"/>
  <c r="K1337" i="7" s="1"/>
  <c r="L1336" i="7"/>
  <c r="K1336" i="7"/>
  <c r="J1336" i="7"/>
  <c r="J1335" i="7"/>
  <c r="L1335" i="7" s="1"/>
  <c r="K1334" i="7"/>
  <c r="J1334" i="7"/>
  <c r="L1334" i="7" s="1"/>
  <c r="J1333" i="7"/>
  <c r="K1333" i="7" s="1"/>
  <c r="L1332" i="7"/>
  <c r="K1332" i="7"/>
  <c r="J1332" i="7"/>
  <c r="L1331" i="7"/>
  <c r="K1331" i="7"/>
  <c r="J1331" i="7"/>
  <c r="J1330" i="7"/>
  <c r="L1330" i="7" s="1"/>
  <c r="L1329" i="7"/>
  <c r="J1329" i="7"/>
  <c r="K1329" i="7" s="1"/>
  <c r="L1328" i="7"/>
  <c r="K1328" i="7"/>
  <c r="J1328" i="7"/>
  <c r="J1327" i="7"/>
  <c r="L1327" i="7" s="1"/>
  <c r="K1326" i="7"/>
  <c r="J1326" i="7"/>
  <c r="L1326" i="7" s="1"/>
  <c r="J1325" i="7"/>
  <c r="K1325" i="7" s="1"/>
  <c r="L1324" i="7"/>
  <c r="K1324" i="7"/>
  <c r="J1324" i="7"/>
  <c r="L1323" i="7"/>
  <c r="K1323" i="7"/>
  <c r="J1323" i="7"/>
  <c r="J1322" i="7"/>
  <c r="L1322" i="7" s="1"/>
  <c r="L1321" i="7"/>
  <c r="J1321" i="7"/>
  <c r="K1321" i="7" s="1"/>
  <c r="L1320" i="7"/>
  <c r="K1320" i="7"/>
  <c r="J1320" i="7"/>
  <c r="J1319" i="7"/>
  <c r="L1319" i="7" s="1"/>
  <c r="K1318" i="7"/>
  <c r="J1318" i="7"/>
  <c r="L1318" i="7" s="1"/>
  <c r="J1317" i="7"/>
  <c r="K1317" i="7" s="1"/>
  <c r="L1316" i="7"/>
  <c r="K1316" i="7"/>
  <c r="J1316" i="7"/>
  <c r="L1315" i="7"/>
  <c r="K1315" i="7"/>
  <c r="J1315" i="7"/>
  <c r="J1314" i="7"/>
  <c r="L1314" i="7" s="1"/>
  <c r="L1313" i="7"/>
  <c r="J1313" i="7"/>
  <c r="K1313" i="7" s="1"/>
  <c r="L1312" i="7"/>
  <c r="K1312" i="7"/>
  <c r="J1312" i="7"/>
  <c r="J1311" i="7"/>
  <c r="L1311" i="7" s="1"/>
  <c r="K1310" i="7"/>
  <c r="J1310" i="7"/>
  <c r="L1310" i="7" s="1"/>
  <c r="J1309" i="7"/>
  <c r="K1309" i="7" s="1"/>
  <c r="L1308" i="7"/>
  <c r="K1308" i="7"/>
  <c r="J1308" i="7"/>
  <c r="L1307" i="7"/>
  <c r="K1307" i="7"/>
  <c r="J1307" i="7"/>
  <c r="J1306" i="7"/>
  <c r="L1306" i="7" s="1"/>
  <c r="L1305" i="7"/>
  <c r="J1305" i="7"/>
  <c r="K1305" i="7" s="1"/>
  <c r="L1304" i="7"/>
  <c r="K1304" i="7"/>
  <c r="J1304" i="7"/>
  <c r="J1303" i="7"/>
  <c r="L1303" i="7" s="1"/>
  <c r="K1302" i="7"/>
  <c r="J1302" i="7"/>
  <c r="L1302" i="7" s="1"/>
  <c r="J1301" i="7"/>
  <c r="K1301" i="7" s="1"/>
  <c r="L1300" i="7"/>
  <c r="K1300" i="7"/>
  <c r="J1300" i="7"/>
  <c r="L1299" i="7"/>
  <c r="K1299" i="7"/>
  <c r="J1299" i="7"/>
  <c r="J1298" i="7"/>
  <c r="L1298" i="7" s="1"/>
  <c r="L1297" i="7"/>
  <c r="J1297" i="7"/>
  <c r="K1297" i="7" s="1"/>
  <c r="L1296" i="7"/>
  <c r="K1296" i="7"/>
  <c r="J1296" i="7"/>
  <c r="J1295" i="7"/>
  <c r="L1295" i="7" s="1"/>
  <c r="K1294" i="7"/>
  <c r="J1294" i="7"/>
  <c r="L1294" i="7" s="1"/>
  <c r="J1293" i="7"/>
  <c r="K1293" i="7" s="1"/>
  <c r="L1292" i="7"/>
  <c r="K1292" i="7"/>
  <c r="J1292" i="7"/>
  <c r="L1291" i="7"/>
  <c r="K1291" i="7"/>
  <c r="J1291" i="7"/>
  <c r="J1290" i="7"/>
  <c r="L1290" i="7" s="1"/>
  <c r="L1289" i="7"/>
  <c r="J1289" i="7"/>
  <c r="K1289" i="7" s="1"/>
  <c r="L1288" i="7"/>
  <c r="K1288" i="7"/>
  <c r="J1288" i="7"/>
  <c r="J1287" i="7"/>
  <c r="L1287" i="7" s="1"/>
  <c r="K1286" i="7"/>
  <c r="J1286" i="7"/>
  <c r="L1286" i="7" s="1"/>
  <c r="J1285" i="7"/>
  <c r="K1285" i="7" s="1"/>
  <c r="L1284" i="7"/>
  <c r="K1284" i="7"/>
  <c r="J1284" i="7"/>
  <c r="L1283" i="7"/>
  <c r="K1283" i="7"/>
  <c r="J1283" i="7"/>
  <c r="J1282" i="7"/>
  <c r="L1282" i="7" s="1"/>
  <c r="L1281" i="7"/>
  <c r="J1281" i="7"/>
  <c r="K1281" i="7" s="1"/>
  <c r="L1280" i="7"/>
  <c r="K1280" i="7"/>
  <c r="J1280" i="7"/>
  <c r="J1279" i="7"/>
  <c r="L1279" i="7" s="1"/>
  <c r="K1278" i="7"/>
  <c r="J1278" i="7"/>
  <c r="L1278" i="7" s="1"/>
  <c r="J1277" i="7"/>
  <c r="K1277" i="7" s="1"/>
  <c r="L1276" i="7"/>
  <c r="K1276" i="7"/>
  <c r="J1276" i="7"/>
  <c r="L1275" i="7"/>
  <c r="K1275" i="7"/>
  <c r="J1275" i="7"/>
  <c r="J1274" i="7"/>
  <c r="L1274" i="7" s="1"/>
  <c r="L1273" i="7"/>
  <c r="J1273" i="7"/>
  <c r="K1273" i="7" s="1"/>
  <c r="L1272" i="7"/>
  <c r="K1272" i="7"/>
  <c r="J1272" i="7"/>
  <c r="J1271" i="7"/>
  <c r="L1271" i="7" s="1"/>
  <c r="K1270" i="7"/>
  <c r="J1270" i="7"/>
  <c r="L1270" i="7" s="1"/>
  <c r="J1269" i="7"/>
  <c r="K1269" i="7" s="1"/>
  <c r="L1268" i="7"/>
  <c r="K1268" i="7"/>
  <c r="J1268" i="7"/>
  <c r="L1267" i="7"/>
  <c r="K1267" i="7"/>
  <c r="J1267" i="7"/>
  <c r="J1266" i="7"/>
  <c r="L1266" i="7" s="1"/>
  <c r="L1265" i="7"/>
  <c r="J1265" i="7"/>
  <c r="K1265" i="7" s="1"/>
  <c r="L1264" i="7"/>
  <c r="K1264" i="7"/>
  <c r="J1264" i="7"/>
  <c r="J1263" i="7"/>
  <c r="L1263" i="7" s="1"/>
  <c r="K1262" i="7"/>
  <c r="J1262" i="7"/>
  <c r="L1262" i="7" s="1"/>
  <c r="J1261" i="7"/>
  <c r="K1261" i="7" s="1"/>
  <c r="L1260" i="7"/>
  <c r="K1260" i="7"/>
  <c r="J1260" i="7"/>
  <c r="L1259" i="7"/>
  <c r="K1259" i="7"/>
  <c r="J1259" i="7"/>
  <c r="J1258" i="7"/>
  <c r="L1258" i="7" s="1"/>
  <c r="L1257" i="7"/>
  <c r="J1257" i="7"/>
  <c r="K1257" i="7" s="1"/>
  <c r="L1256" i="7"/>
  <c r="K1256" i="7"/>
  <c r="J1256" i="7"/>
  <c r="J1255" i="7"/>
  <c r="L1255" i="7" s="1"/>
  <c r="K1254" i="7"/>
  <c r="J1254" i="7"/>
  <c r="L1254" i="7" s="1"/>
  <c r="J1253" i="7"/>
  <c r="K1253" i="7" s="1"/>
  <c r="L1252" i="7"/>
  <c r="K1252" i="7"/>
  <c r="J1252" i="7"/>
  <c r="L1251" i="7"/>
  <c r="K1251" i="7"/>
  <c r="J1251" i="7"/>
  <c r="J1250" i="7"/>
  <c r="L1250" i="7" s="1"/>
  <c r="L1249" i="7"/>
  <c r="J1249" i="7"/>
  <c r="K1249" i="7" s="1"/>
  <c r="L1248" i="7"/>
  <c r="K1248" i="7"/>
  <c r="J1248" i="7"/>
  <c r="J1247" i="7"/>
  <c r="L1247" i="7" s="1"/>
  <c r="K1246" i="7"/>
  <c r="J1246" i="7"/>
  <c r="L1246" i="7" s="1"/>
  <c r="J1245" i="7"/>
  <c r="K1245" i="7" s="1"/>
  <c r="L1244" i="7"/>
  <c r="K1244" i="7"/>
  <c r="J1244" i="7"/>
  <c r="L1243" i="7"/>
  <c r="K1243" i="7"/>
  <c r="J1243" i="7"/>
  <c r="J1242" i="7"/>
  <c r="L1242" i="7" s="1"/>
  <c r="L1241" i="7"/>
  <c r="J1241" i="7"/>
  <c r="K1241" i="7" s="1"/>
  <c r="L1240" i="7"/>
  <c r="K1240" i="7"/>
  <c r="J1240" i="7"/>
  <c r="J1239" i="7"/>
  <c r="L1239" i="7" s="1"/>
  <c r="K1238" i="7"/>
  <c r="J1238" i="7"/>
  <c r="L1238" i="7" s="1"/>
  <c r="J1237" i="7"/>
  <c r="K1237" i="7" s="1"/>
  <c r="L1236" i="7"/>
  <c r="K1236" i="7"/>
  <c r="J1236" i="7"/>
  <c r="L1235" i="7"/>
  <c r="K1235" i="7"/>
  <c r="J1235" i="7"/>
  <c r="J1234" i="7"/>
  <c r="L1234" i="7" s="1"/>
  <c r="L1233" i="7"/>
  <c r="J1233" i="7"/>
  <c r="K1233" i="7" s="1"/>
  <c r="L1232" i="7"/>
  <c r="K1232" i="7"/>
  <c r="J1232" i="7"/>
  <c r="J1231" i="7"/>
  <c r="L1231" i="7" s="1"/>
  <c r="K1230" i="7"/>
  <c r="J1230" i="7"/>
  <c r="L1230" i="7" s="1"/>
  <c r="J1229" i="7"/>
  <c r="K1229" i="7" s="1"/>
  <c r="L1228" i="7"/>
  <c r="K1228" i="7"/>
  <c r="J1228" i="7"/>
  <c r="L1227" i="7"/>
  <c r="K1227" i="7"/>
  <c r="J1227" i="7"/>
  <c r="J1226" i="7"/>
  <c r="L1226" i="7" s="1"/>
  <c r="L1225" i="7"/>
  <c r="J1225" i="7"/>
  <c r="K1225" i="7" s="1"/>
  <c r="L1224" i="7"/>
  <c r="K1224" i="7"/>
  <c r="J1224" i="7"/>
  <c r="J1223" i="7"/>
  <c r="L1223" i="7" s="1"/>
  <c r="K1222" i="7"/>
  <c r="J1222" i="7"/>
  <c r="L1222" i="7" s="1"/>
  <c r="J1221" i="7"/>
  <c r="K1221" i="7" s="1"/>
  <c r="L1220" i="7"/>
  <c r="K1220" i="7"/>
  <c r="J1220" i="7"/>
  <c r="L1219" i="7"/>
  <c r="K1219" i="7"/>
  <c r="J1219" i="7"/>
  <c r="J1218" i="7"/>
  <c r="L1218" i="7" s="1"/>
  <c r="L1217" i="7"/>
  <c r="J1217" i="7"/>
  <c r="K1217" i="7" s="1"/>
  <c r="L1216" i="7"/>
  <c r="K1216" i="7"/>
  <c r="J1216" i="7"/>
  <c r="J1215" i="7"/>
  <c r="L1215" i="7" s="1"/>
  <c r="K1214" i="7"/>
  <c r="J1214" i="7"/>
  <c r="L1214" i="7" s="1"/>
  <c r="J1213" i="7"/>
  <c r="K1213" i="7" s="1"/>
  <c r="L1212" i="7"/>
  <c r="K1212" i="7"/>
  <c r="J1212" i="7"/>
  <c r="L1211" i="7"/>
  <c r="K1211" i="7"/>
  <c r="J1211" i="7"/>
  <c r="J1210" i="7"/>
  <c r="L1210" i="7" s="1"/>
  <c r="L1209" i="7"/>
  <c r="J1209" i="7"/>
  <c r="K1209" i="7" s="1"/>
  <c r="L1208" i="7"/>
  <c r="K1208" i="7"/>
  <c r="J1208" i="7"/>
  <c r="J1207" i="7"/>
  <c r="L1207" i="7" s="1"/>
  <c r="K1206" i="7"/>
  <c r="J1206" i="7"/>
  <c r="L1206" i="7" s="1"/>
  <c r="J1205" i="7"/>
  <c r="K1205" i="7" s="1"/>
  <c r="L1204" i="7"/>
  <c r="K1204" i="7"/>
  <c r="J1204" i="7"/>
  <c r="L1203" i="7"/>
  <c r="K1203" i="7"/>
  <c r="J1203" i="7"/>
  <c r="J1202" i="7"/>
  <c r="L1202" i="7" s="1"/>
  <c r="L1201" i="7"/>
  <c r="J1201" i="7"/>
  <c r="K1201" i="7" s="1"/>
  <c r="L1200" i="7"/>
  <c r="K1200" i="7"/>
  <c r="J1200" i="7"/>
  <c r="J1199" i="7"/>
  <c r="L1199" i="7" s="1"/>
  <c r="K1198" i="7"/>
  <c r="J1198" i="7"/>
  <c r="L1198" i="7" s="1"/>
  <c r="J1197" i="7"/>
  <c r="K1197" i="7" s="1"/>
  <c r="L1196" i="7"/>
  <c r="K1196" i="7"/>
  <c r="J1196" i="7"/>
  <c r="L1195" i="7"/>
  <c r="K1195" i="7"/>
  <c r="J1195" i="7"/>
  <c r="J1194" i="7"/>
  <c r="L1194" i="7" s="1"/>
  <c r="L1193" i="7"/>
  <c r="J1193" i="7"/>
  <c r="K1193" i="7" s="1"/>
  <c r="L1192" i="7"/>
  <c r="K1192" i="7"/>
  <c r="J1192" i="7"/>
  <c r="J1191" i="7"/>
  <c r="L1191" i="7" s="1"/>
  <c r="K1190" i="7"/>
  <c r="J1190" i="7"/>
  <c r="L1190" i="7" s="1"/>
  <c r="J1189" i="7"/>
  <c r="K1189" i="7" s="1"/>
  <c r="L1188" i="7"/>
  <c r="K1188" i="7"/>
  <c r="J1188" i="7"/>
  <c r="L1187" i="7"/>
  <c r="K1187" i="7"/>
  <c r="J1187" i="7"/>
  <c r="J1186" i="7"/>
  <c r="L1186" i="7" s="1"/>
  <c r="L1185" i="7"/>
  <c r="J1185" i="7"/>
  <c r="K1185" i="7" s="1"/>
  <c r="L1184" i="7"/>
  <c r="K1184" i="7"/>
  <c r="J1184" i="7"/>
  <c r="J1183" i="7"/>
  <c r="L1183" i="7" s="1"/>
  <c r="K1182" i="7"/>
  <c r="J1182" i="7"/>
  <c r="L1182" i="7" s="1"/>
  <c r="J1181" i="7"/>
  <c r="K1181" i="7" s="1"/>
  <c r="L1180" i="7"/>
  <c r="K1180" i="7"/>
  <c r="J1180" i="7"/>
  <c r="L1179" i="7"/>
  <c r="K1179" i="7"/>
  <c r="J1179" i="7"/>
  <c r="J1178" i="7"/>
  <c r="L1178" i="7" s="1"/>
  <c r="L1177" i="7"/>
  <c r="J1177" i="7"/>
  <c r="K1177" i="7" s="1"/>
  <c r="L1176" i="7"/>
  <c r="K1176" i="7"/>
  <c r="J1176" i="7"/>
  <c r="J1175" i="7"/>
  <c r="L1175" i="7" s="1"/>
  <c r="K1174" i="7"/>
  <c r="J1174" i="7"/>
  <c r="L1174" i="7" s="1"/>
  <c r="J1173" i="7"/>
  <c r="K1173" i="7" s="1"/>
  <c r="L1172" i="7"/>
  <c r="K1172" i="7"/>
  <c r="J1172" i="7"/>
  <c r="L1171" i="7"/>
  <c r="K1171" i="7"/>
  <c r="J1171" i="7"/>
  <c r="J1170" i="7"/>
  <c r="L1170" i="7" s="1"/>
  <c r="L1169" i="7"/>
  <c r="J1169" i="7"/>
  <c r="K1169" i="7" s="1"/>
  <c r="L1168" i="7"/>
  <c r="K1168" i="7"/>
  <c r="J1168" i="7"/>
  <c r="J1167" i="7"/>
  <c r="L1167" i="7" s="1"/>
  <c r="K1166" i="7"/>
  <c r="J1166" i="7"/>
  <c r="L1166" i="7" s="1"/>
  <c r="J1165" i="7"/>
  <c r="K1165" i="7" s="1"/>
  <c r="L1164" i="7"/>
  <c r="K1164" i="7"/>
  <c r="J1164" i="7"/>
  <c r="L1163" i="7"/>
  <c r="K1163" i="7"/>
  <c r="J1163" i="7"/>
  <c r="J1162" i="7"/>
  <c r="L1162" i="7" s="1"/>
  <c r="L1161" i="7"/>
  <c r="J1161" i="7"/>
  <c r="K1161" i="7" s="1"/>
  <c r="L1160" i="7"/>
  <c r="K1160" i="7"/>
  <c r="J1160" i="7"/>
  <c r="J1159" i="7"/>
  <c r="L1159" i="7" s="1"/>
  <c r="K1158" i="7"/>
  <c r="J1158" i="7"/>
  <c r="L1158" i="7" s="1"/>
  <c r="J1157" i="7"/>
  <c r="K1157" i="7" s="1"/>
  <c r="L1156" i="7"/>
  <c r="K1156" i="7"/>
  <c r="J1156" i="7"/>
  <c r="L1155" i="7"/>
  <c r="K1155" i="7"/>
  <c r="J1155" i="7"/>
  <c r="J1154" i="7"/>
  <c r="L1153" i="7"/>
  <c r="J1153" i="7"/>
  <c r="K1153" i="7" s="1"/>
  <c r="L1152" i="7"/>
  <c r="K1152" i="7"/>
  <c r="J1152" i="7"/>
  <c r="J1151" i="7"/>
  <c r="K1150" i="7"/>
  <c r="J1150" i="7"/>
  <c r="L1150" i="7" s="1"/>
  <c r="J1149" i="7"/>
  <c r="L1148" i="7"/>
  <c r="K1148" i="7"/>
  <c r="J1148" i="7"/>
  <c r="L1147" i="7"/>
  <c r="K1147" i="7"/>
  <c r="J1147" i="7"/>
  <c r="J1146" i="7"/>
  <c r="L1145" i="7"/>
  <c r="J1145" i="7"/>
  <c r="K1145" i="7" s="1"/>
  <c r="L1144" i="7"/>
  <c r="K1144" i="7"/>
  <c r="J1144" i="7"/>
  <c r="J1143" i="7"/>
  <c r="K1142" i="7"/>
  <c r="J1142" i="7"/>
  <c r="L1142" i="7" s="1"/>
  <c r="J1141" i="7"/>
  <c r="L1140" i="7"/>
  <c r="K1140" i="7"/>
  <c r="J1140" i="7"/>
  <c r="L1139" i="7"/>
  <c r="K1139" i="7"/>
  <c r="J1139" i="7"/>
  <c r="J1138" i="7"/>
  <c r="L1137" i="7"/>
  <c r="J1137" i="7"/>
  <c r="K1137" i="7" s="1"/>
  <c r="L1136" i="7"/>
  <c r="K1136" i="7"/>
  <c r="J1136" i="7"/>
  <c r="J1135" i="7"/>
  <c r="K1134" i="7"/>
  <c r="J1134" i="7"/>
  <c r="L1134" i="7" s="1"/>
  <c r="J1133" i="7"/>
  <c r="L1132" i="7"/>
  <c r="K1132" i="7"/>
  <c r="J1132" i="7"/>
  <c r="L1131" i="7"/>
  <c r="K1131" i="7"/>
  <c r="J1131" i="7"/>
  <c r="J1130" i="7"/>
  <c r="L1129" i="7"/>
  <c r="J1129" i="7"/>
  <c r="K1129" i="7" s="1"/>
  <c r="L1128" i="7"/>
  <c r="K1128" i="7"/>
  <c r="J1128" i="7"/>
  <c r="J1127" i="7"/>
  <c r="K1126" i="7"/>
  <c r="J1126" i="7"/>
  <c r="L1126" i="7" s="1"/>
  <c r="J1125" i="7"/>
  <c r="L1124" i="7"/>
  <c r="K1124" i="7"/>
  <c r="J1124" i="7"/>
  <c r="L1123" i="7"/>
  <c r="K1123" i="7"/>
  <c r="J1123" i="7"/>
  <c r="J1122" i="7"/>
  <c r="L1121" i="7"/>
  <c r="J1121" i="7"/>
  <c r="K1121" i="7" s="1"/>
  <c r="L1120" i="7"/>
  <c r="K1120" i="7"/>
  <c r="J1120" i="7"/>
  <c r="J1119" i="7"/>
  <c r="K1118" i="7"/>
  <c r="J1118" i="7"/>
  <c r="L1118" i="7" s="1"/>
  <c r="J1117" i="7"/>
  <c r="L1116" i="7"/>
  <c r="K1116" i="7"/>
  <c r="J1116" i="7"/>
  <c r="L1115" i="7"/>
  <c r="K1115" i="7"/>
  <c r="J1115" i="7"/>
  <c r="J1114" i="7"/>
  <c r="L1113" i="7"/>
  <c r="J1113" i="7"/>
  <c r="K1113" i="7" s="1"/>
  <c r="L1112" i="7"/>
  <c r="K1112" i="7"/>
  <c r="J1112" i="7"/>
  <c r="J1111" i="7"/>
  <c r="K1110" i="7"/>
  <c r="J1110" i="7"/>
  <c r="L1110" i="7" s="1"/>
  <c r="J1109" i="7"/>
  <c r="L1108" i="7"/>
  <c r="K1108" i="7"/>
  <c r="J1108" i="7"/>
  <c r="L1107" i="7"/>
  <c r="K1107" i="7"/>
  <c r="J1107" i="7"/>
  <c r="J1106" i="7"/>
  <c r="L1105" i="7"/>
  <c r="J1105" i="7"/>
  <c r="K1105" i="7" s="1"/>
  <c r="L1104" i="7"/>
  <c r="K1104" i="7"/>
  <c r="J1104" i="7"/>
  <c r="J1103" i="7"/>
  <c r="K1102" i="7"/>
  <c r="J1102" i="7"/>
  <c r="L1102" i="7" s="1"/>
  <c r="J1101" i="7"/>
  <c r="L1100" i="7"/>
  <c r="K1100" i="7"/>
  <c r="J1100" i="7"/>
  <c r="L1099" i="7"/>
  <c r="K1099" i="7"/>
  <c r="J1099" i="7"/>
  <c r="J1098" i="7"/>
  <c r="L1097" i="7"/>
  <c r="J1097" i="7"/>
  <c r="K1097" i="7" s="1"/>
  <c r="L1096" i="7"/>
  <c r="K1096" i="7"/>
  <c r="J1096" i="7"/>
  <c r="J1095" i="7"/>
  <c r="K1094" i="7"/>
  <c r="J1094" i="7"/>
  <c r="L1094" i="7" s="1"/>
  <c r="J1093" i="7"/>
  <c r="L1092" i="7"/>
  <c r="K1092" i="7"/>
  <c r="J1092" i="7"/>
  <c r="L1091" i="7"/>
  <c r="K1091" i="7"/>
  <c r="J1091" i="7"/>
  <c r="J1090" i="7"/>
  <c r="L1089" i="7"/>
  <c r="J1089" i="7"/>
  <c r="K1089" i="7" s="1"/>
  <c r="K1088" i="7"/>
  <c r="J1088" i="7"/>
  <c r="L1088" i="7" s="1"/>
  <c r="J1087" i="7"/>
  <c r="L1086" i="7"/>
  <c r="K1086" i="7"/>
  <c r="J1086" i="7"/>
  <c r="L1085" i="7"/>
  <c r="K1085" i="7"/>
  <c r="J1085" i="7"/>
  <c r="J1084" i="7"/>
  <c r="L1084" i="7" s="1"/>
  <c r="J1083" i="7"/>
  <c r="L1082" i="7"/>
  <c r="K1082" i="7"/>
  <c r="J1082" i="7"/>
  <c r="L1081" i="7"/>
  <c r="K1081" i="7"/>
  <c r="J1081" i="7"/>
  <c r="J1080" i="7"/>
  <c r="L1080" i="7" s="1"/>
  <c r="J1079" i="7"/>
  <c r="L1078" i="7"/>
  <c r="K1078" i="7"/>
  <c r="J1078" i="7"/>
  <c r="L1077" i="7"/>
  <c r="K1077" i="7"/>
  <c r="J1077" i="7"/>
  <c r="K1076" i="7"/>
  <c r="J1076" i="7"/>
  <c r="L1076" i="7" s="1"/>
  <c r="J1075" i="7"/>
  <c r="L1074" i="7"/>
  <c r="K1074" i="7"/>
  <c r="J1074" i="7"/>
  <c r="L1073" i="7"/>
  <c r="K1073" i="7"/>
  <c r="J1073" i="7"/>
  <c r="K1072" i="7"/>
  <c r="J1072" i="7"/>
  <c r="L1072" i="7" s="1"/>
  <c r="J1071" i="7"/>
  <c r="L1070" i="7"/>
  <c r="K1070" i="7"/>
  <c r="J1070" i="7"/>
  <c r="L1069" i="7"/>
  <c r="K1069" i="7"/>
  <c r="J1069" i="7"/>
  <c r="J1068" i="7"/>
  <c r="L1068" i="7" s="1"/>
  <c r="J1067" i="7"/>
  <c r="L1066" i="7"/>
  <c r="K1066" i="7"/>
  <c r="J1066" i="7"/>
  <c r="L1065" i="7"/>
  <c r="K1065" i="7"/>
  <c r="J1065" i="7"/>
  <c r="J1064" i="7"/>
  <c r="L1064" i="7" s="1"/>
  <c r="J1063" i="7"/>
  <c r="L1062" i="7"/>
  <c r="K1062" i="7"/>
  <c r="J1062" i="7"/>
  <c r="L1061" i="7"/>
  <c r="K1061" i="7"/>
  <c r="J1061" i="7"/>
  <c r="K1060" i="7"/>
  <c r="J1060" i="7"/>
  <c r="L1060" i="7" s="1"/>
  <c r="J1059" i="7"/>
  <c r="L1058" i="7"/>
  <c r="K1058" i="7"/>
  <c r="J1058" i="7"/>
  <c r="L1057" i="7"/>
  <c r="K1057" i="7"/>
  <c r="J1057" i="7"/>
  <c r="K1056" i="7"/>
  <c r="J1056" i="7"/>
  <c r="L1056" i="7" s="1"/>
  <c r="J1055" i="7"/>
  <c r="L1054" i="7"/>
  <c r="K1054" i="7"/>
  <c r="J1054" i="7"/>
  <c r="L1053" i="7"/>
  <c r="K1053" i="7"/>
  <c r="J1053" i="7"/>
  <c r="J1052" i="7"/>
  <c r="L1052" i="7" s="1"/>
  <c r="J1051" i="7"/>
  <c r="L1050" i="7"/>
  <c r="K1050" i="7"/>
  <c r="J1050" i="7"/>
  <c r="L1049" i="7"/>
  <c r="K1049" i="7"/>
  <c r="J1049" i="7"/>
  <c r="J1048" i="7"/>
  <c r="L1048" i="7" s="1"/>
  <c r="J1047" i="7"/>
  <c r="L1046" i="7"/>
  <c r="K1046" i="7"/>
  <c r="J1046" i="7"/>
  <c r="L1045" i="7"/>
  <c r="K1045" i="7"/>
  <c r="J1045" i="7"/>
  <c r="K1044" i="7"/>
  <c r="J1044" i="7"/>
  <c r="L1044" i="7" s="1"/>
  <c r="J1043" i="7"/>
  <c r="L1042" i="7"/>
  <c r="K1042" i="7"/>
  <c r="J1042" i="7"/>
  <c r="L1041" i="7"/>
  <c r="K1041" i="7"/>
  <c r="J1041" i="7"/>
  <c r="K1040" i="7"/>
  <c r="J1040" i="7"/>
  <c r="L1040" i="7" s="1"/>
  <c r="J1039" i="7"/>
  <c r="L1038" i="7"/>
  <c r="K1038" i="7"/>
  <c r="J1038" i="7"/>
  <c r="L1037" i="7"/>
  <c r="K1037" i="7"/>
  <c r="J1037" i="7"/>
  <c r="J1036" i="7"/>
  <c r="L1036" i="7" s="1"/>
  <c r="J1035" i="7"/>
  <c r="L1034" i="7"/>
  <c r="K1034" i="7"/>
  <c r="J1034" i="7"/>
  <c r="L1033" i="7"/>
  <c r="K1033" i="7"/>
  <c r="J1033" i="7"/>
  <c r="J1032" i="7"/>
  <c r="L1032" i="7" s="1"/>
  <c r="J1031" i="7"/>
  <c r="L1030" i="7"/>
  <c r="K1030" i="7"/>
  <c r="J1030" i="7"/>
  <c r="L1029" i="7"/>
  <c r="K1029" i="7"/>
  <c r="J1029" i="7"/>
  <c r="K1028" i="7"/>
  <c r="J1028" i="7"/>
  <c r="L1028" i="7" s="1"/>
  <c r="J1027" i="7"/>
  <c r="L1026" i="7"/>
  <c r="K1026" i="7"/>
  <c r="J1026" i="7"/>
  <c r="L1025" i="7"/>
  <c r="K1025" i="7"/>
  <c r="J1025" i="7"/>
  <c r="K1024" i="7"/>
  <c r="J1024" i="7"/>
  <c r="L1024" i="7" s="1"/>
  <c r="J1023" i="7"/>
  <c r="L1022" i="7"/>
  <c r="K1022" i="7"/>
  <c r="J1022" i="7"/>
  <c r="L1021" i="7"/>
  <c r="K1021" i="7"/>
  <c r="J1021" i="7"/>
  <c r="J1020" i="7"/>
  <c r="L1020" i="7" s="1"/>
  <c r="J1019" i="7"/>
  <c r="L1018" i="7"/>
  <c r="K1018" i="7"/>
  <c r="J1018" i="7"/>
  <c r="L1017" i="7"/>
  <c r="K1017" i="7"/>
  <c r="J1017" i="7"/>
  <c r="J1016" i="7"/>
  <c r="L1016" i="7" s="1"/>
  <c r="J1015" i="7"/>
  <c r="L1014" i="7"/>
  <c r="K1014" i="7"/>
  <c r="J1014" i="7"/>
  <c r="L1013" i="7"/>
  <c r="K1013" i="7"/>
  <c r="J1013" i="7"/>
  <c r="K1012" i="7"/>
  <c r="J1012" i="7"/>
  <c r="L1012" i="7" s="1"/>
  <c r="J1011" i="7"/>
  <c r="L1010" i="7"/>
  <c r="K1010" i="7"/>
  <c r="J1010" i="7"/>
  <c r="L1009" i="7"/>
  <c r="K1009" i="7"/>
  <c r="J1009" i="7"/>
  <c r="K1008" i="7"/>
  <c r="J1008" i="7"/>
  <c r="L1008" i="7" s="1"/>
  <c r="J1007" i="7"/>
  <c r="L1006" i="7"/>
  <c r="K1006" i="7"/>
  <c r="J1006" i="7"/>
  <c r="L1005" i="7"/>
  <c r="K1005" i="7"/>
  <c r="J1005" i="7"/>
  <c r="J1004" i="7"/>
  <c r="L1004" i="7" s="1"/>
  <c r="J1003" i="7"/>
  <c r="L1002" i="7"/>
  <c r="K1002" i="7"/>
  <c r="J1002" i="7"/>
  <c r="L1001" i="7"/>
  <c r="K1001" i="7"/>
  <c r="J1001" i="7"/>
  <c r="J1000" i="7"/>
  <c r="L1000" i="7" s="1"/>
  <c r="J999" i="7"/>
  <c r="L998" i="7"/>
  <c r="K998" i="7"/>
  <c r="J998" i="7"/>
  <c r="L997" i="7"/>
  <c r="K997" i="7"/>
  <c r="J997" i="7"/>
  <c r="K996" i="7"/>
  <c r="J996" i="7"/>
  <c r="L996" i="7" s="1"/>
  <c r="J995" i="7"/>
  <c r="K995" i="7" s="1"/>
  <c r="L994" i="7"/>
  <c r="K994" i="7"/>
  <c r="J994" i="7"/>
  <c r="K993" i="7"/>
  <c r="J993" i="7"/>
  <c r="L993" i="7" s="1"/>
  <c r="J992" i="7"/>
  <c r="L992" i="7" s="1"/>
  <c r="L991" i="7"/>
  <c r="J991" i="7"/>
  <c r="K991" i="7" s="1"/>
  <c r="L990" i="7"/>
  <c r="K990" i="7"/>
  <c r="J990" i="7"/>
  <c r="L989" i="7"/>
  <c r="J989" i="7"/>
  <c r="K989" i="7" s="1"/>
  <c r="K988" i="7"/>
  <c r="J988" i="7"/>
  <c r="L988" i="7" s="1"/>
  <c r="J987" i="7"/>
  <c r="K987" i="7" s="1"/>
  <c r="L986" i="7"/>
  <c r="K986" i="7"/>
  <c r="J986" i="7"/>
  <c r="K985" i="7"/>
  <c r="J985" i="7"/>
  <c r="L985" i="7" s="1"/>
  <c r="J984" i="7"/>
  <c r="L984" i="7" s="1"/>
  <c r="L983" i="7"/>
  <c r="J983" i="7"/>
  <c r="K983" i="7" s="1"/>
  <c r="L982" i="7"/>
  <c r="K982" i="7"/>
  <c r="J982" i="7"/>
  <c r="L981" i="7"/>
  <c r="J981" i="7"/>
  <c r="K981" i="7" s="1"/>
  <c r="K980" i="7"/>
  <c r="J980" i="7"/>
  <c r="L980" i="7" s="1"/>
  <c r="J979" i="7"/>
  <c r="K979" i="7" s="1"/>
  <c r="L978" i="7"/>
  <c r="K978" i="7"/>
  <c r="J978" i="7"/>
  <c r="K977" i="7"/>
  <c r="J977" i="7"/>
  <c r="L977" i="7" s="1"/>
  <c r="J976" i="7"/>
  <c r="L976" i="7" s="1"/>
  <c r="L975" i="7"/>
  <c r="J975" i="7"/>
  <c r="K975" i="7" s="1"/>
  <c r="L974" i="7"/>
  <c r="K974" i="7"/>
  <c r="J974" i="7"/>
  <c r="L973" i="7"/>
  <c r="J973" i="7"/>
  <c r="K973" i="7" s="1"/>
  <c r="K972" i="7"/>
  <c r="J972" i="7"/>
  <c r="L972" i="7" s="1"/>
  <c r="J971" i="7"/>
  <c r="K971" i="7" s="1"/>
  <c r="L970" i="7"/>
  <c r="K970" i="7"/>
  <c r="J970" i="7"/>
  <c r="K969" i="7"/>
  <c r="J969" i="7"/>
  <c r="L969" i="7" s="1"/>
  <c r="J968" i="7"/>
  <c r="L968" i="7" s="1"/>
  <c r="L967" i="7"/>
  <c r="J967" i="7"/>
  <c r="K967" i="7" s="1"/>
  <c r="L966" i="7"/>
  <c r="K966" i="7"/>
  <c r="J966" i="7"/>
  <c r="L965" i="7"/>
  <c r="J965" i="7"/>
  <c r="K965" i="7" s="1"/>
  <c r="K964" i="7"/>
  <c r="J964" i="7"/>
  <c r="L964" i="7" s="1"/>
  <c r="J963" i="7"/>
  <c r="K963" i="7" s="1"/>
  <c r="L962" i="7"/>
  <c r="K962" i="7"/>
  <c r="J962" i="7"/>
  <c r="K961" i="7"/>
  <c r="J961" i="7"/>
  <c r="L961" i="7" s="1"/>
  <c r="J960" i="7"/>
  <c r="L960" i="7" s="1"/>
  <c r="L959" i="7"/>
  <c r="J959" i="7"/>
  <c r="K959" i="7" s="1"/>
  <c r="L958" i="7"/>
  <c r="K958" i="7"/>
  <c r="J958" i="7"/>
  <c r="L957" i="7"/>
  <c r="J957" i="7"/>
  <c r="K957" i="7" s="1"/>
  <c r="K956" i="7"/>
  <c r="J956" i="7"/>
  <c r="L956" i="7" s="1"/>
  <c r="J955" i="7"/>
  <c r="K955" i="7" s="1"/>
  <c r="L954" i="7"/>
  <c r="K954" i="7"/>
  <c r="J954" i="7"/>
  <c r="K953" i="7"/>
  <c r="J953" i="7"/>
  <c r="L953" i="7" s="1"/>
  <c r="J952" i="7"/>
  <c r="L952" i="7" s="1"/>
  <c r="L951" i="7"/>
  <c r="J951" i="7"/>
  <c r="K951" i="7" s="1"/>
  <c r="L950" i="7"/>
  <c r="K950" i="7"/>
  <c r="J950" i="7"/>
  <c r="L949" i="7"/>
  <c r="J949" i="7"/>
  <c r="K949" i="7" s="1"/>
  <c r="K948" i="7"/>
  <c r="J948" i="7"/>
  <c r="L948" i="7" s="1"/>
  <c r="J947" i="7"/>
  <c r="K947" i="7" s="1"/>
  <c r="L946" i="7"/>
  <c r="K946" i="7"/>
  <c r="J946" i="7"/>
  <c r="K945" i="7"/>
  <c r="J945" i="7"/>
  <c r="L945" i="7" s="1"/>
  <c r="J944" i="7"/>
  <c r="L944" i="7" s="1"/>
  <c r="L943" i="7"/>
  <c r="J943" i="7"/>
  <c r="K943" i="7" s="1"/>
  <c r="L942" i="7"/>
  <c r="K942" i="7"/>
  <c r="J942" i="7"/>
  <c r="L941" i="7"/>
  <c r="J941" i="7"/>
  <c r="K941" i="7" s="1"/>
  <c r="K940" i="7"/>
  <c r="J940" i="7"/>
  <c r="L940" i="7" s="1"/>
  <c r="J939" i="7"/>
  <c r="K939" i="7" s="1"/>
  <c r="L938" i="7"/>
  <c r="K938" i="7"/>
  <c r="J938" i="7"/>
  <c r="K937" i="7"/>
  <c r="J937" i="7"/>
  <c r="L937" i="7" s="1"/>
  <c r="J936" i="7"/>
  <c r="L936" i="7" s="1"/>
  <c r="L935" i="7"/>
  <c r="J935" i="7"/>
  <c r="K935" i="7" s="1"/>
  <c r="L934" i="7"/>
  <c r="K934" i="7"/>
  <c r="J934" i="7"/>
  <c r="L933" i="7"/>
  <c r="J933" i="7"/>
  <c r="K933" i="7" s="1"/>
  <c r="K932" i="7"/>
  <c r="J932" i="7"/>
  <c r="L932" i="7" s="1"/>
  <c r="J931" i="7"/>
  <c r="K931" i="7" s="1"/>
  <c r="L930" i="7"/>
  <c r="K930" i="7"/>
  <c r="J930" i="7"/>
  <c r="J929" i="7"/>
  <c r="L929" i="7" s="1"/>
  <c r="J928" i="7"/>
  <c r="L928" i="7" s="1"/>
  <c r="J927" i="7"/>
  <c r="K927" i="7" s="1"/>
  <c r="L926" i="7"/>
  <c r="K926" i="7"/>
  <c r="J926" i="7"/>
  <c r="L925" i="7"/>
  <c r="J925" i="7"/>
  <c r="K925" i="7" s="1"/>
  <c r="J924" i="7"/>
  <c r="L924" i="7" s="1"/>
  <c r="J923" i="7"/>
  <c r="K923" i="7" s="1"/>
  <c r="L922" i="7"/>
  <c r="K922" i="7"/>
  <c r="J922" i="7"/>
  <c r="J921" i="7"/>
  <c r="L921" i="7" s="1"/>
  <c r="J920" i="7"/>
  <c r="L920" i="7" s="1"/>
  <c r="J919" i="7"/>
  <c r="K919" i="7" s="1"/>
  <c r="L918" i="7"/>
  <c r="K918" i="7"/>
  <c r="J918" i="7"/>
  <c r="L917" i="7"/>
  <c r="J917" i="7"/>
  <c r="K917" i="7" s="1"/>
  <c r="J916" i="7"/>
  <c r="L916" i="7" s="1"/>
  <c r="J915" i="7"/>
  <c r="K915" i="7" s="1"/>
  <c r="L914" i="7"/>
  <c r="K914" i="7"/>
  <c r="J914" i="7"/>
  <c r="J913" i="7"/>
  <c r="L913" i="7" s="1"/>
  <c r="J912" i="7"/>
  <c r="L912" i="7" s="1"/>
  <c r="J911" i="7"/>
  <c r="K911" i="7" s="1"/>
  <c r="L910" i="7"/>
  <c r="K910" i="7"/>
  <c r="J910" i="7"/>
  <c r="L909" i="7"/>
  <c r="J909" i="7"/>
  <c r="K909" i="7" s="1"/>
  <c r="J908" i="7"/>
  <c r="L908" i="7" s="1"/>
  <c r="J907" i="7"/>
  <c r="K907" i="7" s="1"/>
  <c r="L906" i="7"/>
  <c r="K906" i="7"/>
  <c r="J906" i="7"/>
  <c r="J905" i="7"/>
  <c r="L905" i="7" s="1"/>
  <c r="J904" i="7"/>
  <c r="L904" i="7" s="1"/>
  <c r="J903" i="7"/>
  <c r="K903" i="7" s="1"/>
  <c r="L902" i="7"/>
  <c r="K902" i="7"/>
  <c r="J902" i="7"/>
  <c r="L901" i="7"/>
  <c r="J901" i="7"/>
  <c r="K901" i="7" s="1"/>
  <c r="J900" i="7"/>
  <c r="L900" i="7" s="1"/>
  <c r="J899" i="7"/>
  <c r="K899" i="7" s="1"/>
  <c r="L898" i="7"/>
  <c r="K898" i="7"/>
  <c r="J898" i="7"/>
  <c r="J897" i="7"/>
  <c r="L897" i="7" s="1"/>
  <c r="J896" i="7"/>
  <c r="L896" i="7" s="1"/>
  <c r="J895" i="7"/>
  <c r="K895" i="7" s="1"/>
  <c r="L894" i="7"/>
  <c r="K894" i="7"/>
  <c r="J894" i="7"/>
  <c r="L893" i="7"/>
  <c r="J893" i="7"/>
  <c r="K893" i="7" s="1"/>
  <c r="J892" i="7"/>
  <c r="L892" i="7" s="1"/>
  <c r="J891" i="7"/>
  <c r="K891" i="7" s="1"/>
  <c r="L890" i="7"/>
  <c r="K890" i="7"/>
  <c r="J890" i="7"/>
  <c r="J889" i="7"/>
  <c r="L889" i="7" s="1"/>
  <c r="J888" i="7"/>
  <c r="L888" i="7" s="1"/>
  <c r="J887" i="7"/>
  <c r="K887" i="7" s="1"/>
  <c r="L886" i="7"/>
  <c r="K886" i="7"/>
  <c r="J886" i="7"/>
  <c r="L885" i="7"/>
  <c r="J885" i="7"/>
  <c r="K885" i="7" s="1"/>
  <c r="J884" i="7"/>
  <c r="L884" i="7" s="1"/>
  <c r="J883" i="7"/>
  <c r="K883" i="7" s="1"/>
  <c r="L882" i="7"/>
  <c r="K882" i="7"/>
  <c r="J882" i="7"/>
  <c r="J881" i="7"/>
  <c r="L881" i="7" s="1"/>
  <c r="J880" i="7"/>
  <c r="L880" i="7" s="1"/>
  <c r="J879" i="7"/>
  <c r="K879" i="7" s="1"/>
  <c r="L878" i="7"/>
  <c r="K878" i="7"/>
  <c r="J878" i="7"/>
  <c r="L877" i="7"/>
  <c r="J877" i="7"/>
  <c r="K877" i="7" s="1"/>
  <c r="J876" i="7"/>
  <c r="L876" i="7" s="1"/>
  <c r="J875" i="7"/>
  <c r="K875" i="7" s="1"/>
  <c r="L874" i="7"/>
  <c r="K874" i="7"/>
  <c r="J874" i="7"/>
  <c r="J873" i="7"/>
  <c r="L873" i="7" s="1"/>
  <c r="J872" i="7"/>
  <c r="L872" i="7" s="1"/>
  <c r="J871" i="7"/>
  <c r="K871" i="7" s="1"/>
  <c r="L870" i="7"/>
  <c r="K870" i="7"/>
  <c r="J870" i="7"/>
  <c r="L869" i="7"/>
  <c r="J869" i="7"/>
  <c r="K869" i="7" s="1"/>
  <c r="J868" i="7"/>
  <c r="L868" i="7" s="1"/>
  <c r="J867" i="7"/>
  <c r="K867" i="7" s="1"/>
  <c r="L866" i="7"/>
  <c r="K866" i="7"/>
  <c r="J866" i="7"/>
  <c r="J865" i="7"/>
  <c r="L865" i="7" s="1"/>
  <c r="J864" i="7"/>
  <c r="L864" i="7" s="1"/>
  <c r="J863" i="7"/>
  <c r="K863" i="7" s="1"/>
  <c r="L862" i="7"/>
  <c r="K862" i="7"/>
  <c r="J862" i="7"/>
  <c r="L861" i="7"/>
  <c r="J861" i="7"/>
  <c r="K861" i="7" s="1"/>
  <c r="J860" i="7"/>
  <c r="L860" i="7" s="1"/>
  <c r="J859" i="7"/>
  <c r="K859" i="7" s="1"/>
  <c r="L858" i="7"/>
  <c r="K858" i="7"/>
  <c r="J858" i="7"/>
  <c r="J857" i="7"/>
  <c r="L857" i="7" s="1"/>
  <c r="J856" i="7"/>
  <c r="L856" i="7" s="1"/>
  <c r="J855" i="7"/>
  <c r="K855" i="7" s="1"/>
  <c r="L854" i="7"/>
  <c r="K854" i="7"/>
  <c r="J854" i="7"/>
  <c r="L853" i="7"/>
  <c r="J853" i="7"/>
  <c r="K853" i="7" s="1"/>
  <c r="J852" i="7"/>
  <c r="L852" i="7" s="1"/>
  <c r="J851" i="7"/>
  <c r="K851" i="7" s="1"/>
  <c r="L850" i="7"/>
  <c r="K850" i="7"/>
  <c r="J850" i="7"/>
  <c r="J849" i="7"/>
  <c r="L849" i="7" s="1"/>
  <c r="J848" i="7"/>
  <c r="L848" i="7" s="1"/>
  <c r="J847" i="7"/>
  <c r="K847" i="7" s="1"/>
  <c r="L846" i="7"/>
  <c r="K846" i="7"/>
  <c r="J846" i="7"/>
  <c r="L845" i="7"/>
  <c r="J845" i="7"/>
  <c r="K845" i="7" s="1"/>
  <c r="J844" i="7"/>
  <c r="L844" i="7" s="1"/>
  <c r="J843" i="7"/>
  <c r="K843" i="7" s="1"/>
  <c r="L842" i="7"/>
  <c r="K842" i="7"/>
  <c r="J842" i="7"/>
  <c r="J841" i="7"/>
  <c r="L841" i="7" s="1"/>
  <c r="J840" i="7"/>
  <c r="L840" i="7" s="1"/>
  <c r="J839" i="7"/>
  <c r="K839" i="7" s="1"/>
  <c r="L838" i="7"/>
  <c r="K838" i="7"/>
  <c r="J838" i="7"/>
  <c r="L837" i="7"/>
  <c r="J837" i="7"/>
  <c r="K837" i="7" s="1"/>
  <c r="J836" i="7"/>
  <c r="L836" i="7" s="1"/>
  <c r="J835" i="7"/>
  <c r="K835" i="7" s="1"/>
  <c r="L834" i="7"/>
  <c r="K834" i="7"/>
  <c r="J834" i="7"/>
  <c r="J833" i="7"/>
  <c r="L833" i="7" s="1"/>
  <c r="J832" i="7"/>
  <c r="L832" i="7" s="1"/>
  <c r="J831" i="7"/>
  <c r="K831" i="7" s="1"/>
  <c r="L830" i="7"/>
  <c r="K830" i="7"/>
  <c r="J830" i="7"/>
  <c r="L829" i="7"/>
  <c r="J829" i="7"/>
  <c r="K829" i="7" s="1"/>
  <c r="J828" i="7"/>
  <c r="L828" i="7" s="1"/>
  <c r="J827" i="7"/>
  <c r="K827" i="7" s="1"/>
  <c r="L826" i="7"/>
  <c r="K826" i="7"/>
  <c r="J826" i="7"/>
  <c r="J825" i="7"/>
  <c r="L825" i="7" s="1"/>
  <c r="J824" i="7"/>
  <c r="L824" i="7" s="1"/>
  <c r="J823" i="7"/>
  <c r="K823" i="7" s="1"/>
  <c r="L822" i="7"/>
  <c r="K822" i="7"/>
  <c r="J822" i="7"/>
  <c r="L821" i="7"/>
  <c r="J821" i="7"/>
  <c r="K821" i="7" s="1"/>
  <c r="J820" i="7"/>
  <c r="L820" i="7" s="1"/>
  <c r="J819" i="7"/>
  <c r="K819" i="7" s="1"/>
  <c r="L818" i="7"/>
  <c r="K818" i="7"/>
  <c r="J818" i="7"/>
  <c r="J817" i="7"/>
  <c r="L817" i="7" s="1"/>
  <c r="J816" i="7"/>
  <c r="L816" i="7" s="1"/>
  <c r="J815" i="7"/>
  <c r="K815" i="7" s="1"/>
  <c r="L814" i="7"/>
  <c r="K814" i="7"/>
  <c r="J814" i="7"/>
  <c r="L813" i="7"/>
  <c r="J813" i="7"/>
  <c r="K813" i="7" s="1"/>
  <c r="J812" i="7"/>
  <c r="L812" i="7" s="1"/>
  <c r="J811" i="7"/>
  <c r="K811" i="7" s="1"/>
  <c r="L810" i="7"/>
  <c r="K810" i="7"/>
  <c r="J810" i="7"/>
  <c r="J809" i="7"/>
  <c r="L809" i="7" s="1"/>
  <c r="J808" i="7"/>
  <c r="L808" i="7" s="1"/>
  <c r="J807" i="7"/>
  <c r="K807" i="7" s="1"/>
  <c r="L806" i="7"/>
  <c r="K806" i="7"/>
  <c r="J806" i="7"/>
  <c r="L805" i="7"/>
  <c r="J805" i="7"/>
  <c r="K805" i="7" s="1"/>
  <c r="J804" i="7"/>
  <c r="L804" i="7" s="1"/>
  <c r="J803" i="7"/>
  <c r="K803" i="7" s="1"/>
  <c r="L802" i="7"/>
  <c r="K802" i="7"/>
  <c r="J802" i="7"/>
  <c r="J801" i="7"/>
  <c r="L801" i="7" s="1"/>
  <c r="J800" i="7"/>
  <c r="L800" i="7" s="1"/>
  <c r="J799" i="7"/>
  <c r="K799" i="7" s="1"/>
  <c r="L798" i="7"/>
  <c r="K798" i="7"/>
  <c r="J798" i="7"/>
  <c r="L797" i="7"/>
  <c r="J797" i="7"/>
  <c r="K797" i="7" s="1"/>
  <c r="J796" i="7"/>
  <c r="L796" i="7" s="1"/>
  <c r="J795" i="7"/>
  <c r="K795" i="7" s="1"/>
  <c r="L794" i="7"/>
  <c r="K794" i="7"/>
  <c r="J794" i="7"/>
  <c r="J793" i="7"/>
  <c r="L793" i="7" s="1"/>
  <c r="J792" i="7"/>
  <c r="L792" i="7" s="1"/>
  <c r="J791" i="7"/>
  <c r="K791" i="7" s="1"/>
  <c r="L790" i="7"/>
  <c r="K790" i="7"/>
  <c r="J790" i="7"/>
  <c r="L789" i="7"/>
  <c r="J789" i="7"/>
  <c r="K789" i="7" s="1"/>
  <c r="J788" i="7"/>
  <c r="L788" i="7" s="1"/>
  <c r="J787" i="7"/>
  <c r="K787" i="7" s="1"/>
  <c r="L786" i="7"/>
  <c r="K786" i="7"/>
  <c r="J786" i="7"/>
  <c r="J785" i="7"/>
  <c r="L785" i="7" s="1"/>
  <c r="J784" i="7"/>
  <c r="L784" i="7" s="1"/>
  <c r="J783" i="7"/>
  <c r="K783" i="7" s="1"/>
  <c r="L782" i="7"/>
  <c r="K782" i="7"/>
  <c r="J782" i="7"/>
  <c r="L781" i="7"/>
  <c r="J781" i="7"/>
  <c r="K781" i="7" s="1"/>
  <c r="J780" i="7"/>
  <c r="L780" i="7" s="1"/>
  <c r="J779" i="7"/>
  <c r="K779" i="7" s="1"/>
  <c r="L778" i="7"/>
  <c r="K778" i="7"/>
  <c r="J778" i="7"/>
  <c r="J777" i="7"/>
  <c r="L777" i="7" s="1"/>
  <c r="J776" i="7"/>
  <c r="L776" i="7" s="1"/>
  <c r="J775" i="7"/>
  <c r="K775" i="7" s="1"/>
  <c r="L774" i="7"/>
  <c r="K774" i="7"/>
  <c r="J774" i="7"/>
  <c r="L773" i="7"/>
  <c r="J773" i="7"/>
  <c r="K773" i="7" s="1"/>
  <c r="J772" i="7"/>
  <c r="L772" i="7" s="1"/>
  <c r="J771" i="7"/>
  <c r="K771" i="7" s="1"/>
  <c r="L770" i="7"/>
  <c r="K770" i="7"/>
  <c r="J770" i="7"/>
  <c r="J769" i="7"/>
  <c r="L769" i="7" s="1"/>
  <c r="J768" i="7"/>
  <c r="L768" i="7" s="1"/>
  <c r="J767" i="7"/>
  <c r="K767" i="7" s="1"/>
  <c r="L766" i="7"/>
  <c r="K766" i="7"/>
  <c r="J766" i="7"/>
  <c r="L765" i="7"/>
  <c r="J765" i="7"/>
  <c r="K765" i="7" s="1"/>
  <c r="J764" i="7"/>
  <c r="L764" i="7" s="1"/>
  <c r="J763" i="7"/>
  <c r="K763" i="7" s="1"/>
  <c r="L762" i="7"/>
  <c r="K762" i="7"/>
  <c r="J762" i="7"/>
  <c r="J761" i="7"/>
  <c r="L761" i="7" s="1"/>
  <c r="J760" i="7"/>
  <c r="L760" i="7" s="1"/>
  <c r="J759" i="7"/>
  <c r="K759" i="7" s="1"/>
  <c r="L758" i="7"/>
  <c r="K758" i="7"/>
  <c r="J758" i="7"/>
  <c r="L757" i="7"/>
  <c r="J757" i="7"/>
  <c r="K757" i="7" s="1"/>
  <c r="J756" i="7"/>
  <c r="L756" i="7" s="1"/>
  <c r="J755" i="7"/>
  <c r="K755" i="7" s="1"/>
  <c r="L754" i="7"/>
  <c r="K754" i="7"/>
  <c r="J754" i="7"/>
  <c r="J753" i="7"/>
  <c r="L753" i="7" s="1"/>
  <c r="J752" i="7"/>
  <c r="L752" i="7" s="1"/>
  <c r="J751" i="7"/>
  <c r="K751" i="7" s="1"/>
  <c r="L750" i="7"/>
  <c r="K750" i="7"/>
  <c r="J750" i="7"/>
  <c r="L749" i="7"/>
  <c r="J749" i="7"/>
  <c r="K749" i="7" s="1"/>
  <c r="J748" i="7"/>
  <c r="L748" i="7" s="1"/>
  <c r="J747" i="7"/>
  <c r="K747" i="7" s="1"/>
  <c r="L746" i="7"/>
  <c r="K746" i="7"/>
  <c r="J746" i="7"/>
  <c r="J745" i="7"/>
  <c r="L745" i="7" s="1"/>
  <c r="J744" i="7"/>
  <c r="L744" i="7" s="1"/>
  <c r="J743" i="7"/>
  <c r="K743" i="7" s="1"/>
  <c r="L742" i="7"/>
  <c r="K742" i="7"/>
  <c r="J742" i="7"/>
  <c r="L741" i="7"/>
  <c r="J741" i="7"/>
  <c r="K741" i="7" s="1"/>
  <c r="J740" i="7"/>
  <c r="L740" i="7" s="1"/>
  <c r="J739" i="7"/>
  <c r="K739" i="7" s="1"/>
  <c r="L738" i="7"/>
  <c r="K738" i="7"/>
  <c r="J738" i="7"/>
  <c r="J737" i="7"/>
  <c r="L737" i="7" s="1"/>
  <c r="J736" i="7"/>
  <c r="L736" i="7" s="1"/>
  <c r="J735" i="7"/>
  <c r="K735" i="7" s="1"/>
  <c r="L734" i="7"/>
  <c r="K734" i="7"/>
  <c r="J734" i="7"/>
  <c r="L733" i="7"/>
  <c r="J733" i="7"/>
  <c r="K733" i="7" s="1"/>
  <c r="J732" i="7"/>
  <c r="L732" i="7" s="1"/>
  <c r="J731" i="7"/>
  <c r="K731" i="7" s="1"/>
  <c r="L730" i="7"/>
  <c r="K730" i="7"/>
  <c r="J730" i="7"/>
  <c r="J729" i="7"/>
  <c r="L729" i="7" s="1"/>
  <c r="J728" i="7"/>
  <c r="L728" i="7" s="1"/>
  <c r="J727" i="7"/>
  <c r="K727" i="7" s="1"/>
  <c r="L726" i="7"/>
  <c r="K726" i="7"/>
  <c r="J726" i="7"/>
  <c r="L725" i="7"/>
  <c r="J725" i="7"/>
  <c r="K725" i="7" s="1"/>
  <c r="J724" i="7"/>
  <c r="L724" i="7" s="1"/>
  <c r="J723" i="7"/>
  <c r="K723" i="7" s="1"/>
  <c r="L722" i="7"/>
  <c r="K722" i="7"/>
  <c r="J722" i="7"/>
  <c r="J721" i="7"/>
  <c r="L721" i="7" s="1"/>
  <c r="J720" i="7"/>
  <c r="L720" i="7" s="1"/>
  <c r="J719" i="7"/>
  <c r="K719" i="7" s="1"/>
  <c r="L718" i="7"/>
  <c r="K718" i="7"/>
  <c r="J718" i="7"/>
  <c r="L717" i="7"/>
  <c r="J717" i="7"/>
  <c r="K717" i="7" s="1"/>
  <c r="J716" i="7"/>
  <c r="L716" i="7" s="1"/>
  <c r="J715" i="7"/>
  <c r="K715" i="7" s="1"/>
  <c r="L714" i="7"/>
  <c r="K714" i="7"/>
  <c r="J714" i="7"/>
  <c r="J713" i="7"/>
  <c r="L713" i="7" s="1"/>
  <c r="J712" i="7"/>
  <c r="L712" i="7" s="1"/>
  <c r="J711" i="7"/>
  <c r="K711" i="7" s="1"/>
  <c r="L710" i="7"/>
  <c r="K710" i="7"/>
  <c r="J710" i="7"/>
  <c r="L709" i="7"/>
  <c r="J709" i="7"/>
  <c r="K709" i="7" s="1"/>
  <c r="J708" i="7"/>
  <c r="L708" i="7" s="1"/>
  <c r="J707" i="7"/>
  <c r="K707" i="7" s="1"/>
  <c r="L706" i="7"/>
  <c r="K706" i="7"/>
  <c r="J706" i="7"/>
  <c r="J705" i="7"/>
  <c r="L705" i="7" s="1"/>
  <c r="J704" i="7"/>
  <c r="L704" i="7" s="1"/>
  <c r="J703" i="7"/>
  <c r="K703" i="7" s="1"/>
  <c r="L702" i="7"/>
  <c r="K702" i="7"/>
  <c r="J702" i="7"/>
  <c r="L701" i="7"/>
  <c r="J701" i="7"/>
  <c r="K701" i="7" s="1"/>
  <c r="J700" i="7"/>
  <c r="L700" i="7" s="1"/>
  <c r="J699" i="7"/>
  <c r="K699" i="7" s="1"/>
  <c r="L698" i="7"/>
  <c r="K698" i="7"/>
  <c r="J698" i="7"/>
  <c r="J697" i="7"/>
  <c r="L697" i="7" s="1"/>
  <c r="J696" i="7"/>
  <c r="L696" i="7" s="1"/>
  <c r="J695" i="7"/>
  <c r="K695" i="7" s="1"/>
  <c r="L694" i="7"/>
  <c r="K694" i="7"/>
  <c r="J694" i="7"/>
  <c r="L693" i="7"/>
  <c r="J693" i="7"/>
  <c r="K693" i="7" s="1"/>
  <c r="J692" i="7"/>
  <c r="L692" i="7" s="1"/>
  <c r="J691" i="7"/>
  <c r="K691" i="7" s="1"/>
  <c r="L690" i="7"/>
  <c r="K690" i="7"/>
  <c r="J690" i="7"/>
  <c r="J689" i="7"/>
  <c r="L689" i="7" s="1"/>
  <c r="J688" i="7"/>
  <c r="L688" i="7" s="1"/>
  <c r="J687" i="7"/>
  <c r="K687" i="7" s="1"/>
  <c r="L686" i="7"/>
  <c r="K686" i="7"/>
  <c r="J686" i="7"/>
  <c r="L685" i="7"/>
  <c r="J685" i="7"/>
  <c r="K685" i="7" s="1"/>
  <c r="J684" i="7"/>
  <c r="L684" i="7" s="1"/>
  <c r="J683" i="7"/>
  <c r="K683" i="7" s="1"/>
  <c r="L682" i="7"/>
  <c r="K682" i="7"/>
  <c r="J682" i="7"/>
  <c r="J681" i="7"/>
  <c r="L681" i="7" s="1"/>
  <c r="J680" i="7"/>
  <c r="L680" i="7" s="1"/>
  <c r="J679" i="7"/>
  <c r="K679" i="7" s="1"/>
  <c r="L678" i="7"/>
  <c r="K678" i="7"/>
  <c r="J678" i="7"/>
  <c r="L677" i="7"/>
  <c r="J677" i="7"/>
  <c r="K677" i="7" s="1"/>
  <c r="J676" i="7"/>
  <c r="L676" i="7" s="1"/>
  <c r="J675" i="7"/>
  <c r="K675" i="7" s="1"/>
  <c r="L674" i="7"/>
  <c r="K674" i="7"/>
  <c r="J674" i="7"/>
  <c r="J673" i="7"/>
  <c r="L673" i="7" s="1"/>
  <c r="J672" i="7"/>
  <c r="L672" i="7" s="1"/>
  <c r="J671" i="7"/>
  <c r="K671" i="7" s="1"/>
  <c r="L670" i="7"/>
  <c r="K670" i="7"/>
  <c r="J670" i="7"/>
  <c r="L669" i="7"/>
  <c r="J669" i="7"/>
  <c r="K669" i="7" s="1"/>
  <c r="J668" i="7"/>
  <c r="L668" i="7" s="1"/>
  <c r="J667" i="7"/>
  <c r="K667" i="7" s="1"/>
  <c r="L666" i="7"/>
  <c r="K666" i="7"/>
  <c r="J666" i="7"/>
  <c r="J665" i="7"/>
  <c r="L665" i="7" s="1"/>
  <c r="J664" i="7"/>
  <c r="L664" i="7" s="1"/>
  <c r="J663" i="7"/>
  <c r="K663" i="7" s="1"/>
  <c r="L662" i="7"/>
  <c r="K662" i="7"/>
  <c r="J662" i="7"/>
  <c r="L661" i="7"/>
  <c r="J661" i="7"/>
  <c r="K661" i="7" s="1"/>
  <c r="J660" i="7"/>
  <c r="L660" i="7" s="1"/>
  <c r="J659" i="7"/>
  <c r="K659" i="7" s="1"/>
  <c r="L658" i="7"/>
  <c r="K658" i="7"/>
  <c r="J658" i="7"/>
  <c r="J657" i="7"/>
  <c r="L657" i="7" s="1"/>
  <c r="J656" i="7"/>
  <c r="L656" i="7" s="1"/>
  <c r="J655" i="7"/>
  <c r="K655" i="7" s="1"/>
  <c r="L654" i="7"/>
  <c r="K654" i="7"/>
  <c r="J654" i="7"/>
  <c r="L653" i="7"/>
  <c r="J653" i="7"/>
  <c r="K653" i="7" s="1"/>
  <c r="J652" i="7"/>
  <c r="L652" i="7" s="1"/>
  <c r="J651" i="7"/>
  <c r="K651" i="7" s="1"/>
  <c r="L650" i="7"/>
  <c r="K650" i="7"/>
  <c r="J650" i="7"/>
  <c r="J649" i="7"/>
  <c r="L649" i="7" s="1"/>
  <c r="J648" i="7"/>
  <c r="L648" i="7" s="1"/>
  <c r="J647" i="7"/>
  <c r="K647" i="7" s="1"/>
  <c r="L646" i="7"/>
  <c r="K646" i="7"/>
  <c r="J646" i="7"/>
  <c r="L645" i="7"/>
  <c r="J645" i="7"/>
  <c r="K645" i="7" s="1"/>
  <c r="J644" i="7"/>
  <c r="L644" i="7" s="1"/>
  <c r="J643" i="7"/>
  <c r="K643" i="7" s="1"/>
  <c r="L642" i="7"/>
  <c r="K642" i="7"/>
  <c r="J642" i="7"/>
  <c r="J641" i="7"/>
  <c r="L641" i="7" s="1"/>
  <c r="J640" i="7"/>
  <c r="L640" i="7" s="1"/>
  <c r="J639" i="7"/>
  <c r="K639" i="7" s="1"/>
  <c r="L638" i="7"/>
  <c r="K638" i="7"/>
  <c r="J638" i="7"/>
  <c r="L637" i="7"/>
  <c r="J637" i="7"/>
  <c r="K637" i="7" s="1"/>
  <c r="J636" i="7"/>
  <c r="L636" i="7" s="1"/>
  <c r="J635" i="7"/>
  <c r="K635" i="7" s="1"/>
  <c r="L634" i="7"/>
  <c r="K634" i="7"/>
  <c r="J634" i="7"/>
  <c r="J633" i="7"/>
  <c r="L633" i="7" s="1"/>
  <c r="J632" i="7"/>
  <c r="L632" i="7" s="1"/>
  <c r="J631" i="7"/>
  <c r="K631" i="7" s="1"/>
  <c r="L630" i="7"/>
  <c r="K630" i="7"/>
  <c r="J630" i="7"/>
  <c r="L629" i="7"/>
  <c r="J629" i="7"/>
  <c r="K629" i="7" s="1"/>
  <c r="J628" i="7"/>
  <c r="L628" i="7" s="1"/>
  <c r="J627" i="7"/>
  <c r="K627" i="7" s="1"/>
  <c r="L626" i="7"/>
  <c r="K626" i="7"/>
  <c r="J626" i="7"/>
  <c r="J625" i="7"/>
  <c r="L625" i="7" s="1"/>
  <c r="J624" i="7"/>
  <c r="L624" i="7" s="1"/>
  <c r="J623" i="7"/>
  <c r="K623" i="7" s="1"/>
  <c r="L622" i="7"/>
  <c r="K622" i="7"/>
  <c r="J622" i="7"/>
  <c r="L621" i="7"/>
  <c r="J621" i="7"/>
  <c r="K621" i="7" s="1"/>
  <c r="J620" i="7"/>
  <c r="L620" i="7" s="1"/>
  <c r="J619" i="7"/>
  <c r="K619" i="7" s="1"/>
  <c r="L618" i="7"/>
  <c r="K618" i="7"/>
  <c r="J618" i="7"/>
  <c r="J617" i="7"/>
  <c r="L617" i="7" s="1"/>
  <c r="J616" i="7"/>
  <c r="L616" i="7" s="1"/>
  <c r="J615" i="7"/>
  <c r="K615" i="7" s="1"/>
  <c r="L614" i="7"/>
  <c r="K614" i="7"/>
  <c r="J614" i="7"/>
  <c r="L613" i="7"/>
  <c r="J613" i="7"/>
  <c r="K613" i="7" s="1"/>
  <c r="J612" i="7"/>
  <c r="L612" i="7" s="1"/>
  <c r="K611" i="7"/>
  <c r="J611" i="7"/>
  <c r="L611" i="7" s="1"/>
  <c r="L610" i="7"/>
  <c r="J610" i="7"/>
  <c r="K610" i="7" s="1"/>
  <c r="L609" i="7"/>
  <c r="K609" i="7"/>
  <c r="J609" i="7"/>
  <c r="J608" i="7"/>
  <c r="L608" i="7" s="1"/>
  <c r="K607" i="7"/>
  <c r="J607" i="7"/>
  <c r="L607" i="7" s="1"/>
  <c r="L606" i="7"/>
  <c r="J606" i="7"/>
  <c r="K606" i="7" s="1"/>
  <c r="L605" i="7"/>
  <c r="K605" i="7"/>
  <c r="J605" i="7"/>
  <c r="J604" i="7"/>
  <c r="L604" i="7" s="1"/>
  <c r="K603" i="7"/>
  <c r="J603" i="7"/>
  <c r="L603" i="7" s="1"/>
  <c r="L602" i="7"/>
  <c r="J602" i="7"/>
  <c r="K602" i="7" s="1"/>
  <c r="L601" i="7"/>
  <c r="K601" i="7"/>
  <c r="J601" i="7"/>
  <c r="J600" i="7"/>
  <c r="L600" i="7" s="1"/>
  <c r="K599" i="7"/>
  <c r="J599" i="7"/>
  <c r="L599" i="7" s="1"/>
  <c r="L598" i="7"/>
  <c r="J598" i="7"/>
  <c r="K598" i="7" s="1"/>
  <c r="L597" i="7"/>
  <c r="K597" i="7"/>
  <c r="J597" i="7"/>
  <c r="J596" i="7"/>
  <c r="L596" i="7" s="1"/>
  <c r="K595" i="7"/>
  <c r="J595" i="7"/>
  <c r="L595" i="7" s="1"/>
  <c r="L594" i="7"/>
  <c r="J594" i="7"/>
  <c r="K594" i="7" s="1"/>
  <c r="L593" i="7"/>
  <c r="K593" i="7"/>
  <c r="J593" i="7"/>
  <c r="J592" i="7"/>
  <c r="L592" i="7" s="1"/>
  <c r="K591" i="7"/>
  <c r="J591" i="7"/>
  <c r="L591" i="7" s="1"/>
  <c r="L590" i="7"/>
  <c r="J590" i="7"/>
  <c r="K590" i="7" s="1"/>
  <c r="L589" i="7"/>
  <c r="K589" i="7"/>
  <c r="J589" i="7"/>
  <c r="J588" i="7"/>
  <c r="L588" i="7" s="1"/>
  <c r="K587" i="7"/>
  <c r="J587" i="7"/>
  <c r="L587" i="7" s="1"/>
  <c r="L586" i="7"/>
  <c r="J586" i="7"/>
  <c r="K586" i="7" s="1"/>
  <c r="L585" i="7"/>
  <c r="K585" i="7"/>
  <c r="J585" i="7"/>
  <c r="J584" i="7"/>
  <c r="L584" i="7" s="1"/>
  <c r="K583" i="7"/>
  <c r="J583" i="7"/>
  <c r="L583" i="7" s="1"/>
  <c r="L582" i="7"/>
  <c r="J582" i="7"/>
  <c r="K582" i="7" s="1"/>
  <c r="L581" i="7"/>
  <c r="K581" i="7"/>
  <c r="J581" i="7"/>
  <c r="J580" i="7"/>
  <c r="L580" i="7" s="1"/>
  <c r="K579" i="7"/>
  <c r="J579" i="7"/>
  <c r="L579" i="7" s="1"/>
  <c r="L578" i="7"/>
  <c r="J578" i="7"/>
  <c r="K578" i="7" s="1"/>
  <c r="L577" i="7"/>
  <c r="K577" i="7"/>
  <c r="J577" i="7"/>
  <c r="J576" i="7"/>
  <c r="L576" i="7" s="1"/>
  <c r="K575" i="7"/>
  <c r="J575" i="7"/>
  <c r="L575" i="7" s="1"/>
  <c r="L574" i="7"/>
  <c r="J574" i="7"/>
  <c r="K574" i="7" s="1"/>
  <c r="L573" i="7"/>
  <c r="K573" i="7"/>
  <c r="J573" i="7"/>
  <c r="J572" i="7"/>
  <c r="L572" i="7" s="1"/>
  <c r="K571" i="7"/>
  <c r="J571" i="7"/>
  <c r="L571" i="7" s="1"/>
  <c r="L570" i="7"/>
  <c r="J570" i="7"/>
  <c r="K570" i="7" s="1"/>
  <c r="L569" i="7"/>
  <c r="K569" i="7"/>
  <c r="J569" i="7"/>
  <c r="J568" i="7"/>
  <c r="L568" i="7" s="1"/>
  <c r="K567" i="7"/>
  <c r="J567" i="7"/>
  <c r="L567" i="7" s="1"/>
  <c r="L566" i="7"/>
  <c r="J566" i="7"/>
  <c r="K566" i="7" s="1"/>
  <c r="L565" i="7"/>
  <c r="K565" i="7"/>
  <c r="J565" i="7"/>
  <c r="J564" i="7"/>
  <c r="L564" i="7" s="1"/>
  <c r="K563" i="7"/>
  <c r="J563" i="7"/>
  <c r="L563" i="7" s="1"/>
  <c r="L562" i="7"/>
  <c r="J562" i="7"/>
  <c r="K562" i="7" s="1"/>
  <c r="L561" i="7"/>
  <c r="K561" i="7"/>
  <c r="J561" i="7"/>
  <c r="J560" i="7"/>
  <c r="L560" i="7" s="1"/>
  <c r="K559" i="7"/>
  <c r="J559" i="7"/>
  <c r="L559" i="7" s="1"/>
  <c r="L558" i="7"/>
  <c r="J558" i="7"/>
  <c r="K558" i="7" s="1"/>
  <c r="L557" i="7"/>
  <c r="K557" i="7"/>
  <c r="J557" i="7"/>
  <c r="J556" i="7"/>
  <c r="L556" i="7" s="1"/>
  <c r="K555" i="7"/>
  <c r="J555" i="7"/>
  <c r="L555" i="7" s="1"/>
  <c r="L554" i="7"/>
  <c r="J554" i="7"/>
  <c r="K554" i="7" s="1"/>
  <c r="L553" i="7"/>
  <c r="K553" i="7"/>
  <c r="J553" i="7"/>
  <c r="J552" i="7"/>
  <c r="L552" i="7" s="1"/>
  <c r="K551" i="7"/>
  <c r="J551" i="7"/>
  <c r="L551" i="7" s="1"/>
  <c r="L550" i="7"/>
  <c r="J550" i="7"/>
  <c r="K550" i="7" s="1"/>
  <c r="L549" i="7"/>
  <c r="K549" i="7"/>
  <c r="J549" i="7"/>
  <c r="J548" i="7"/>
  <c r="L548" i="7" s="1"/>
  <c r="K547" i="7"/>
  <c r="J547" i="7"/>
  <c r="L547" i="7" s="1"/>
  <c r="L546" i="7"/>
  <c r="J546" i="7"/>
  <c r="K546" i="7" s="1"/>
  <c r="L545" i="7"/>
  <c r="K545" i="7"/>
  <c r="J545" i="7"/>
  <c r="J544" i="7"/>
  <c r="L544" i="7" s="1"/>
  <c r="K543" i="7"/>
  <c r="J543" i="7"/>
  <c r="L543" i="7" s="1"/>
  <c r="L542" i="7"/>
  <c r="J542" i="7"/>
  <c r="K542" i="7" s="1"/>
  <c r="L541" i="7"/>
  <c r="K541" i="7"/>
  <c r="J541" i="7"/>
  <c r="J540" i="7"/>
  <c r="L540" i="7" s="1"/>
  <c r="K539" i="7"/>
  <c r="J539" i="7"/>
  <c r="L539" i="7" s="1"/>
  <c r="L538" i="7"/>
  <c r="J538" i="7"/>
  <c r="K538" i="7" s="1"/>
  <c r="L537" i="7"/>
  <c r="K537" i="7"/>
  <c r="J537" i="7"/>
  <c r="J536" i="7"/>
  <c r="L536" i="7" s="1"/>
  <c r="K535" i="7"/>
  <c r="J535" i="7"/>
  <c r="L535" i="7" s="1"/>
  <c r="L534" i="7"/>
  <c r="J534" i="7"/>
  <c r="K534" i="7" s="1"/>
  <c r="L533" i="7"/>
  <c r="K533" i="7"/>
  <c r="J533" i="7"/>
  <c r="J532" i="7"/>
  <c r="L532" i="7" s="1"/>
  <c r="K531" i="7"/>
  <c r="J531" i="7"/>
  <c r="L531" i="7" s="1"/>
  <c r="L530" i="7"/>
  <c r="J530" i="7"/>
  <c r="K530" i="7" s="1"/>
  <c r="L529" i="7"/>
  <c r="K529" i="7"/>
  <c r="J529" i="7"/>
  <c r="J528" i="7"/>
  <c r="L528" i="7" s="1"/>
  <c r="K527" i="7"/>
  <c r="J527" i="7"/>
  <c r="L527" i="7" s="1"/>
  <c r="L526" i="7"/>
  <c r="J526" i="7"/>
  <c r="K526" i="7" s="1"/>
  <c r="L525" i="7"/>
  <c r="K525" i="7"/>
  <c r="J525" i="7"/>
  <c r="J524" i="7"/>
  <c r="L524" i="7" s="1"/>
  <c r="K523" i="7"/>
  <c r="J523" i="7"/>
  <c r="L523" i="7" s="1"/>
  <c r="L522" i="7"/>
  <c r="J522" i="7"/>
  <c r="K522" i="7" s="1"/>
  <c r="L521" i="7"/>
  <c r="K521" i="7"/>
  <c r="J521" i="7"/>
  <c r="J520" i="7"/>
  <c r="L520" i="7" s="1"/>
  <c r="K519" i="7"/>
  <c r="J519" i="7"/>
  <c r="L519" i="7" s="1"/>
  <c r="L518" i="7"/>
  <c r="J518" i="7"/>
  <c r="K518" i="7" s="1"/>
  <c r="L517" i="7"/>
  <c r="K517" i="7"/>
  <c r="J517" i="7"/>
  <c r="J516" i="7"/>
  <c r="L516" i="7" s="1"/>
  <c r="K515" i="7"/>
  <c r="J515" i="7"/>
  <c r="L515" i="7" s="1"/>
  <c r="L514" i="7"/>
  <c r="J514" i="7"/>
  <c r="K514" i="7" s="1"/>
  <c r="L513" i="7"/>
  <c r="K513" i="7"/>
  <c r="J513" i="7"/>
  <c r="J512" i="7"/>
  <c r="L512" i="7" s="1"/>
  <c r="K511" i="7"/>
  <c r="J511" i="7"/>
  <c r="L511" i="7" s="1"/>
  <c r="L510" i="7"/>
  <c r="J510" i="7"/>
  <c r="K510" i="7" s="1"/>
  <c r="L509" i="7"/>
  <c r="K509" i="7"/>
  <c r="J509" i="7"/>
  <c r="J508" i="7"/>
  <c r="L508" i="7" s="1"/>
  <c r="K507" i="7"/>
  <c r="J507" i="7"/>
  <c r="L507" i="7" s="1"/>
  <c r="L506" i="7"/>
  <c r="J506" i="7"/>
  <c r="K506" i="7" s="1"/>
  <c r="L505" i="7"/>
  <c r="K505" i="7"/>
  <c r="J505" i="7"/>
  <c r="J504" i="7"/>
  <c r="L504" i="7" s="1"/>
  <c r="K503" i="7"/>
  <c r="J503" i="7"/>
  <c r="L503" i="7" s="1"/>
  <c r="L502" i="7"/>
  <c r="J502" i="7"/>
  <c r="K502" i="7" s="1"/>
  <c r="L501" i="7"/>
  <c r="K501" i="7"/>
  <c r="J501" i="7"/>
  <c r="J500" i="7"/>
  <c r="L500" i="7" s="1"/>
  <c r="K499" i="7"/>
  <c r="J499" i="7"/>
  <c r="L499" i="7" s="1"/>
  <c r="L498" i="7"/>
  <c r="J498" i="7"/>
  <c r="K498" i="7" s="1"/>
  <c r="L497" i="7"/>
  <c r="K497" i="7"/>
  <c r="J497" i="7"/>
  <c r="J496" i="7"/>
  <c r="L496" i="7" s="1"/>
  <c r="K495" i="7"/>
  <c r="J495" i="7"/>
  <c r="L495" i="7" s="1"/>
  <c r="L494" i="7"/>
  <c r="J494" i="7"/>
  <c r="K494" i="7" s="1"/>
  <c r="L493" i="7"/>
  <c r="K493" i="7"/>
  <c r="J493" i="7"/>
  <c r="J492" i="7"/>
  <c r="L492" i="7" s="1"/>
  <c r="K491" i="7"/>
  <c r="J491" i="7"/>
  <c r="L491" i="7" s="1"/>
  <c r="L490" i="7"/>
  <c r="J490" i="7"/>
  <c r="K490" i="7" s="1"/>
  <c r="L489" i="7"/>
  <c r="K489" i="7"/>
  <c r="J489" i="7"/>
  <c r="J488" i="7"/>
  <c r="L488" i="7" s="1"/>
  <c r="K487" i="7"/>
  <c r="J487" i="7"/>
  <c r="L487" i="7" s="1"/>
  <c r="L486" i="7"/>
  <c r="J486" i="7"/>
  <c r="K486" i="7" s="1"/>
  <c r="L485" i="7"/>
  <c r="K485" i="7"/>
  <c r="J485" i="7"/>
  <c r="J484" i="7"/>
  <c r="L484" i="7" s="1"/>
  <c r="K483" i="7"/>
  <c r="J483" i="7"/>
  <c r="L483" i="7" s="1"/>
  <c r="L482" i="7"/>
  <c r="J482" i="7"/>
  <c r="K482" i="7" s="1"/>
  <c r="L481" i="7"/>
  <c r="K481" i="7"/>
  <c r="J481" i="7"/>
  <c r="J480" i="7"/>
  <c r="L480" i="7" s="1"/>
  <c r="K479" i="7"/>
  <c r="J479" i="7"/>
  <c r="L479" i="7" s="1"/>
  <c r="L478" i="7"/>
  <c r="J478" i="7"/>
  <c r="K478" i="7" s="1"/>
  <c r="L477" i="7"/>
  <c r="K477" i="7"/>
  <c r="J477" i="7"/>
  <c r="J476" i="7"/>
  <c r="L476" i="7" s="1"/>
  <c r="K475" i="7"/>
  <c r="J475" i="7"/>
  <c r="L475" i="7" s="1"/>
  <c r="L474" i="7"/>
  <c r="J474" i="7"/>
  <c r="K474" i="7" s="1"/>
  <c r="L473" i="7"/>
  <c r="K473" i="7"/>
  <c r="J473" i="7"/>
  <c r="J472" i="7"/>
  <c r="L472" i="7" s="1"/>
  <c r="K471" i="7"/>
  <c r="J471" i="7"/>
  <c r="L471" i="7" s="1"/>
  <c r="L470" i="7"/>
  <c r="J470" i="7"/>
  <c r="K470" i="7" s="1"/>
  <c r="L469" i="7"/>
  <c r="K469" i="7"/>
  <c r="J469" i="7"/>
  <c r="J468" i="7"/>
  <c r="L468" i="7" s="1"/>
  <c r="K467" i="7"/>
  <c r="J467" i="7"/>
  <c r="L467" i="7" s="1"/>
  <c r="L466" i="7"/>
  <c r="J466" i="7"/>
  <c r="K466" i="7" s="1"/>
  <c r="L465" i="7"/>
  <c r="K465" i="7"/>
  <c r="J465" i="7"/>
  <c r="J464" i="7"/>
  <c r="L464" i="7" s="1"/>
  <c r="K463" i="7"/>
  <c r="J463" i="7"/>
  <c r="L463" i="7" s="1"/>
  <c r="L462" i="7"/>
  <c r="J462" i="7"/>
  <c r="K462" i="7" s="1"/>
  <c r="L461" i="7"/>
  <c r="K461" i="7"/>
  <c r="J461" i="7"/>
  <c r="J460" i="7"/>
  <c r="L460" i="7" s="1"/>
  <c r="K459" i="7"/>
  <c r="J459" i="7"/>
  <c r="L459" i="7" s="1"/>
  <c r="L458" i="7"/>
  <c r="J458" i="7"/>
  <c r="K458" i="7" s="1"/>
  <c r="L457" i="7"/>
  <c r="K457" i="7"/>
  <c r="J457" i="7"/>
  <c r="J456" i="7"/>
  <c r="L456" i="7" s="1"/>
  <c r="K455" i="7"/>
  <c r="J455" i="7"/>
  <c r="L455" i="7" s="1"/>
  <c r="L454" i="7"/>
  <c r="J454" i="7"/>
  <c r="K454" i="7" s="1"/>
  <c r="L453" i="7"/>
  <c r="K453" i="7"/>
  <c r="J453" i="7"/>
  <c r="J452" i="7"/>
  <c r="L452" i="7" s="1"/>
  <c r="K451" i="7"/>
  <c r="J451" i="7"/>
  <c r="L451" i="7" s="1"/>
  <c r="L450" i="7"/>
  <c r="J450" i="7"/>
  <c r="K450" i="7" s="1"/>
  <c r="L449" i="7"/>
  <c r="K449" i="7"/>
  <c r="J449" i="7"/>
  <c r="J448" i="7"/>
  <c r="L448" i="7" s="1"/>
  <c r="K447" i="7"/>
  <c r="J447" i="7"/>
  <c r="L447" i="7" s="1"/>
  <c r="L446" i="7"/>
  <c r="J446" i="7"/>
  <c r="K446" i="7" s="1"/>
  <c r="L445" i="7"/>
  <c r="K445" i="7"/>
  <c r="J445" i="7"/>
  <c r="J444" i="7"/>
  <c r="L444" i="7" s="1"/>
  <c r="K443" i="7"/>
  <c r="J443" i="7"/>
  <c r="L443" i="7" s="1"/>
  <c r="L442" i="7"/>
  <c r="J442" i="7"/>
  <c r="K442" i="7" s="1"/>
  <c r="L441" i="7"/>
  <c r="K441" i="7"/>
  <c r="J441" i="7"/>
  <c r="J440" i="7"/>
  <c r="L440" i="7" s="1"/>
  <c r="K439" i="7"/>
  <c r="J439" i="7"/>
  <c r="L439" i="7" s="1"/>
  <c r="L438" i="7"/>
  <c r="J438" i="7"/>
  <c r="K438" i="7" s="1"/>
  <c r="L437" i="7"/>
  <c r="K437" i="7"/>
  <c r="J437" i="7"/>
  <c r="J436" i="7"/>
  <c r="L436" i="7" s="1"/>
  <c r="K435" i="7"/>
  <c r="J435" i="7"/>
  <c r="L435" i="7" s="1"/>
  <c r="L434" i="7"/>
  <c r="J434" i="7"/>
  <c r="K434" i="7" s="1"/>
  <c r="L433" i="7"/>
  <c r="K433" i="7"/>
  <c r="J433" i="7"/>
  <c r="J432" i="7"/>
  <c r="L432" i="7" s="1"/>
  <c r="K431" i="7"/>
  <c r="J431" i="7"/>
  <c r="L431" i="7" s="1"/>
  <c r="L430" i="7"/>
  <c r="J430" i="7"/>
  <c r="K430" i="7" s="1"/>
  <c r="L429" i="7"/>
  <c r="K429" i="7"/>
  <c r="J429" i="7"/>
  <c r="J428" i="7"/>
  <c r="L428" i="7" s="1"/>
  <c r="K427" i="7"/>
  <c r="J427" i="7"/>
  <c r="L427" i="7" s="1"/>
  <c r="L426" i="7"/>
  <c r="J426" i="7"/>
  <c r="K426" i="7" s="1"/>
  <c r="L425" i="7"/>
  <c r="K425" i="7"/>
  <c r="J425" i="7"/>
  <c r="J424" i="7"/>
  <c r="L424" i="7" s="1"/>
  <c r="K423" i="7"/>
  <c r="J423" i="7"/>
  <c r="L423" i="7" s="1"/>
  <c r="L422" i="7"/>
  <c r="J422" i="7"/>
  <c r="K422" i="7" s="1"/>
  <c r="L421" i="7"/>
  <c r="K421" i="7"/>
  <c r="J421" i="7"/>
  <c r="J420" i="7"/>
  <c r="L420" i="7" s="1"/>
  <c r="K419" i="7"/>
  <c r="J419" i="7"/>
  <c r="L419" i="7" s="1"/>
  <c r="L418" i="7"/>
  <c r="J418" i="7"/>
  <c r="K418" i="7" s="1"/>
  <c r="L417" i="7"/>
  <c r="K417" i="7"/>
  <c r="J417" i="7"/>
  <c r="J416" i="7"/>
  <c r="L416" i="7" s="1"/>
  <c r="K415" i="7"/>
  <c r="J415" i="7"/>
  <c r="L415" i="7" s="1"/>
  <c r="L414" i="7"/>
  <c r="J414" i="7"/>
  <c r="K414" i="7" s="1"/>
  <c r="L413" i="7"/>
  <c r="K413" i="7"/>
  <c r="J413" i="7"/>
  <c r="J412" i="7"/>
  <c r="L412" i="7" s="1"/>
  <c r="K411" i="7"/>
  <c r="J411" i="7"/>
  <c r="L411" i="7" s="1"/>
  <c r="L410" i="7"/>
  <c r="J410" i="7"/>
  <c r="K410" i="7" s="1"/>
  <c r="L409" i="7"/>
  <c r="K409" i="7"/>
  <c r="J409" i="7"/>
  <c r="J408" i="7"/>
  <c r="L408" i="7" s="1"/>
  <c r="K407" i="7"/>
  <c r="J407" i="7"/>
  <c r="L407" i="7" s="1"/>
  <c r="L406" i="7"/>
  <c r="J406" i="7"/>
  <c r="K406" i="7" s="1"/>
  <c r="L405" i="7"/>
  <c r="K405" i="7"/>
  <c r="J405" i="7"/>
  <c r="J404" i="7"/>
  <c r="L404" i="7" s="1"/>
  <c r="K403" i="7"/>
  <c r="J403" i="7"/>
  <c r="L403" i="7" s="1"/>
  <c r="L402" i="7"/>
  <c r="J402" i="7"/>
  <c r="K402" i="7" s="1"/>
  <c r="L401" i="7"/>
  <c r="K401" i="7"/>
  <c r="J401" i="7"/>
  <c r="J400" i="7"/>
  <c r="L400" i="7" s="1"/>
  <c r="K399" i="7"/>
  <c r="J399" i="7"/>
  <c r="L399" i="7" s="1"/>
  <c r="L398" i="7"/>
  <c r="J398" i="7"/>
  <c r="K398" i="7" s="1"/>
  <c r="L397" i="7"/>
  <c r="K397" i="7"/>
  <c r="J397" i="7"/>
  <c r="J396" i="7"/>
  <c r="L396" i="7" s="1"/>
  <c r="K395" i="7"/>
  <c r="J395" i="7"/>
  <c r="L395" i="7" s="1"/>
  <c r="L394" i="7"/>
  <c r="J394" i="7"/>
  <c r="K394" i="7" s="1"/>
  <c r="L393" i="7"/>
  <c r="K393" i="7"/>
  <c r="J393" i="7"/>
  <c r="J392" i="7"/>
  <c r="L392" i="7" s="1"/>
  <c r="K391" i="7"/>
  <c r="J391" i="7"/>
  <c r="L391" i="7" s="1"/>
  <c r="L390" i="7"/>
  <c r="J390" i="7"/>
  <c r="K390" i="7" s="1"/>
  <c r="L389" i="7"/>
  <c r="K389" i="7"/>
  <c r="J389" i="7"/>
  <c r="J388" i="7"/>
  <c r="L388" i="7" s="1"/>
  <c r="K387" i="7"/>
  <c r="J387" i="7"/>
  <c r="L387" i="7" s="1"/>
  <c r="L386" i="7"/>
  <c r="J386" i="7"/>
  <c r="K386" i="7" s="1"/>
  <c r="L385" i="7"/>
  <c r="K385" i="7"/>
  <c r="J385" i="7"/>
  <c r="J384" i="7"/>
  <c r="L384" i="7" s="1"/>
  <c r="K383" i="7"/>
  <c r="J383" i="7"/>
  <c r="L383" i="7" s="1"/>
  <c r="L382" i="7"/>
  <c r="J382" i="7"/>
  <c r="K382" i="7" s="1"/>
  <c r="L381" i="7"/>
  <c r="K381" i="7"/>
  <c r="J381" i="7"/>
  <c r="J380" i="7"/>
  <c r="L380" i="7" s="1"/>
  <c r="K379" i="7"/>
  <c r="J379" i="7"/>
  <c r="L379" i="7" s="1"/>
  <c r="L378" i="7"/>
  <c r="J378" i="7"/>
  <c r="K378" i="7" s="1"/>
  <c r="L377" i="7"/>
  <c r="K377" i="7"/>
  <c r="J377" i="7"/>
  <c r="J376" i="7"/>
  <c r="L376" i="7" s="1"/>
  <c r="K375" i="7"/>
  <c r="J375" i="7"/>
  <c r="L375" i="7" s="1"/>
  <c r="L374" i="7"/>
  <c r="J374" i="7"/>
  <c r="K374" i="7" s="1"/>
  <c r="L373" i="7"/>
  <c r="K373" i="7"/>
  <c r="J373" i="7"/>
  <c r="J372" i="7"/>
  <c r="L372" i="7" s="1"/>
  <c r="K371" i="7"/>
  <c r="J371" i="7"/>
  <c r="L371" i="7" s="1"/>
  <c r="L370" i="7"/>
  <c r="J370" i="7"/>
  <c r="K370" i="7" s="1"/>
  <c r="L369" i="7"/>
  <c r="K369" i="7"/>
  <c r="J369" i="7"/>
  <c r="J368" i="7"/>
  <c r="L368" i="7" s="1"/>
  <c r="K367" i="7"/>
  <c r="J367" i="7"/>
  <c r="L367" i="7" s="1"/>
  <c r="L366" i="7"/>
  <c r="J366" i="7"/>
  <c r="K366" i="7" s="1"/>
  <c r="L365" i="7"/>
  <c r="K365" i="7"/>
  <c r="J365" i="7"/>
  <c r="J364" i="7"/>
  <c r="L364" i="7" s="1"/>
  <c r="K363" i="7"/>
  <c r="J363" i="7"/>
  <c r="L363" i="7" s="1"/>
  <c r="L362" i="7"/>
  <c r="J362" i="7"/>
  <c r="K362" i="7" s="1"/>
  <c r="L361" i="7"/>
  <c r="K361" i="7"/>
  <c r="J361" i="7"/>
  <c r="J360" i="7"/>
  <c r="L360" i="7" s="1"/>
  <c r="K359" i="7"/>
  <c r="J359" i="7"/>
  <c r="L359" i="7" s="1"/>
  <c r="L358" i="7"/>
  <c r="J358" i="7"/>
  <c r="K358" i="7" s="1"/>
  <c r="L357" i="7"/>
  <c r="K357" i="7"/>
  <c r="J357" i="7"/>
  <c r="J356" i="7"/>
  <c r="L356" i="7" s="1"/>
  <c r="K355" i="7"/>
  <c r="J355" i="7"/>
  <c r="L355" i="7" s="1"/>
  <c r="L354" i="7"/>
  <c r="J354" i="7"/>
  <c r="K354" i="7" s="1"/>
  <c r="L353" i="7"/>
  <c r="K353" i="7"/>
  <c r="J353" i="7"/>
  <c r="J352" i="7"/>
  <c r="L352" i="7" s="1"/>
  <c r="K351" i="7"/>
  <c r="J351" i="7"/>
  <c r="L351" i="7" s="1"/>
  <c r="L350" i="7"/>
  <c r="J350" i="7"/>
  <c r="K350" i="7" s="1"/>
  <c r="L349" i="7"/>
  <c r="K349" i="7"/>
  <c r="J349" i="7"/>
  <c r="J348" i="7"/>
  <c r="L348" i="7" s="1"/>
  <c r="K347" i="7"/>
  <c r="J347" i="7"/>
  <c r="L347" i="7" s="1"/>
  <c r="L346" i="7"/>
  <c r="J346" i="7"/>
  <c r="K346" i="7" s="1"/>
  <c r="L345" i="7"/>
  <c r="K345" i="7"/>
  <c r="J345" i="7"/>
  <c r="J344" i="7"/>
  <c r="L344" i="7" s="1"/>
  <c r="K343" i="7"/>
  <c r="J343" i="7"/>
  <c r="L343" i="7" s="1"/>
  <c r="L342" i="7"/>
  <c r="J342" i="7"/>
  <c r="K342" i="7" s="1"/>
  <c r="L341" i="7"/>
  <c r="K341" i="7"/>
  <c r="J341" i="7"/>
  <c r="J340" i="7"/>
  <c r="L340" i="7" s="1"/>
  <c r="K339" i="7"/>
  <c r="J339" i="7"/>
  <c r="L339" i="7" s="1"/>
  <c r="L338" i="7"/>
  <c r="J338" i="7"/>
  <c r="K338" i="7" s="1"/>
  <c r="L337" i="7"/>
  <c r="K337" i="7"/>
  <c r="J337" i="7"/>
  <c r="J336" i="7"/>
  <c r="L336" i="7" s="1"/>
  <c r="K335" i="7"/>
  <c r="J335" i="7"/>
  <c r="L335" i="7" s="1"/>
  <c r="L334" i="7"/>
  <c r="J334" i="7"/>
  <c r="K334" i="7" s="1"/>
  <c r="L333" i="7"/>
  <c r="K333" i="7"/>
  <c r="J333" i="7"/>
  <c r="J332" i="7"/>
  <c r="L332" i="7" s="1"/>
  <c r="K331" i="7"/>
  <c r="J331" i="7"/>
  <c r="L331" i="7" s="1"/>
  <c r="L330" i="7"/>
  <c r="J330" i="7"/>
  <c r="K330" i="7" s="1"/>
  <c r="L329" i="7"/>
  <c r="K329" i="7"/>
  <c r="J329" i="7"/>
  <c r="J328" i="7"/>
  <c r="L328" i="7" s="1"/>
  <c r="K327" i="7"/>
  <c r="J327" i="7"/>
  <c r="L327" i="7" s="1"/>
  <c r="L326" i="7"/>
  <c r="J326" i="7"/>
  <c r="K326" i="7" s="1"/>
  <c r="L325" i="7"/>
  <c r="K325" i="7"/>
  <c r="J325" i="7"/>
  <c r="J324" i="7"/>
  <c r="L324" i="7" s="1"/>
  <c r="K323" i="7"/>
  <c r="J323" i="7"/>
  <c r="L323" i="7" s="1"/>
  <c r="L322" i="7"/>
  <c r="J322" i="7"/>
  <c r="K322" i="7" s="1"/>
  <c r="L321" i="7"/>
  <c r="K321" i="7"/>
  <c r="J321" i="7"/>
  <c r="J320" i="7"/>
  <c r="L320" i="7" s="1"/>
  <c r="K319" i="7"/>
  <c r="J319" i="7"/>
  <c r="L319" i="7" s="1"/>
  <c r="L318" i="7"/>
  <c r="J318" i="7"/>
  <c r="K318" i="7" s="1"/>
  <c r="L317" i="7"/>
  <c r="K317" i="7"/>
  <c r="J317" i="7"/>
  <c r="J316" i="7"/>
  <c r="L316" i="7" s="1"/>
  <c r="K315" i="7"/>
  <c r="J315" i="7"/>
  <c r="L315" i="7" s="1"/>
  <c r="L314" i="7"/>
  <c r="J314" i="7"/>
  <c r="K314" i="7" s="1"/>
  <c r="L313" i="7"/>
  <c r="K313" i="7"/>
  <c r="J313" i="7"/>
  <c r="J312" i="7"/>
  <c r="L312" i="7" s="1"/>
  <c r="K311" i="7"/>
  <c r="J311" i="7"/>
  <c r="L311" i="7" s="1"/>
  <c r="L310" i="7"/>
  <c r="J310" i="7"/>
  <c r="K310" i="7" s="1"/>
  <c r="L309" i="7"/>
  <c r="K309" i="7"/>
  <c r="J309" i="7"/>
  <c r="J308" i="7"/>
  <c r="L308" i="7" s="1"/>
  <c r="K307" i="7"/>
  <c r="J307" i="7"/>
  <c r="L307" i="7" s="1"/>
  <c r="L306" i="7"/>
  <c r="J306" i="7"/>
  <c r="K306" i="7" s="1"/>
  <c r="L305" i="7"/>
  <c r="K305" i="7"/>
  <c r="J305" i="7"/>
  <c r="J304" i="7"/>
  <c r="K304" i="7" s="1"/>
  <c r="K303" i="7"/>
  <c r="J303" i="7"/>
  <c r="L303" i="7" s="1"/>
  <c r="L302" i="7"/>
  <c r="J302" i="7"/>
  <c r="K302" i="7" s="1"/>
  <c r="L301" i="7"/>
  <c r="K301" i="7"/>
  <c r="J301" i="7"/>
  <c r="J300" i="7"/>
  <c r="L300" i="7" s="1"/>
  <c r="K299" i="7"/>
  <c r="J299" i="7"/>
  <c r="L299" i="7" s="1"/>
  <c r="L298" i="7"/>
  <c r="J298" i="7"/>
  <c r="K298" i="7" s="1"/>
  <c r="L297" i="7"/>
  <c r="K297" i="7"/>
  <c r="J297" i="7"/>
  <c r="J296" i="7"/>
  <c r="K296" i="7" s="1"/>
  <c r="K295" i="7"/>
  <c r="J295" i="7"/>
  <c r="L295" i="7" s="1"/>
  <c r="L294" i="7"/>
  <c r="J294" i="7"/>
  <c r="K294" i="7" s="1"/>
  <c r="L293" i="7"/>
  <c r="K293" i="7"/>
  <c r="J293" i="7"/>
  <c r="J292" i="7"/>
  <c r="L292" i="7" s="1"/>
  <c r="J291" i="7"/>
  <c r="K291" i="7" s="1"/>
  <c r="L290" i="7"/>
  <c r="J290" i="7"/>
  <c r="K290" i="7" s="1"/>
  <c r="L289" i="7"/>
  <c r="K289" i="7"/>
  <c r="J289" i="7"/>
  <c r="J288" i="7"/>
  <c r="L288" i="7" s="1"/>
  <c r="J287" i="7"/>
  <c r="L287" i="7" s="1"/>
  <c r="L286" i="7"/>
  <c r="J286" i="7"/>
  <c r="K286" i="7" s="1"/>
  <c r="L285" i="7"/>
  <c r="K285" i="7"/>
  <c r="J285" i="7"/>
  <c r="J284" i="7"/>
  <c r="K284" i="7" s="1"/>
  <c r="J283" i="7"/>
  <c r="K283" i="7" s="1"/>
  <c r="L282" i="7"/>
  <c r="J282" i="7"/>
  <c r="K282" i="7" s="1"/>
  <c r="L281" i="7"/>
  <c r="K281" i="7"/>
  <c r="J281" i="7"/>
  <c r="J280" i="7"/>
  <c r="L280" i="7" s="1"/>
  <c r="J279" i="7"/>
  <c r="L279" i="7" s="1"/>
  <c r="L278" i="7"/>
  <c r="J278" i="7"/>
  <c r="K278" i="7" s="1"/>
  <c r="L277" i="7"/>
  <c r="K277" i="7"/>
  <c r="J277" i="7"/>
  <c r="J276" i="7"/>
  <c r="K276" i="7" s="1"/>
  <c r="J275" i="7"/>
  <c r="K275" i="7" s="1"/>
  <c r="L274" i="7"/>
  <c r="J274" i="7"/>
  <c r="K274" i="7" s="1"/>
  <c r="L273" i="7"/>
  <c r="K273" i="7"/>
  <c r="J273" i="7"/>
  <c r="J272" i="7"/>
  <c r="L272" i="7" s="1"/>
  <c r="J271" i="7"/>
  <c r="L271" i="7" s="1"/>
  <c r="L270" i="7"/>
  <c r="J270" i="7"/>
  <c r="K270" i="7" s="1"/>
  <c r="L269" i="7"/>
  <c r="K269" i="7"/>
  <c r="J269" i="7"/>
  <c r="J268" i="7"/>
  <c r="K268" i="7" s="1"/>
  <c r="J267" i="7"/>
  <c r="K267" i="7" s="1"/>
  <c r="L266" i="7"/>
  <c r="J266" i="7"/>
  <c r="K266" i="7" s="1"/>
  <c r="L265" i="7"/>
  <c r="K265" i="7"/>
  <c r="J265" i="7"/>
  <c r="J264" i="7"/>
  <c r="L264" i="7" s="1"/>
  <c r="J263" i="7"/>
  <c r="L263" i="7" s="1"/>
  <c r="L262" i="7"/>
  <c r="J262" i="7"/>
  <c r="K262" i="7" s="1"/>
  <c r="L261" i="7"/>
  <c r="K261" i="7"/>
  <c r="J261" i="7"/>
  <c r="J260" i="7"/>
  <c r="K260" i="7" s="1"/>
  <c r="J259" i="7"/>
  <c r="K259" i="7" s="1"/>
  <c r="L258" i="7"/>
  <c r="J258" i="7"/>
  <c r="K258" i="7" s="1"/>
  <c r="L257" i="7"/>
  <c r="K257" i="7"/>
  <c r="J257" i="7"/>
  <c r="J256" i="7"/>
  <c r="L256" i="7" s="1"/>
  <c r="J255" i="7"/>
  <c r="K255" i="7" s="1"/>
  <c r="L254" i="7"/>
  <c r="J254" i="7"/>
  <c r="K254" i="7" s="1"/>
  <c r="L253" i="7"/>
  <c r="K253" i="7"/>
  <c r="J253" i="7"/>
  <c r="J252" i="7"/>
  <c r="L252" i="7" s="1"/>
  <c r="J251" i="7"/>
  <c r="L251" i="7" s="1"/>
  <c r="L250" i="7"/>
  <c r="J250" i="7"/>
  <c r="K250" i="7" s="1"/>
  <c r="L249" i="7"/>
  <c r="K249" i="7"/>
  <c r="J249" i="7"/>
  <c r="J248" i="7"/>
  <c r="K248" i="7" s="1"/>
  <c r="J247" i="7"/>
  <c r="K247" i="7" s="1"/>
  <c r="L246" i="7"/>
  <c r="J246" i="7"/>
  <c r="K246" i="7" s="1"/>
  <c r="L245" i="7"/>
  <c r="K245" i="7"/>
  <c r="J245" i="7"/>
  <c r="J244" i="7"/>
  <c r="L244" i="7" s="1"/>
  <c r="J243" i="7"/>
  <c r="L243" i="7" s="1"/>
  <c r="L242" i="7"/>
  <c r="J242" i="7"/>
  <c r="K242" i="7" s="1"/>
  <c r="L241" i="7"/>
  <c r="K241" i="7"/>
  <c r="J241" i="7"/>
  <c r="J240" i="7"/>
  <c r="K240" i="7" s="1"/>
  <c r="J239" i="7"/>
  <c r="K239" i="7" s="1"/>
  <c r="L238" i="7"/>
  <c r="J238" i="7"/>
  <c r="K238" i="7" s="1"/>
  <c r="L237" i="7"/>
  <c r="K237" i="7"/>
  <c r="J237" i="7"/>
  <c r="J236" i="7"/>
  <c r="L236" i="7" s="1"/>
  <c r="J235" i="7"/>
  <c r="L235" i="7" s="1"/>
  <c r="L234" i="7"/>
  <c r="J234" i="7"/>
  <c r="K234" i="7" s="1"/>
  <c r="L233" i="7"/>
  <c r="K233" i="7"/>
  <c r="J233" i="7"/>
  <c r="J232" i="7"/>
  <c r="K232" i="7" s="1"/>
  <c r="J231" i="7"/>
  <c r="K231" i="7" s="1"/>
  <c r="L230" i="7"/>
  <c r="J230" i="7"/>
  <c r="K230" i="7" s="1"/>
  <c r="L229" i="7"/>
  <c r="K229" i="7"/>
  <c r="J229" i="7"/>
  <c r="J228" i="7"/>
  <c r="L228" i="7" s="1"/>
  <c r="J227" i="7"/>
  <c r="L227" i="7" s="1"/>
  <c r="L226" i="7"/>
  <c r="J226" i="7"/>
  <c r="K226" i="7" s="1"/>
  <c r="L225" i="7"/>
  <c r="K225" i="7"/>
  <c r="J225" i="7"/>
  <c r="J224" i="7"/>
  <c r="K224" i="7" s="1"/>
  <c r="J223" i="7"/>
  <c r="K223" i="7" s="1"/>
  <c r="L222" i="7"/>
  <c r="J222" i="7"/>
  <c r="K222" i="7" s="1"/>
  <c r="L221" i="7"/>
  <c r="K221" i="7"/>
  <c r="J221" i="7"/>
  <c r="J220" i="7"/>
  <c r="L220" i="7" s="1"/>
  <c r="J219" i="7"/>
  <c r="L219" i="7" s="1"/>
  <c r="L218" i="7"/>
  <c r="J218" i="7"/>
  <c r="K218" i="7" s="1"/>
  <c r="L217" i="7"/>
  <c r="K217" i="7"/>
  <c r="J217" i="7"/>
  <c r="J216" i="7"/>
  <c r="K216" i="7" s="1"/>
  <c r="J215" i="7"/>
  <c r="L215" i="7" s="1"/>
  <c r="L214" i="7"/>
  <c r="J214" i="7"/>
  <c r="K214" i="7" s="1"/>
  <c r="L213" i="7"/>
  <c r="K213" i="7"/>
  <c r="J213" i="7"/>
  <c r="J212" i="7"/>
  <c r="K212" i="7" s="1"/>
  <c r="J211" i="7"/>
  <c r="K211" i="7" s="1"/>
  <c r="L210" i="7"/>
  <c r="J210" i="7"/>
  <c r="K210" i="7" s="1"/>
  <c r="L209" i="7"/>
  <c r="K209" i="7"/>
  <c r="J209" i="7"/>
  <c r="J208" i="7"/>
  <c r="L208" i="7" s="1"/>
  <c r="J207" i="7"/>
  <c r="L207" i="7" s="1"/>
  <c r="L206" i="7"/>
  <c r="J206" i="7"/>
  <c r="K206" i="7" s="1"/>
  <c r="L205" i="7"/>
  <c r="K205" i="7"/>
  <c r="J205" i="7"/>
  <c r="J204" i="7"/>
  <c r="K204" i="7" s="1"/>
  <c r="J203" i="7"/>
  <c r="L203" i="7" s="1"/>
  <c r="L202" i="7"/>
  <c r="J202" i="7"/>
  <c r="K202" i="7" s="1"/>
  <c r="L201" i="7"/>
  <c r="K201" i="7"/>
  <c r="J201" i="7"/>
  <c r="J200" i="7"/>
  <c r="K200" i="7" s="1"/>
  <c r="J199" i="7"/>
  <c r="K199" i="7" s="1"/>
  <c r="L198" i="7"/>
  <c r="J198" i="7"/>
  <c r="K198" i="7" s="1"/>
  <c r="L197" i="7"/>
  <c r="K197" i="7"/>
  <c r="J197" i="7"/>
  <c r="J196" i="7"/>
  <c r="L196" i="7" s="1"/>
  <c r="J195" i="7"/>
  <c r="K195" i="7" s="1"/>
  <c r="L194" i="7"/>
  <c r="J194" i="7"/>
  <c r="K194" i="7" s="1"/>
  <c r="L193" i="7"/>
  <c r="K193" i="7"/>
  <c r="J193" i="7"/>
  <c r="J192" i="7"/>
  <c r="L192" i="7" s="1"/>
  <c r="J191" i="7"/>
  <c r="L191" i="7" s="1"/>
  <c r="L190" i="7"/>
  <c r="J190" i="7"/>
  <c r="K190" i="7" s="1"/>
  <c r="L189" i="7"/>
  <c r="K189" i="7"/>
  <c r="J189" i="7"/>
  <c r="J188" i="7"/>
  <c r="L188" i="7" s="1"/>
  <c r="J187" i="7"/>
  <c r="K187" i="7" s="1"/>
  <c r="L186" i="7"/>
  <c r="J186" i="7"/>
  <c r="K186" i="7" s="1"/>
  <c r="L185" i="7"/>
  <c r="K185" i="7"/>
  <c r="J185" i="7"/>
  <c r="J184" i="7"/>
  <c r="L184" i="7" s="1"/>
  <c r="J183" i="7"/>
  <c r="L183" i="7" s="1"/>
  <c r="L182" i="7"/>
  <c r="J182" i="7"/>
  <c r="K182" i="7" s="1"/>
  <c r="L181" i="7"/>
  <c r="K181" i="7"/>
  <c r="J181" i="7"/>
  <c r="J180" i="7"/>
  <c r="K180" i="7" s="1"/>
  <c r="J179" i="7"/>
  <c r="L179" i="7" s="1"/>
  <c r="L178" i="7"/>
  <c r="J178" i="7"/>
  <c r="K178" i="7" s="1"/>
  <c r="L177" i="7"/>
  <c r="K177" i="7"/>
  <c r="J177" i="7"/>
  <c r="J176" i="7"/>
  <c r="K176" i="7" s="1"/>
  <c r="J175" i="7"/>
  <c r="K175" i="7" s="1"/>
  <c r="L174" i="7"/>
  <c r="J174" i="7"/>
  <c r="K174" i="7" s="1"/>
  <c r="L173" i="7"/>
  <c r="K173" i="7"/>
  <c r="J173" i="7"/>
  <c r="J172" i="7"/>
  <c r="L172" i="7" s="1"/>
  <c r="J171" i="7"/>
  <c r="K171" i="7" s="1"/>
  <c r="L170" i="7"/>
  <c r="J170" i="7"/>
  <c r="K170" i="7" s="1"/>
  <c r="L169" i="7"/>
  <c r="K169" i="7"/>
  <c r="J169" i="7"/>
  <c r="J168" i="7"/>
  <c r="L168" i="7" s="1"/>
  <c r="J167" i="7"/>
  <c r="L167" i="7" s="1"/>
  <c r="L166" i="7"/>
  <c r="J166" i="7"/>
  <c r="K166" i="7" s="1"/>
  <c r="L165" i="7"/>
  <c r="K165" i="7"/>
  <c r="J165" i="7"/>
  <c r="J164" i="7"/>
  <c r="K164" i="7" s="1"/>
  <c r="J163" i="7"/>
  <c r="K163" i="7" s="1"/>
  <c r="L162" i="7"/>
  <c r="J162" i="7"/>
  <c r="K162" i="7" s="1"/>
  <c r="L161" i="7"/>
  <c r="K161" i="7"/>
  <c r="J161" i="7"/>
  <c r="J160" i="7"/>
  <c r="L160" i="7" s="1"/>
  <c r="J159" i="7"/>
  <c r="L159" i="7" s="1"/>
  <c r="L158" i="7"/>
  <c r="J158" i="7"/>
  <c r="K158" i="7" s="1"/>
  <c r="L157" i="7"/>
  <c r="K157" i="7"/>
  <c r="J157" i="7"/>
  <c r="J156" i="7"/>
  <c r="K156" i="7" s="1"/>
  <c r="J155" i="7"/>
  <c r="L155" i="7" s="1"/>
  <c r="L154" i="7"/>
  <c r="J154" i="7"/>
  <c r="K154" i="7" s="1"/>
  <c r="L153" i="7"/>
  <c r="K153" i="7"/>
  <c r="J153" i="7"/>
  <c r="J152" i="7"/>
  <c r="K152" i="7" s="1"/>
  <c r="J151" i="7"/>
  <c r="K151" i="7" s="1"/>
  <c r="L150" i="7"/>
  <c r="J150" i="7"/>
  <c r="K150" i="7" s="1"/>
  <c r="L149" i="7"/>
  <c r="K149" i="7"/>
  <c r="J149" i="7"/>
  <c r="J148" i="7"/>
  <c r="L148" i="7" s="1"/>
  <c r="J147" i="7"/>
  <c r="L147" i="7" s="1"/>
  <c r="L146" i="7"/>
  <c r="J146" i="7"/>
  <c r="K146" i="7" s="1"/>
  <c r="L145" i="7"/>
  <c r="K145" i="7"/>
  <c r="J145" i="7"/>
  <c r="J144" i="7"/>
  <c r="K144" i="7" s="1"/>
  <c r="J143" i="7"/>
  <c r="K143" i="7" s="1"/>
  <c r="L142" i="7"/>
  <c r="J142" i="7"/>
  <c r="K142" i="7" s="1"/>
  <c r="L141" i="7"/>
  <c r="K141" i="7"/>
  <c r="J141" i="7"/>
  <c r="J140" i="7"/>
  <c r="L140" i="7" s="1"/>
  <c r="J139" i="7"/>
  <c r="L139" i="7" s="1"/>
  <c r="L138" i="7"/>
  <c r="J138" i="7"/>
  <c r="K138" i="7" s="1"/>
  <c r="L137" i="7"/>
  <c r="K137" i="7"/>
  <c r="J137" i="7"/>
  <c r="J136" i="7"/>
  <c r="L136" i="7" s="1"/>
  <c r="J135" i="7"/>
  <c r="L135" i="7" s="1"/>
  <c r="L134" i="7"/>
  <c r="J134" i="7"/>
  <c r="K134" i="7" s="1"/>
  <c r="L133" i="7"/>
  <c r="K133" i="7"/>
  <c r="J133" i="7"/>
  <c r="J132" i="7"/>
  <c r="K132" i="7" s="1"/>
  <c r="J131" i="7"/>
  <c r="K131" i="7" s="1"/>
  <c r="L130" i="7"/>
  <c r="J130" i="7"/>
  <c r="K130" i="7" s="1"/>
  <c r="L129" i="7"/>
  <c r="K129" i="7"/>
  <c r="J129" i="7"/>
  <c r="J128" i="7"/>
  <c r="L128" i="7" s="1"/>
  <c r="J127" i="7"/>
  <c r="K127" i="7" s="1"/>
  <c r="L126" i="7"/>
  <c r="J126" i="7"/>
  <c r="K126" i="7" s="1"/>
  <c r="L125" i="7"/>
  <c r="K125" i="7"/>
  <c r="J125" i="7"/>
  <c r="J124" i="7"/>
  <c r="L124" i="7" s="1"/>
  <c r="J123" i="7"/>
  <c r="L123" i="7" s="1"/>
  <c r="L122" i="7"/>
  <c r="J122" i="7"/>
  <c r="K122" i="7" s="1"/>
  <c r="L121" i="7"/>
  <c r="K121" i="7"/>
  <c r="J121" i="7"/>
  <c r="J120" i="7"/>
  <c r="L120" i="7" s="1"/>
  <c r="J119" i="7"/>
  <c r="L119" i="7" s="1"/>
  <c r="L118" i="7"/>
  <c r="J118" i="7"/>
  <c r="K118" i="7" s="1"/>
  <c r="L117" i="7"/>
  <c r="K117" i="7"/>
  <c r="J117" i="7"/>
  <c r="J116" i="7"/>
  <c r="L116" i="7" s="1"/>
  <c r="J115" i="7"/>
  <c r="L115" i="7" s="1"/>
  <c r="L114" i="7"/>
  <c r="J114" i="7"/>
  <c r="K114" i="7" s="1"/>
  <c r="L113" i="7"/>
  <c r="K113" i="7"/>
  <c r="J113" i="7"/>
  <c r="J112" i="7"/>
  <c r="L112" i="7" s="1"/>
  <c r="J111" i="7"/>
  <c r="L111" i="7" s="1"/>
  <c r="L110" i="7"/>
  <c r="J110" i="7"/>
  <c r="K110" i="7" s="1"/>
  <c r="L109" i="7"/>
  <c r="K109" i="7"/>
  <c r="J109" i="7"/>
  <c r="J108" i="7"/>
  <c r="K108" i="7" s="1"/>
  <c r="J107" i="7"/>
  <c r="K107" i="7" s="1"/>
  <c r="L106" i="7"/>
  <c r="J106" i="7"/>
  <c r="K106" i="7" s="1"/>
  <c r="L105" i="7"/>
  <c r="K105" i="7"/>
  <c r="J105" i="7"/>
  <c r="J104" i="7"/>
  <c r="L104" i="7" s="1"/>
  <c r="J103" i="7"/>
  <c r="L103" i="7" s="1"/>
  <c r="L102" i="7"/>
  <c r="J102" i="7"/>
  <c r="K102" i="7" s="1"/>
  <c r="L101" i="7"/>
  <c r="K101" i="7"/>
  <c r="J101" i="7"/>
  <c r="J100" i="7"/>
  <c r="K100" i="7" s="1"/>
  <c r="J99" i="7"/>
  <c r="L99" i="7" s="1"/>
  <c r="L98" i="7"/>
  <c r="J98" i="7"/>
  <c r="K98" i="7" s="1"/>
  <c r="L97" i="7"/>
  <c r="K97" i="7"/>
  <c r="J97" i="7"/>
  <c r="J96" i="7"/>
  <c r="K96" i="7" s="1"/>
  <c r="J95" i="7"/>
  <c r="K95" i="7" s="1"/>
  <c r="L94" i="7"/>
  <c r="J94" i="7"/>
  <c r="K94" i="7" s="1"/>
  <c r="L93" i="7"/>
  <c r="K93" i="7"/>
  <c r="J93" i="7"/>
  <c r="J92" i="7"/>
  <c r="L92" i="7" s="1"/>
  <c r="J91" i="7"/>
  <c r="L91" i="7" s="1"/>
  <c r="L90" i="7"/>
  <c r="J90" i="7"/>
  <c r="K90" i="7" s="1"/>
  <c r="L89" i="7"/>
  <c r="K89" i="7"/>
  <c r="J89" i="7"/>
  <c r="J88" i="7"/>
  <c r="K88" i="7" s="1"/>
  <c r="J87" i="7"/>
  <c r="K87" i="7" s="1"/>
  <c r="L86" i="7"/>
  <c r="J86" i="7"/>
  <c r="K86" i="7" s="1"/>
  <c r="L85" i="7"/>
  <c r="K85" i="7"/>
  <c r="J85" i="7"/>
  <c r="J84" i="7"/>
  <c r="L84" i="7" s="1"/>
  <c r="J83" i="7"/>
  <c r="L83" i="7" s="1"/>
  <c r="L82" i="7"/>
  <c r="J82" i="7"/>
  <c r="K82" i="7" s="1"/>
  <c r="L81" i="7"/>
  <c r="K81" i="7"/>
  <c r="J81" i="7"/>
  <c r="J80" i="7"/>
  <c r="K80" i="7" s="1"/>
  <c r="J79" i="7"/>
  <c r="K79" i="7" s="1"/>
  <c r="L78" i="7"/>
  <c r="J78" i="7"/>
  <c r="K78" i="7" s="1"/>
  <c r="L77" i="7"/>
  <c r="K77" i="7"/>
  <c r="J77" i="7"/>
  <c r="J76" i="7"/>
  <c r="L76" i="7" s="1"/>
  <c r="J75" i="7"/>
  <c r="L75" i="7" s="1"/>
  <c r="L74" i="7"/>
  <c r="J74" i="7"/>
  <c r="K74" i="7" s="1"/>
  <c r="L73" i="7"/>
  <c r="K73" i="7"/>
  <c r="J73" i="7"/>
  <c r="J72" i="7"/>
  <c r="K72" i="7" s="1"/>
  <c r="J71" i="7"/>
  <c r="K71" i="7" s="1"/>
  <c r="L70" i="7"/>
  <c r="J70" i="7"/>
  <c r="K70" i="7" s="1"/>
  <c r="L69" i="7"/>
  <c r="K69" i="7"/>
  <c r="J69" i="7"/>
  <c r="J68" i="7"/>
  <c r="L68" i="7" s="1"/>
  <c r="J67" i="7"/>
  <c r="L67" i="7" s="1"/>
  <c r="L66" i="7"/>
  <c r="J66" i="7"/>
  <c r="K66" i="7" s="1"/>
  <c r="L65" i="7"/>
  <c r="K65" i="7"/>
  <c r="J65" i="7"/>
  <c r="J64" i="7"/>
  <c r="K64" i="7" s="1"/>
  <c r="J63" i="7"/>
  <c r="K63" i="7" s="1"/>
  <c r="L62" i="7"/>
  <c r="J62" i="7"/>
  <c r="K62" i="7" s="1"/>
  <c r="L61" i="7"/>
  <c r="K61" i="7"/>
  <c r="J61" i="7"/>
  <c r="J60" i="7"/>
  <c r="L60" i="7" s="1"/>
  <c r="J59" i="7"/>
  <c r="L59" i="7" s="1"/>
  <c r="L58" i="7"/>
  <c r="J58" i="7"/>
  <c r="K58" i="7" s="1"/>
  <c r="L57" i="7"/>
  <c r="K57" i="7"/>
  <c r="J57" i="7"/>
  <c r="J56" i="7"/>
  <c r="L56" i="7" s="1"/>
  <c r="J55" i="7"/>
  <c r="L55" i="7" s="1"/>
  <c r="L54" i="7"/>
  <c r="J54" i="7"/>
  <c r="K54" i="7" s="1"/>
  <c r="L53" i="7"/>
  <c r="K53" i="7"/>
  <c r="J53" i="7"/>
  <c r="J52" i="7"/>
  <c r="K52" i="7" s="1"/>
  <c r="J51" i="7"/>
  <c r="K51" i="7" s="1"/>
  <c r="L50" i="7"/>
  <c r="J50" i="7"/>
  <c r="K50" i="7" s="1"/>
  <c r="L49" i="7"/>
  <c r="K49" i="7"/>
  <c r="J49" i="7"/>
  <c r="J48" i="7"/>
  <c r="L48" i="7" s="1"/>
  <c r="J47" i="7"/>
  <c r="L47" i="7" s="1"/>
  <c r="L46" i="7"/>
  <c r="J46" i="7"/>
  <c r="K46" i="7" s="1"/>
  <c r="L45" i="7"/>
  <c r="K45" i="7"/>
  <c r="J45" i="7"/>
  <c r="J44" i="7"/>
  <c r="L44" i="7" s="1"/>
  <c r="J43" i="7"/>
  <c r="K43" i="7" s="1"/>
  <c r="L42" i="7"/>
  <c r="J42" i="7"/>
  <c r="K42" i="7" s="1"/>
  <c r="L41" i="7"/>
  <c r="K41" i="7"/>
  <c r="J41" i="7"/>
  <c r="J40" i="7"/>
  <c r="L40" i="7" s="1"/>
  <c r="J39" i="7"/>
  <c r="L39" i="7" s="1"/>
  <c r="L38" i="7"/>
  <c r="J38" i="7"/>
  <c r="K38" i="7" s="1"/>
  <c r="L37" i="7"/>
  <c r="K37" i="7"/>
  <c r="J37" i="7"/>
  <c r="J36" i="7"/>
  <c r="L36" i="7" s="1"/>
  <c r="J35" i="7"/>
  <c r="K35" i="7" s="1"/>
  <c r="L34" i="7"/>
  <c r="J34" i="7"/>
  <c r="K34" i="7" s="1"/>
  <c r="L33" i="7"/>
  <c r="K33" i="7"/>
  <c r="J33" i="7"/>
  <c r="J32" i="7"/>
  <c r="L32" i="7" s="1"/>
  <c r="J31" i="7"/>
  <c r="L31" i="7" s="1"/>
  <c r="L30" i="7"/>
  <c r="J30" i="7"/>
  <c r="K30" i="7" s="1"/>
  <c r="L29" i="7"/>
  <c r="K29" i="7"/>
  <c r="J29" i="7"/>
  <c r="J28" i="7"/>
  <c r="L28" i="7" s="1"/>
  <c r="J27" i="7"/>
  <c r="L27" i="7" s="1"/>
  <c r="L26" i="7"/>
  <c r="J26" i="7"/>
  <c r="K26" i="7" s="1"/>
  <c r="L25" i="7"/>
  <c r="K25" i="7"/>
  <c r="J25" i="7"/>
  <c r="J24" i="7"/>
  <c r="K24" i="7" s="1"/>
  <c r="J23" i="7"/>
  <c r="K23" i="7" s="1"/>
  <c r="L22" i="7"/>
  <c r="J22" i="7"/>
  <c r="K22" i="7" s="1"/>
  <c r="L21" i="7"/>
  <c r="K21" i="7"/>
  <c r="J21" i="7"/>
  <c r="J20" i="7"/>
  <c r="L20" i="7" s="1"/>
  <c r="J19" i="7"/>
  <c r="L19" i="7" s="1"/>
  <c r="L18" i="7"/>
  <c r="J18" i="7"/>
  <c r="K18" i="7" s="1"/>
  <c r="L17" i="7"/>
  <c r="K17" i="7"/>
  <c r="J17" i="7"/>
  <c r="J16" i="7"/>
  <c r="L16" i="7" s="1"/>
  <c r="J15" i="7"/>
  <c r="K15" i="7" s="1"/>
  <c r="L14" i="7"/>
  <c r="J14" i="7"/>
  <c r="K14" i="7" s="1"/>
  <c r="L13" i="7"/>
  <c r="K13" i="7"/>
  <c r="J13" i="7"/>
  <c r="J12" i="7"/>
  <c r="L12" i="7" s="1"/>
  <c r="J11" i="7"/>
  <c r="L11" i="7" s="1"/>
  <c r="L10" i="7"/>
  <c r="J10" i="7"/>
  <c r="K10" i="7" s="1"/>
  <c r="L9" i="7"/>
  <c r="K9" i="7"/>
  <c r="J9" i="7"/>
  <c r="J8" i="7"/>
  <c r="L8" i="7" s="1"/>
  <c r="J7" i="7"/>
  <c r="L7" i="7" s="1"/>
  <c r="L6" i="7"/>
  <c r="J6" i="7"/>
  <c r="K6" i="7" s="1"/>
  <c r="L5" i="7"/>
  <c r="K5" i="7"/>
  <c r="J5" i="7"/>
  <c r="J4" i="7"/>
  <c r="K4" i="7" s="1"/>
  <c r="J3" i="7"/>
  <c r="K3" i="7" s="1"/>
  <c r="L2" i="7"/>
  <c r="J2" i="7"/>
  <c r="K2" i="7" s="1"/>
  <c r="K16" i="7" l="1"/>
  <c r="K20" i="7"/>
  <c r="K28" i="7"/>
  <c r="K32" i="7"/>
  <c r="K36" i="7"/>
  <c r="K48" i="7"/>
  <c r="K56" i="7"/>
  <c r="K84" i="7"/>
  <c r="K92" i="7"/>
  <c r="K116" i="7"/>
  <c r="K124" i="7"/>
  <c r="K136" i="7"/>
  <c r="K188" i="7"/>
  <c r="L4" i="7"/>
  <c r="K7" i="7"/>
  <c r="K11" i="7"/>
  <c r="K19" i="7"/>
  <c r="L24" i="7"/>
  <c r="K27" i="7"/>
  <c r="K31" i="7"/>
  <c r="K39" i="7"/>
  <c r="K47" i="7"/>
  <c r="L52" i="7"/>
  <c r="K55" i="7"/>
  <c r="K59" i="7"/>
  <c r="L64" i="7"/>
  <c r="K67" i="7"/>
  <c r="L72" i="7"/>
  <c r="K75" i="7"/>
  <c r="L80" i="7"/>
  <c r="K83" i="7"/>
  <c r="L88" i="7"/>
  <c r="K91" i="7"/>
  <c r="L96" i="7"/>
  <c r="K99" i="7"/>
  <c r="L100" i="7"/>
  <c r="K103" i="7"/>
  <c r="L108" i="7"/>
  <c r="K111" i="7"/>
  <c r="K115" i="7"/>
  <c r="K119" i="7"/>
  <c r="K123" i="7"/>
  <c r="L132" i="7"/>
  <c r="K135" i="7"/>
  <c r="K139" i="7"/>
  <c r="L144" i="7"/>
  <c r="K147" i="7"/>
  <c r="L152" i="7"/>
  <c r="K155" i="7"/>
  <c r="L156" i="7"/>
  <c r="K159" i="7"/>
  <c r="L164" i="7"/>
  <c r="K167" i="7"/>
  <c r="L176" i="7"/>
  <c r="K179" i="7"/>
  <c r="L180" i="7"/>
  <c r="K183" i="7"/>
  <c r="K191" i="7"/>
  <c r="L200" i="7"/>
  <c r="K203" i="7"/>
  <c r="L204" i="7"/>
  <c r="K207" i="7"/>
  <c r="L212" i="7"/>
  <c r="K215" i="7"/>
  <c r="L216" i="7"/>
  <c r="K219" i="7"/>
  <c r="L224" i="7"/>
  <c r="K227" i="7"/>
  <c r="L232" i="7"/>
  <c r="K235" i="7"/>
  <c r="L240" i="7"/>
  <c r="K243" i="7"/>
  <c r="L248" i="7"/>
  <c r="K251" i="7"/>
  <c r="L260" i="7"/>
  <c r="K263" i="7"/>
  <c r="L268" i="7"/>
  <c r="K271" i="7"/>
  <c r="L276" i="7"/>
  <c r="K279" i="7"/>
  <c r="L284" i="7"/>
  <c r="K287" i="7"/>
  <c r="L296" i="7"/>
  <c r="L304" i="7"/>
  <c r="L3" i="7"/>
  <c r="L15" i="7"/>
  <c r="L23" i="7"/>
  <c r="L35" i="7"/>
  <c r="L43" i="7"/>
  <c r="L51" i="7"/>
  <c r="L63" i="7"/>
  <c r="L71" i="7"/>
  <c r="L79" i="7"/>
  <c r="L87" i="7"/>
  <c r="L95" i="7"/>
  <c r="L107" i="7"/>
  <c r="L127" i="7"/>
  <c r="L131" i="7"/>
  <c r="L143" i="7"/>
  <c r="L151" i="7"/>
  <c r="L163" i="7"/>
  <c r="L171" i="7"/>
  <c r="L175" i="7"/>
  <c r="L187" i="7"/>
  <c r="L195" i="7"/>
  <c r="L199" i="7"/>
  <c r="L211" i="7"/>
  <c r="L223" i="7"/>
  <c r="L231" i="7"/>
  <c r="L239" i="7"/>
  <c r="L247" i="7"/>
  <c r="L255" i="7"/>
  <c r="L259" i="7"/>
  <c r="L267" i="7"/>
  <c r="L275" i="7"/>
  <c r="L283" i="7"/>
  <c r="L291" i="7"/>
  <c r="K616" i="7"/>
  <c r="L619" i="7"/>
  <c r="K624" i="7"/>
  <c r="L627" i="7"/>
  <c r="K632" i="7"/>
  <c r="L635" i="7"/>
  <c r="K640" i="7"/>
  <c r="L643" i="7"/>
  <c r="K648" i="7"/>
  <c r="L651" i="7"/>
  <c r="K656" i="7"/>
  <c r="L659" i="7"/>
  <c r="K664" i="7"/>
  <c r="L667" i="7"/>
  <c r="K672" i="7"/>
  <c r="L675" i="7"/>
  <c r="K680" i="7"/>
  <c r="L683" i="7"/>
  <c r="K688" i="7"/>
  <c r="L691" i="7"/>
  <c r="K696" i="7"/>
  <c r="L699" i="7"/>
  <c r="K704" i="7"/>
  <c r="L707" i="7"/>
  <c r="K712" i="7"/>
  <c r="L715" i="7"/>
  <c r="K720" i="7"/>
  <c r="L723" i="7"/>
  <c r="K728" i="7"/>
  <c r="L731" i="7"/>
  <c r="K736" i="7"/>
  <c r="L739" i="7"/>
  <c r="K744" i="7"/>
  <c r="L747" i="7"/>
  <c r="K752" i="7"/>
  <c r="L755" i="7"/>
  <c r="K760" i="7"/>
  <c r="L763" i="7"/>
  <c r="K768" i="7"/>
  <c r="L771" i="7"/>
  <c r="K776" i="7"/>
  <c r="L779" i="7"/>
  <c r="K784" i="7"/>
  <c r="L787" i="7"/>
  <c r="K792" i="7"/>
  <c r="L795" i="7"/>
  <c r="K800" i="7"/>
  <c r="L803" i="7"/>
  <c r="K808" i="7"/>
  <c r="L811" i="7"/>
  <c r="K816" i="7"/>
  <c r="L819" i="7"/>
  <c r="K824" i="7"/>
  <c r="L827" i="7"/>
  <c r="K832" i="7"/>
  <c r="L835" i="7"/>
  <c r="K840" i="7"/>
  <c r="L843" i="7"/>
  <c r="K848" i="7"/>
  <c r="L851" i="7"/>
  <c r="K856" i="7"/>
  <c r="L859" i="7"/>
  <c r="K864" i="7"/>
  <c r="L867" i="7"/>
  <c r="K872" i="7"/>
  <c r="L875" i="7"/>
  <c r="K880" i="7"/>
  <c r="L883" i="7"/>
  <c r="K888" i="7"/>
  <c r="L891" i="7"/>
  <c r="K896" i="7"/>
  <c r="L899" i="7"/>
  <c r="K904" i="7"/>
  <c r="L907" i="7"/>
  <c r="K912" i="7"/>
  <c r="L915" i="7"/>
  <c r="K920" i="7"/>
  <c r="L923" i="7"/>
  <c r="K928" i="7"/>
  <c r="L931" i="7"/>
  <c r="K936" i="7"/>
  <c r="L939" i="7"/>
  <c r="K944" i="7"/>
  <c r="L947" i="7"/>
  <c r="K952" i="7"/>
  <c r="L955" i="7"/>
  <c r="K960" i="7"/>
  <c r="L963" i="7"/>
  <c r="K968" i="7"/>
  <c r="L971" i="7"/>
  <c r="K976" i="7"/>
  <c r="L979" i="7"/>
  <c r="K984" i="7"/>
  <c r="L987" i="7"/>
  <c r="K992" i="7"/>
  <c r="L995" i="7"/>
  <c r="K1004" i="7"/>
  <c r="L1011" i="7"/>
  <c r="K1011" i="7"/>
  <c r="K1020" i="7"/>
  <c r="L1027" i="7"/>
  <c r="K1027" i="7"/>
  <c r="K1036" i="7"/>
  <c r="L1043" i="7"/>
  <c r="K1043" i="7"/>
  <c r="K1052" i="7"/>
  <c r="L1059" i="7"/>
  <c r="K1059" i="7"/>
  <c r="K1068" i="7"/>
  <c r="L1075" i="7"/>
  <c r="K1075" i="7"/>
  <c r="K1084" i="7"/>
  <c r="L1090" i="7"/>
  <c r="K1090" i="7"/>
  <c r="L1098" i="7"/>
  <c r="K1098" i="7"/>
  <c r="L1106" i="7"/>
  <c r="K1106" i="7"/>
  <c r="L1114" i="7"/>
  <c r="K1114" i="7"/>
  <c r="L1122" i="7"/>
  <c r="K1122" i="7"/>
  <c r="L1130" i="7"/>
  <c r="K1130" i="7"/>
  <c r="L1138" i="7"/>
  <c r="K1138" i="7"/>
  <c r="L1146" i="7"/>
  <c r="K1146" i="7"/>
  <c r="L1154" i="7"/>
  <c r="K1154" i="7"/>
  <c r="L999" i="7"/>
  <c r="K999" i="7"/>
  <c r="L1015" i="7"/>
  <c r="K1015" i="7"/>
  <c r="L1031" i="7"/>
  <c r="K1031" i="7"/>
  <c r="L1047" i="7"/>
  <c r="K1047" i="7"/>
  <c r="L1063" i="7"/>
  <c r="K1063" i="7"/>
  <c r="L1079" i="7"/>
  <c r="K1079" i="7"/>
  <c r="K12" i="7"/>
  <c r="K44" i="7"/>
  <c r="K120" i="7"/>
  <c r="K128" i="7"/>
  <c r="K148" i="7"/>
  <c r="K160" i="7"/>
  <c r="K172" i="7"/>
  <c r="K184" i="7"/>
  <c r="K192" i="7"/>
  <c r="K196" i="7"/>
  <c r="K208" i="7"/>
  <c r="K220" i="7"/>
  <c r="K228" i="7"/>
  <c r="K236" i="7"/>
  <c r="K244" i="7"/>
  <c r="K252" i="7"/>
  <c r="K256" i="7"/>
  <c r="K264" i="7"/>
  <c r="K272" i="7"/>
  <c r="K280" i="7"/>
  <c r="K288" i="7"/>
  <c r="K292" i="7"/>
  <c r="K300" i="7"/>
  <c r="K308" i="7"/>
  <c r="K312" i="7"/>
  <c r="K316" i="7"/>
  <c r="K320" i="7"/>
  <c r="K324" i="7"/>
  <c r="K328" i="7"/>
  <c r="K332" i="7"/>
  <c r="K336" i="7"/>
  <c r="K340" i="7"/>
  <c r="K344" i="7"/>
  <c r="K348" i="7"/>
  <c r="K352" i="7"/>
  <c r="K356" i="7"/>
  <c r="K360" i="7"/>
  <c r="K364" i="7"/>
  <c r="K368" i="7"/>
  <c r="K372" i="7"/>
  <c r="K376" i="7"/>
  <c r="K380" i="7"/>
  <c r="K384" i="7"/>
  <c r="K388" i="7"/>
  <c r="K392" i="7"/>
  <c r="K396" i="7"/>
  <c r="K400" i="7"/>
  <c r="K404" i="7"/>
  <c r="K408" i="7"/>
  <c r="K412" i="7"/>
  <c r="K416" i="7"/>
  <c r="K420" i="7"/>
  <c r="K424" i="7"/>
  <c r="K428" i="7"/>
  <c r="K432" i="7"/>
  <c r="K436" i="7"/>
  <c r="K440" i="7"/>
  <c r="K444" i="7"/>
  <c r="K448" i="7"/>
  <c r="K452" i="7"/>
  <c r="K456" i="7"/>
  <c r="K460" i="7"/>
  <c r="K464" i="7"/>
  <c r="K468" i="7"/>
  <c r="K472" i="7"/>
  <c r="K476" i="7"/>
  <c r="K480" i="7"/>
  <c r="K484" i="7"/>
  <c r="K488" i="7"/>
  <c r="K492" i="7"/>
  <c r="K496" i="7"/>
  <c r="K500" i="7"/>
  <c r="K504" i="7"/>
  <c r="K508" i="7"/>
  <c r="K512" i="7"/>
  <c r="K516" i="7"/>
  <c r="K520" i="7"/>
  <c r="K524" i="7"/>
  <c r="K528" i="7"/>
  <c r="K532" i="7"/>
  <c r="K536" i="7"/>
  <c r="K540" i="7"/>
  <c r="K544" i="7"/>
  <c r="K548" i="7"/>
  <c r="K552" i="7"/>
  <c r="K556" i="7"/>
  <c r="K560" i="7"/>
  <c r="K564" i="7"/>
  <c r="K568" i="7"/>
  <c r="K572" i="7"/>
  <c r="K576" i="7"/>
  <c r="K580" i="7"/>
  <c r="K584" i="7"/>
  <c r="K588" i="7"/>
  <c r="K592" i="7"/>
  <c r="K596" i="7"/>
  <c r="K600" i="7"/>
  <c r="K604" i="7"/>
  <c r="K608" i="7"/>
  <c r="K612" i="7"/>
  <c r="L615" i="7"/>
  <c r="K617" i="7"/>
  <c r="K620" i="7"/>
  <c r="L623" i="7"/>
  <c r="K625" i="7"/>
  <c r="K628" i="7"/>
  <c r="L631" i="7"/>
  <c r="K633" i="7"/>
  <c r="K636" i="7"/>
  <c r="L639" i="7"/>
  <c r="K641" i="7"/>
  <c r="K644" i="7"/>
  <c r="L647" i="7"/>
  <c r="K649" i="7"/>
  <c r="K652" i="7"/>
  <c r="L655" i="7"/>
  <c r="K657" i="7"/>
  <c r="K660" i="7"/>
  <c r="L663" i="7"/>
  <c r="K665" i="7"/>
  <c r="K668" i="7"/>
  <c r="L671" i="7"/>
  <c r="K673" i="7"/>
  <c r="K676" i="7"/>
  <c r="L679" i="7"/>
  <c r="K681" i="7"/>
  <c r="K684" i="7"/>
  <c r="L687" i="7"/>
  <c r="K689" i="7"/>
  <c r="K692" i="7"/>
  <c r="L695" i="7"/>
  <c r="K697" i="7"/>
  <c r="K700" i="7"/>
  <c r="L703" i="7"/>
  <c r="K705" i="7"/>
  <c r="K708" i="7"/>
  <c r="L711" i="7"/>
  <c r="K713" i="7"/>
  <c r="K716" i="7"/>
  <c r="L719" i="7"/>
  <c r="K721" i="7"/>
  <c r="K724" i="7"/>
  <c r="L727" i="7"/>
  <c r="K729" i="7"/>
  <c r="K732" i="7"/>
  <c r="L735" i="7"/>
  <c r="K737" i="7"/>
  <c r="K740" i="7"/>
  <c r="L743" i="7"/>
  <c r="K745" i="7"/>
  <c r="K748" i="7"/>
  <c r="L751" i="7"/>
  <c r="K753" i="7"/>
  <c r="K756" i="7"/>
  <c r="L759" i="7"/>
  <c r="K761" i="7"/>
  <c r="K764" i="7"/>
  <c r="L767" i="7"/>
  <c r="K769" i="7"/>
  <c r="K772" i="7"/>
  <c r="L775" i="7"/>
  <c r="K777" i="7"/>
  <c r="K780" i="7"/>
  <c r="L783" i="7"/>
  <c r="K785" i="7"/>
  <c r="K788" i="7"/>
  <c r="L791" i="7"/>
  <c r="K793" i="7"/>
  <c r="K796" i="7"/>
  <c r="L799" i="7"/>
  <c r="K801" i="7"/>
  <c r="K804" i="7"/>
  <c r="L807" i="7"/>
  <c r="K809" i="7"/>
  <c r="K812" i="7"/>
  <c r="L815" i="7"/>
  <c r="K817" i="7"/>
  <c r="K820" i="7"/>
  <c r="L823" i="7"/>
  <c r="K825" i="7"/>
  <c r="K828" i="7"/>
  <c r="L831" i="7"/>
  <c r="K833" i="7"/>
  <c r="K836" i="7"/>
  <c r="L839" i="7"/>
  <c r="K841" i="7"/>
  <c r="K844" i="7"/>
  <c r="L847" i="7"/>
  <c r="K849" i="7"/>
  <c r="K852" i="7"/>
  <c r="L855" i="7"/>
  <c r="K857" i="7"/>
  <c r="K860" i="7"/>
  <c r="L863" i="7"/>
  <c r="K865" i="7"/>
  <c r="K868" i="7"/>
  <c r="L871" i="7"/>
  <c r="K873" i="7"/>
  <c r="K876" i="7"/>
  <c r="L879" i="7"/>
  <c r="K881" i="7"/>
  <c r="K884" i="7"/>
  <c r="L887" i="7"/>
  <c r="K889" i="7"/>
  <c r="K892" i="7"/>
  <c r="L895" i="7"/>
  <c r="K897" i="7"/>
  <c r="K900" i="7"/>
  <c r="L903" i="7"/>
  <c r="K905" i="7"/>
  <c r="K908" i="7"/>
  <c r="L911" i="7"/>
  <c r="K913" i="7"/>
  <c r="K916" i="7"/>
  <c r="L919" i="7"/>
  <c r="K921" i="7"/>
  <c r="K924" i="7"/>
  <c r="L927" i="7"/>
  <c r="K929" i="7"/>
  <c r="L1003" i="7"/>
  <c r="K1003" i="7"/>
  <c r="L1019" i="7"/>
  <c r="K1019" i="7"/>
  <c r="L1035" i="7"/>
  <c r="K1035" i="7"/>
  <c r="L1051" i="7"/>
  <c r="K1051" i="7"/>
  <c r="L1067" i="7"/>
  <c r="K1067" i="7"/>
  <c r="L1083" i="7"/>
  <c r="K1083" i="7"/>
  <c r="L1095" i="7"/>
  <c r="K1095" i="7"/>
  <c r="L1103" i="7"/>
  <c r="K1103" i="7"/>
  <c r="L1111" i="7"/>
  <c r="K1111" i="7"/>
  <c r="L1119" i="7"/>
  <c r="K1119" i="7"/>
  <c r="L1127" i="7"/>
  <c r="K1127" i="7"/>
  <c r="L1135" i="7"/>
  <c r="K1135" i="7"/>
  <c r="L1143" i="7"/>
  <c r="K1143" i="7"/>
  <c r="L1151" i="7"/>
  <c r="K1151" i="7"/>
  <c r="K8" i="7"/>
  <c r="K40" i="7"/>
  <c r="K60" i="7"/>
  <c r="K68" i="7"/>
  <c r="K76" i="7"/>
  <c r="K104" i="7"/>
  <c r="K112" i="7"/>
  <c r="K140" i="7"/>
  <c r="K168" i="7"/>
  <c r="K1000" i="7"/>
  <c r="L1007" i="7"/>
  <c r="K1007" i="7"/>
  <c r="K1016" i="7"/>
  <c r="L1023" i="7"/>
  <c r="K1023" i="7"/>
  <c r="K1032" i="7"/>
  <c r="L1039" i="7"/>
  <c r="K1039" i="7"/>
  <c r="K1048" i="7"/>
  <c r="L1055" i="7"/>
  <c r="K1055" i="7"/>
  <c r="K1064" i="7"/>
  <c r="L1071" i="7"/>
  <c r="K1071" i="7"/>
  <c r="K1080" i="7"/>
  <c r="L1087" i="7"/>
  <c r="K1087" i="7"/>
  <c r="K1093" i="7"/>
  <c r="L1093" i="7"/>
  <c r="K1101" i="7"/>
  <c r="L1101" i="7"/>
  <c r="K1109" i="7"/>
  <c r="L1109" i="7"/>
  <c r="K1117" i="7"/>
  <c r="L1117" i="7"/>
  <c r="K1125" i="7"/>
  <c r="L1125" i="7"/>
  <c r="K1133" i="7"/>
  <c r="L1133" i="7"/>
  <c r="K1141" i="7"/>
  <c r="L1141" i="7"/>
  <c r="K1149" i="7"/>
  <c r="L1149" i="7"/>
  <c r="L1369" i="7"/>
  <c r="K1369" i="7"/>
  <c r="L1373" i="7"/>
  <c r="K1373" i="7"/>
  <c r="L1377" i="7"/>
  <c r="K1377" i="7"/>
  <c r="L1381" i="7"/>
  <c r="K1381" i="7"/>
  <c r="L1385" i="7"/>
  <c r="K1385" i="7"/>
  <c r="L1389" i="7"/>
  <c r="K1389" i="7"/>
  <c r="L1393" i="7"/>
  <c r="K1393" i="7"/>
  <c r="L1397" i="7"/>
  <c r="K1397" i="7"/>
  <c r="L1401" i="7"/>
  <c r="K1401" i="7"/>
  <c r="L1405" i="7"/>
  <c r="K1405" i="7"/>
  <c r="L1409" i="7"/>
  <c r="K1409" i="7"/>
  <c r="L1413" i="7"/>
  <c r="K1413" i="7"/>
  <c r="L1417" i="7"/>
  <c r="K1417" i="7"/>
  <c r="L1421" i="7"/>
  <c r="K1421" i="7"/>
  <c r="L1425" i="7"/>
  <c r="K1425" i="7"/>
  <c r="L1429" i="7"/>
  <c r="K1429" i="7"/>
  <c r="L1433" i="7"/>
  <c r="K1433" i="7"/>
  <c r="L1437" i="7"/>
  <c r="K1437" i="7"/>
  <c r="L1441" i="7"/>
  <c r="K1441" i="7"/>
  <c r="L1445" i="7"/>
  <c r="K1445" i="7"/>
  <c r="L1449" i="7"/>
  <c r="K1449" i="7"/>
  <c r="L1453" i="7"/>
  <c r="K1453" i="7"/>
  <c r="L1457" i="7"/>
  <c r="K1457" i="7"/>
  <c r="L1461" i="7"/>
  <c r="K1461" i="7"/>
  <c r="L1465" i="7"/>
  <c r="K1465" i="7"/>
  <c r="L1469" i="7"/>
  <c r="K1469" i="7"/>
  <c r="L1473" i="7"/>
  <c r="K1473" i="7"/>
  <c r="L1477" i="7"/>
  <c r="K1477" i="7"/>
  <c r="L1157" i="7"/>
  <c r="K1159" i="7"/>
  <c r="K1162" i="7"/>
  <c r="L1165" i="7"/>
  <c r="K1167" i="7"/>
  <c r="K1170" i="7"/>
  <c r="L1173" i="7"/>
  <c r="K1175" i="7"/>
  <c r="K1178" i="7"/>
  <c r="L1181" i="7"/>
  <c r="K1183" i="7"/>
  <c r="K1186" i="7"/>
  <c r="L1189" i="7"/>
  <c r="K1191" i="7"/>
  <c r="K1194" i="7"/>
  <c r="L1197" i="7"/>
  <c r="K1199" i="7"/>
  <c r="K1202" i="7"/>
  <c r="L1205" i="7"/>
  <c r="K1207" i="7"/>
  <c r="K1210" i="7"/>
  <c r="L1213" i="7"/>
  <c r="K1215" i="7"/>
  <c r="K1218" i="7"/>
  <c r="L1221" i="7"/>
  <c r="K1223" i="7"/>
  <c r="K1226" i="7"/>
  <c r="L1229" i="7"/>
  <c r="K1231" i="7"/>
  <c r="K1234" i="7"/>
  <c r="L1237" i="7"/>
  <c r="K1239" i="7"/>
  <c r="K1242" i="7"/>
  <c r="L1245" i="7"/>
  <c r="K1247" i="7"/>
  <c r="K1250" i="7"/>
  <c r="L1253" i="7"/>
  <c r="K1255" i="7"/>
  <c r="K1258" i="7"/>
  <c r="L1261" i="7"/>
  <c r="K1263" i="7"/>
  <c r="K1266" i="7"/>
  <c r="L1269" i="7"/>
  <c r="K1271" i="7"/>
  <c r="K1274" i="7"/>
  <c r="L1277" i="7"/>
  <c r="K1279" i="7"/>
  <c r="K1282" i="7"/>
  <c r="L1285" i="7"/>
  <c r="K1287" i="7"/>
  <c r="K1290" i="7"/>
  <c r="L1293" i="7"/>
  <c r="K1295" i="7"/>
  <c r="K1298" i="7"/>
  <c r="L1301" i="7"/>
  <c r="K1303" i="7"/>
  <c r="K1306" i="7"/>
  <c r="L1309" i="7"/>
  <c r="K1311" i="7"/>
  <c r="K1314" i="7"/>
  <c r="L1317" i="7"/>
  <c r="K1319" i="7"/>
  <c r="K1322" i="7"/>
  <c r="L1325" i="7"/>
  <c r="K1327" i="7"/>
  <c r="K1330" i="7"/>
  <c r="L1333" i="7"/>
  <c r="K1335" i="7"/>
  <c r="K1338" i="7"/>
  <c r="L1341" i="7"/>
  <c r="K1343" i="7"/>
  <c r="K1346" i="7"/>
  <c r="L1349" i="7"/>
  <c r="K1351" i="7"/>
  <c r="K1354" i="7"/>
  <c r="L1357" i="7"/>
  <c r="L1359" i="7"/>
  <c r="K1481" i="7"/>
  <c r="K1485" i="7"/>
  <c r="K1489" i="7"/>
  <c r="K1493" i="7"/>
  <c r="K1497" i="7"/>
  <c r="K1501" i="7"/>
  <c r="K1505" i="7"/>
  <c r="K1509" i="7"/>
  <c r="K1513" i="7"/>
  <c r="K1517" i="7"/>
  <c r="K1521" i="7"/>
  <c r="K1525" i="7"/>
  <c r="K1529" i="7"/>
  <c r="K1533" i="7"/>
  <c r="K1537" i="7"/>
  <c r="K1541" i="7"/>
  <c r="K1545" i="7"/>
  <c r="K1549" i="7"/>
  <c r="K1553" i="7"/>
  <c r="K1557" i="7"/>
  <c r="K1561" i="7"/>
  <c r="K1565" i="7"/>
  <c r="K1569" i="7"/>
  <c r="K1573" i="7"/>
  <c r="K1577" i="7"/>
  <c r="K1581" i="7"/>
  <c r="K1585" i="7"/>
  <c r="K1589" i="7"/>
  <c r="K1593" i="7"/>
  <c r="K1597" i="7"/>
  <c r="K1601" i="7"/>
  <c r="K1605" i="7"/>
  <c r="K1609" i="7"/>
  <c r="K1613" i="7"/>
  <c r="K1617" i="7"/>
  <c r="K1621" i="7"/>
  <c r="K1625" i="7"/>
  <c r="K1629" i="7"/>
  <c r="K1633" i="7"/>
  <c r="K1637" i="7"/>
  <c r="K1641" i="7"/>
  <c r="K1645" i="7"/>
  <c r="K1649" i="7"/>
  <c r="K1653" i="7"/>
  <c r="K1657" i="7"/>
  <c r="K1661" i="7"/>
  <c r="K1665" i="7"/>
  <c r="K1669" i="7"/>
  <c r="K1673" i="7"/>
  <c r="K1677" i="7"/>
  <c r="K1680" i="7"/>
  <c r="L1683" i="7"/>
  <c r="K1685" i="7"/>
  <c r="K1688" i="7"/>
  <c r="L1691" i="7"/>
  <c r="K1693" i="7"/>
  <c r="K1696" i="7"/>
  <c r="L1699" i="7"/>
  <c r="K1701" i="7"/>
  <c r="K1704" i="7"/>
  <c r="L1707" i="7"/>
  <c r="K1709" i="7"/>
  <c r="K1712" i="7"/>
  <c r="L1715" i="7"/>
  <c r="K1717" i="7"/>
  <c r="K1720" i="7"/>
  <c r="L1723" i="7"/>
  <c r="K1725" i="7"/>
  <c r="K1728" i="7"/>
  <c r="L1731" i="7"/>
  <c r="K1733" i="7"/>
  <c r="K1736" i="7"/>
  <c r="L1739" i="7"/>
  <c r="K1741" i="7"/>
  <c r="K1744" i="7"/>
  <c r="L1747" i="7"/>
  <c r="K1749" i="7"/>
  <c r="K1752" i="7"/>
  <c r="L1755" i="7"/>
  <c r="K1757" i="7"/>
  <c r="K1760" i="7"/>
  <c r="L1763" i="7"/>
  <c r="K1765" i="7"/>
  <c r="K1768" i="7"/>
  <c r="L1771" i="7"/>
  <c r="K1773" i="7"/>
  <c r="K1776" i="7"/>
  <c r="L1779" i="7"/>
  <c r="K1781" i="7"/>
  <c r="K1784" i="7"/>
  <c r="L1791" i="7"/>
  <c r="K1791" i="7"/>
  <c r="K1800" i="7"/>
  <c r="L1807" i="7"/>
  <c r="K1807" i="7"/>
  <c r="L1823" i="7"/>
  <c r="K1823" i="7"/>
  <c r="L1839" i="7"/>
  <c r="K1839" i="7"/>
  <c r="L1855" i="7"/>
  <c r="K1855" i="7"/>
  <c r="L1871" i="7"/>
  <c r="K1871" i="7"/>
  <c r="L1887" i="7"/>
  <c r="K1887" i="7"/>
  <c r="L1903" i="7"/>
  <c r="K1903" i="7"/>
  <c r="L1914" i="7"/>
  <c r="K1914" i="7"/>
  <c r="L1922" i="7"/>
  <c r="K1922" i="7"/>
  <c r="L1930" i="7"/>
  <c r="K1930" i="7"/>
  <c r="K1788" i="7"/>
  <c r="L1795" i="7"/>
  <c r="K1795" i="7"/>
  <c r="K1804" i="7"/>
  <c r="L1811" i="7"/>
  <c r="K1811" i="7"/>
  <c r="L1827" i="7"/>
  <c r="K1827" i="7"/>
  <c r="L1843" i="7"/>
  <c r="K1843" i="7"/>
  <c r="L1859" i="7"/>
  <c r="K1859" i="7"/>
  <c r="L1875" i="7"/>
  <c r="K1875" i="7"/>
  <c r="L1891" i="7"/>
  <c r="K1891" i="7"/>
  <c r="L1907" i="7"/>
  <c r="K1907" i="7"/>
  <c r="L1679" i="7"/>
  <c r="K1684" i="7"/>
  <c r="L1687" i="7"/>
  <c r="K1692" i="7"/>
  <c r="L1695" i="7"/>
  <c r="K1700" i="7"/>
  <c r="L1703" i="7"/>
  <c r="K1708" i="7"/>
  <c r="L1711" i="7"/>
  <c r="L1799" i="7"/>
  <c r="K1799" i="7"/>
  <c r="L1815" i="7"/>
  <c r="K1815" i="7"/>
  <c r="L1831" i="7"/>
  <c r="K1831" i="7"/>
  <c r="L1847" i="7"/>
  <c r="K1847" i="7"/>
  <c r="L1863" i="7"/>
  <c r="K1863" i="7"/>
  <c r="L1879" i="7"/>
  <c r="K1879" i="7"/>
  <c r="L1895" i="7"/>
  <c r="K1895" i="7"/>
  <c r="L1911" i="7"/>
  <c r="K1911" i="7"/>
  <c r="L1919" i="7"/>
  <c r="K1919" i="7"/>
  <c r="L1927" i="7"/>
  <c r="K1927" i="7"/>
  <c r="L1787" i="7"/>
  <c r="K1787" i="7"/>
  <c r="L1803" i="7"/>
  <c r="K1803" i="7"/>
  <c r="L1819" i="7"/>
  <c r="K1819" i="7"/>
  <c r="L1835" i="7"/>
  <c r="K1835" i="7"/>
  <c r="L1851" i="7"/>
  <c r="K1851" i="7"/>
  <c r="L1867" i="7"/>
  <c r="K1867" i="7"/>
  <c r="L1883" i="7"/>
  <c r="K1883" i="7"/>
  <c r="L1899" i="7"/>
  <c r="K1899" i="7"/>
  <c r="K1917" i="7"/>
  <c r="L1917" i="7"/>
  <c r="K1925" i="7"/>
  <c r="L1925" i="7"/>
  <c r="L1933" i="7"/>
  <c r="K1935" i="7"/>
  <c r="K1938" i="7"/>
  <c r="L1941" i="7"/>
  <c r="K1943" i="7"/>
  <c r="K1946" i="7"/>
  <c r="L1949" i="7"/>
  <c r="K1951" i="7"/>
  <c r="K1954" i="7"/>
  <c r="L1957" i="7"/>
  <c r="K1959" i="7"/>
  <c r="K1962" i="7"/>
  <c r="L1965" i="7"/>
  <c r="K1967" i="7"/>
  <c r="K1970" i="7"/>
  <c r="L1973" i="7"/>
  <c r="K1975" i="7"/>
  <c r="K1978" i="7"/>
  <c r="L1981" i="7"/>
  <c r="K1983" i="7"/>
  <c r="K1986" i="7"/>
  <c r="L1989" i="7"/>
  <c r="K1991" i="7"/>
  <c r="K1994" i="7"/>
  <c r="L1997" i="7"/>
  <c r="K1999" i="7"/>
  <c r="K2002" i="7"/>
  <c r="L2005" i="7"/>
  <c r="L2007" i="7"/>
  <c r="L2021" i="7"/>
  <c r="L2023" i="7"/>
  <c r="L2037" i="7"/>
  <c r="L2039" i="7"/>
  <c r="L2053" i="7"/>
  <c r="L2055" i="7"/>
  <c r="L2069" i="7"/>
  <c r="L2071" i="7"/>
  <c r="L2073" i="7"/>
  <c r="K2073" i="7"/>
  <c r="L2082" i="7"/>
  <c r="K2084" i="7"/>
  <c r="L2084" i="7"/>
  <c r="L2089" i="7"/>
  <c r="K2089" i="7"/>
  <c r="L2098" i="7"/>
  <c r="K2100" i="7"/>
  <c r="L2100" i="7"/>
  <c r="L2105" i="7"/>
  <c r="K2105" i="7"/>
  <c r="L2114" i="7"/>
  <c r="K2116" i="7"/>
  <c r="L2116" i="7"/>
  <c r="L2121" i="7"/>
  <c r="K2121" i="7"/>
  <c r="L2130" i="7"/>
  <c r="K2132" i="7"/>
  <c r="L2132" i="7"/>
  <c r="L2137" i="7"/>
  <c r="K2137" i="7"/>
  <c r="L2146" i="7"/>
  <c r="K2148" i="7"/>
  <c r="L2148" i="7"/>
  <c r="K2160" i="7"/>
  <c r="L2160" i="7"/>
  <c r="L2173" i="7"/>
  <c r="K2173" i="7"/>
  <c r="L2178" i="7"/>
  <c r="K2178" i="7"/>
  <c r="L2009" i="7"/>
  <c r="L2011" i="7"/>
  <c r="L2025" i="7"/>
  <c r="L2027" i="7"/>
  <c r="L2041" i="7"/>
  <c r="L2043" i="7"/>
  <c r="L2057" i="7"/>
  <c r="L2059" i="7"/>
  <c r="L2078" i="7"/>
  <c r="K2080" i="7"/>
  <c r="L2080" i="7"/>
  <c r="L2085" i="7"/>
  <c r="K2085" i="7"/>
  <c r="L2094" i="7"/>
  <c r="K2096" i="7"/>
  <c r="L2096" i="7"/>
  <c r="L2101" i="7"/>
  <c r="K2101" i="7"/>
  <c r="L2110" i="7"/>
  <c r="K2112" i="7"/>
  <c r="L2112" i="7"/>
  <c r="L2117" i="7"/>
  <c r="K2117" i="7"/>
  <c r="L2126" i="7"/>
  <c r="K2128" i="7"/>
  <c r="L2128" i="7"/>
  <c r="L2133" i="7"/>
  <c r="K2133" i="7"/>
  <c r="L2142" i="7"/>
  <c r="K2144" i="7"/>
  <c r="L2144" i="7"/>
  <c r="L2149" i="7"/>
  <c r="K2149" i="7"/>
  <c r="L2154" i="7"/>
  <c r="K2154" i="7"/>
  <c r="K2168" i="7"/>
  <c r="L2168" i="7"/>
  <c r="L2181" i="7"/>
  <c r="K2181" i="7"/>
  <c r="L2186" i="7"/>
  <c r="K2186" i="7"/>
  <c r="K2076" i="7"/>
  <c r="L2076" i="7"/>
  <c r="L2081" i="7"/>
  <c r="K2081" i="7"/>
  <c r="K2092" i="7"/>
  <c r="L2092" i="7"/>
  <c r="L2097" i="7"/>
  <c r="K2097" i="7"/>
  <c r="K2108" i="7"/>
  <c r="L2108" i="7"/>
  <c r="L2113" i="7"/>
  <c r="K2113" i="7"/>
  <c r="K2124" i="7"/>
  <c r="L2124" i="7"/>
  <c r="L2129" i="7"/>
  <c r="K2129" i="7"/>
  <c r="K2140" i="7"/>
  <c r="L2140" i="7"/>
  <c r="L2145" i="7"/>
  <c r="K2145" i="7"/>
  <c r="L2157" i="7"/>
  <c r="K2157" i="7"/>
  <c r="L2162" i="7"/>
  <c r="K2162" i="7"/>
  <c r="K2176" i="7"/>
  <c r="L2176" i="7"/>
  <c r="L2189" i="7"/>
  <c r="K2189" i="7"/>
  <c r="L2077" i="7"/>
  <c r="K2077" i="7"/>
  <c r="K2088" i="7"/>
  <c r="L2088" i="7"/>
  <c r="L2093" i="7"/>
  <c r="K2093" i="7"/>
  <c r="K2104" i="7"/>
  <c r="L2104" i="7"/>
  <c r="L2109" i="7"/>
  <c r="K2109" i="7"/>
  <c r="K2120" i="7"/>
  <c r="L2120" i="7"/>
  <c r="L2125" i="7"/>
  <c r="K2125" i="7"/>
  <c r="K2136" i="7"/>
  <c r="L2136" i="7"/>
  <c r="L2141" i="7"/>
  <c r="K2141" i="7"/>
  <c r="K2152" i="7"/>
  <c r="L2152" i="7"/>
  <c r="L2165" i="7"/>
  <c r="K2165" i="7"/>
  <c r="L2170" i="7"/>
  <c r="K2170" i="7"/>
  <c r="K2184" i="7"/>
  <c r="L2184" i="7"/>
  <c r="L2192" i="7"/>
  <c r="K2194" i="7"/>
  <c r="K2197" i="7"/>
  <c r="L2200" i="7"/>
  <c r="K2202" i="7"/>
  <c r="K2205" i="7"/>
  <c r="L2208" i="7"/>
  <c r="K2210" i="7"/>
  <c r="K2213" i="7"/>
  <c r="L2216" i="7"/>
  <c r="K2218" i="7"/>
  <c r="K2221" i="7"/>
  <c r="L2224" i="7"/>
  <c r="L2226" i="7"/>
  <c r="L2240" i="7"/>
  <c r="L2242" i="7"/>
  <c r="L2256" i="7"/>
  <c r="L2258" i="7"/>
  <c r="L2272" i="7"/>
  <c r="L2274" i="7"/>
  <c r="L2288" i="7"/>
  <c r="L2290" i="7"/>
  <c r="L2304" i="7"/>
  <c r="K2338" i="7"/>
  <c r="L2338" i="7"/>
  <c r="L2351" i="7"/>
  <c r="K2351" i="7"/>
  <c r="L2356" i="7"/>
  <c r="K2356" i="7"/>
  <c r="L2332" i="7"/>
  <c r="K2332" i="7"/>
  <c r="K2346" i="7"/>
  <c r="L2346" i="7"/>
  <c r="K2153" i="7"/>
  <c r="L2156" i="7"/>
  <c r="K2161" i="7"/>
  <c r="L2164" i="7"/>
  <c r="K2169" i="7"/>
  <c r="L2172" i="7"/>
  <c r="K2177" i="7"/>
  <c r="L2180" i="7"/>
  <c r="K2185" i="7"/>
  <c r="L2188" i="7"/>
  <c r="K2193" i="7"/>
  <c r="L2196" i="7"/>
  <c r="K2201" i="7"/>
  <c r="L2204" i="7"/>
  <c r="K2209" i="7"/>
  <c r="L2212" i="7"/>
  <c r="K2217" i="7"/>
  <c r="L2220" i="7"/>
  <c r="L2232" i="7"/>
  <c r="L2234" i="7"/>
  <c r="L2248" i="7"/>
  <c r="L2250" i="7"/>
  <c r="L2264" i="7"/>
  <c r="L2266" i="7"/>
  <c r="L2280" i="7"/>
  <c r="L2282" i="7"/>
  <c r="L2296" i="7"/>
  <c r="L2298" i="7"/>
  <c r="L2335" i="7"/>
  <c r="K2335" i="7"/>
  <c r="L2340" i="7"/>
  <c r="K2340" i="7"/>
  <c r="K2354" i="7"/>
  <c r="L2354" i="7"/>
  <c r="L2306" i="7"/>
  <c r="K2306" i="7"/>
  <c r="L2310" i="7"/>
  <c r="K2310" i="7"/>
  <c r="L2314" i="7"/>
  <c r="K2314" i="7"/>
  <c r="L2318" i="7"/>
  <c r="K2318" i="7"/>
  <c r="L2322" i="7"/>
  <c r="K2322" i="7"/>
  <c r="L2326" i="7"/>
  <c r="K2326" i="7"/>
  <c r="K2330" i="7"/>
  <c r="L2330" i="7"/>
  <c r="L2343" i="7"/>
  <c r="K2343" i="7"/>
  <c r="L2348" i="7"/>
  <c r="K2348" i="7"/>
  <c r="K2359" i="7"/>
  <c r="L2362" i="7"/>
  <c r="K2364" i="7"/>
  <c r="K2367" i="7"/>
  <c r="L2370" i="7"/>
  <c r="K2372" i="7"/>
  <c r="L2376" i="7"/>
  <c r="K2376" i="7"/>
  <c r="L2383" i="7"/>
  <c r="K2387" i="7"/>
  <c r="L2387" i="7"/>
  <c r="L2389" i="7"/>
  <c r="K2393" i="7"/>
  <c r="K2404" i="7"/>
  <c r="L2408" i="7"/>
  <c r="K2408" i="7"/>
  <c r="L2415" i="7"/>
  <c r="K2419" i="7"/>
  <c r="L2419" i="7"/>
  <c r="L2421" i="7"/>
  <c r="K2425" i="7"/>
  <c r="K2436" i="7"/>
  <c r="L2440" i="7"/>
  <c r="K2440" i="7"/>
  <c r="L2447" i="7"/>
  <c r="K2451" i="7"/>
  <c r="L2451" i="7"/>
  <c r="L2453" i="7"/>
  <c r="K2457" i="7"/>
  <c r="K2468" i="7"/>
  <c r="L2472" i="7"/>
  <c r="K2472" i="7"/>
  <c r="L2476" i="7"/>
  <c r="K2476" i="7"/>
  <c r="L2485" i="7"/>
  <c r="K2487" i="7"/>
  <c r="L2487" i="7"/>
  <c r="L2492" i="7"/>
  <c r="K2492" i="7"/>
  <c r="L2501" i="7"/>
  <c r="K2503" i="7"/>
  <c r="L2503" i="7"/>
  <c r="L2508" i="7"/>
  <c r="K2508" i="7"/>
  <c r="L2517" i="7"/>
  <c r="K2519" i="7"/>
  <c r="L2519" i="7"/>
  <c r="L2524" i="7"/>
  <c r="K2524" i="7"/>
  <c r="K2535" i="7"/>
  <c r="L2535" i="7"/>
  <c r="L2556" i="7"/>
  <c r="K2556" i="7"/>
  <c r="K2567" i="7"/>
  <c r="L2567" i="7"/>
  <c r="L2588" i="7"/>
  <c r="K2588" i="7"/>
  <c r="L2384" i="7"/>
  <c r="K2384" i="7"/>
  <c r="K2395" i="7"/>
  <c r="L2395" i="7"/>
  <c r="L2416" i="7"/>
  <c r="K2416" i="7"/>
  <c r="K2427" i="7"/>
  <c r="L2427" i="7"/>
  <c r="L2448" i="7"/>
  <c r="K2448" i="7"/>
  <c r="K2459" i="7"/>
  <c r="L2459" i="7"/>
  <c r="K2483" i="7"/>
  <c r="L2483" i="7"/>
  <c r="L2488" i="7"/>
  <c r="K2488" i="7"/>
  <c r="K2499" i="7"/>
  <c r="L2499" i="7"/>
  <c r="L2504" i="7"/>
  <c r="K2504" i="7"/>
  <c r="K2515" i="7"/>
  <c r="L2515" i="7"/>
  <c r="L2520" i="7"/>
  <c r="K2520" i="7"/>
  <c r="L2532" i="7"/>
  <c r="K2532" i="7"/>
  <c r="K2543" i="7"/>
  <c r="L2543" i="7"/>
  <c r="L2564" i="7"/>
  <c r="K2564" i="7"/>
  <c r="K2575" i="7"/>
  <c r="L2575" i="7"/>
  <c r="L2596" i="7"/>
  <c r="K2596" i="7"/>
  <c r="L2600" i="7"/>
  <c r="K2600" i="7"/>
  <c r="L2604" i="7"/>
  <c r="K2604" i="7"/>
  <c r="L2608" i="7"/>
  <c r="K2608" i="7"/>
  <c r="L2612" i="7"/>
  <c r="K2612" i="7"/>
  <c r="L2616" i="7"/>
  <c r="K2616" i="7"/>
  <c r="L2620" i="7"/>
  <c r="K2620" i="7"/>
  <c r="L2624" i="7"/>
  <c r="K2624" i="7"/>
  <c r="L2628" i="7"/>
  <c r="K2628" i="7"/>
  <c r="L2632" i="7"/>
  <c r="K2632" i="7"/>
  <c r="L2636" i="7"/>
  <c r="K2636" i="7"/>
  <c r="L2640" i="7"/>
  <c r="K2640" i="7"/>
  <c r="L2644" i="7"/>
  <c r="K2644" i="7"/>
  <c r="K2735" i="7"/>
  <c r="L2735" i="7"/>
  <c r="K2331" i="7"/>
  <c r="L2334" i="7"/>
  <c r="K2339" i="7"/>
  <c r="L2342" i="7"/>
  <c r="K2347" i="7"/>
  <c r="L2350" i="7"/>
  <c r="K2355" i="7"/>
  <c r="L2358" i="7"/>
  <c r="K2363" i="7"/>
  <c r="L2366" i="7"/>
  <c r="K2371" i="7"/>
  <c r="L2373" i="7"/>
  <c r="K2388" i="7"/>
  <c r="L2392" i="7"/>
  <c r="K2392" i="7"/>
  <c r="L2399" i="7"/>
  <c r="K2403" i="7"/>
  <c r="L2403" i="7"/>
  <c r="L2405" i="7"/>
  <c r="K2420" i="7"/>
  <c r="L2424" i="7"/>
  <c r="K2424" i="7"/>
  <c r="L2431" i="7"/>
  <c r="K2435" i="7"/>
  <c r="L2435" i="7"/>
  <c r="L2437" i="7"/>
  <c r="K2452" i="7"/>
  <c r="L2456" i="7"/>
  <c r="K2456" i="7"/>
  <c r="L2463" i="7"/>
  <c r="K2467" i="7"/>
  <c r="L2467" i="7"/>
  <c r="L2469" i="7"/>
  <c r="L2477" i="7"/>
  <c r="K2479" i="7"/>
  <c r="L2479" i="7"/>
  <c r="L2484" i="7"/>
  <c r="K2484" i="7"/>
  <c r="L2493" i="7"/>
  <c r="K2495" i="7"/>
  <c r="L2495" i="7"/>
  <c r="L2500" i="7"/>
  <c r="K2500" i="7"/>
  <c r="L2509" i="7"/>
  <c r="K2511" i="7"/>
  <c r="L2511" i="7"/>
  <c r="L2516" i="7"/>
  <c r="K2516" i="7"/>
  <c r="L2540" i="7"/>
  <c r="K2540" i="7"/>
  <c r="K2551" i="7"/>
  <c r="L2551" i="7"/>
  <c r="L2572" i="7"/>
  <c r="K2572" i="7"/>
  <c r="K2583" i="7"/>
  <c r="L2583" i="7"/>
  <c r="K2379" i="7"/>
  <c r="L2379" i="7"/>
  <c r="L2400" i="7"/>
  <c r="K2400" i="7"/>
  <c r="K2411" i="7"/>
  <c r="L2411" i="7"/>
  <c r="L2432" i="7"/>
  <c r="K2432" i="7"/>
  <c r="K2443" i="7"/>
  <c r="L2443" i="7"/>
  <c r="L2464" i="7"/>
  <c r="K2464" i="7"/>
  <c r="K2475" i="7"/>
  <c r="L2475" i="7"/>
  <c r="L2480" i="7"/>
  <c r="K2480" i="7"/>
  <c r="K2491" i="7"/>
  <c r="L2491" i="7"/>
  <c r="L2496" i="7"/>
  <c r="K2496" i="7"/>
  <c r="K2507" i="7"/>
  <c r="L2507" i="7"/>
  <c r="L2512" i="7"/>
  <c r="K2512" i="7"/>
  <c r="K2523" i="7"/>
  <c r="L2523" i="7"/>
  <c r="K2527" i="7"/>
  <c r="L2527" i="7"/>
  <c r="L2548" i="7"/>
  <c r="K2548" i="7"/>
  <c r="K2559" i="7"/>
  <c r="L2559" i="7"/>
  <c r="L2580" i="7"/>
  <c r="K2580" i="7"/>
  <c r="K2591" i="7"/>
  <c r="L2591" i="7"/>
  <c r="K2531" i="7"/>
  <c r="L2531" i="7"/>
  <c r="K2547" i="7"/>
  <c r="L2547" i="7"/>
  <c r="K2563" i="7"/>
  <c r="L2563" i="7"/>
  <c r="K2579" i="7"/>
  <c r="L2579" i="7"/>
  <c r="K2743" i="7"/>
  <c r="L2743" i="7"/>
  <c r="K2751" i="7"/>
  <c r="L2751" i="7"/>
  <c r="K2759" i="7"/>
  <c r="L2759" i="7"/>
  <c r="K2767" i="7"/>
  <c r="L2767" i="7"/>
  <c r="K2539" i="7"/>
  <c r="L2539" i="7"/>
  <c r="K2555" i="7"/>
  <c r="L2555" i="7"/>
  <c r="K2571" i="7"/>
  <c r="L2571" i="7"/>
  <c r="K2587" i="7"/>
  <c r="L2587" i="7"/>
  <c r="K2729" i="7"/>
  <c r="L2729" i="7"/>
  <c r="L2595" i="7"/>
  <c r="L2599" i="7"/>
  <c r="L2603" i="7"/>
  <c r="L2607" i="7"/>
  <c r="L2611" i="7"/>
  <c r="L2615" i="7"/>
  <c r="L2619" i="7"/>
  <c r="L2623" i="7"/>
  <c r="L2627" i="7"/>
  <c r="L2631" i="7"/>
  <c r="L2635" i="7"/>
  <c r="L2639" i="7"/>
  <c r="L2643" i="7"/>
  <c r="L2646" i="7"/>
  <c r="L2654" i="7"/>
  <c r="L2662" i="7"/>
  <c r="L2670" i="7"/>
  <c r="L2678" i="7"/>
  <c r="L2686" i="7"/>
  <c r="L2694" i="7"/>
  <c r="L2702" i="7"/>
  <c r="L2710" i="7"/>
  <c r="L2718" i="7"/>
  <c r="K2733" i="7"/>
  <c r="L2733" i="7"/>
  <c r="K2741" i="7"/>
  <c r="L2741" i="7"/>
  <c r="K2749" i="7"/>
  <c r="L2749" i="7"/>
  <c r="K2757" i="7"/>
  <c r="L2757" i="7"/>
  <c r="K2765" i="7"/>
  <c r="L2765" i="7"/>
  <c r="K2649" i="7"/>
  <c r="L2652" i="7"/>
  <c r="K2657" i="7"/>
  <c r="L2660" i="7"/>
  <c r="K2665" i="7"/>
  <c r="L2668" i="7"/>
  <c r="K2673" i="7"/>
  <c r="L2676" i="7"/>
  <c r="K2681" i="7"/>
  <c r="L2684" i="7"/>
  <c r="K2689" i="7"/>
  <c r="L2692" i="7"/>
  <c r="K2697" i="7"/>
  <c r="L2700" i="7"/>
  <c r="K2705" i="7"/>
  <c r="L2708" i="7"/>
  <c r="K2713" i="7"/>
  <c r="L2716" i="7"/>
  <c r="K2721" i="7"/>
  <c r="L2724" i="7"/>
  <c r="K2726" i="7"/>
  <c r="L2730" i="7"/>
  <c r="K2730" i="7"/>
  <c r="L2738" i="7"/>
  <c r="K2738" i="7"/>
  <c r="L2746" i="7"/>
  <c r="K2746" i="7"/>
  <c r="L2754" i="7"/>
  <c r="K2754" i="7"/>
  <c r="L2762" i="7"/>
  <c r="K2762" i="7"/>
  <c r="L2770" i="7"/>
  <c r="K2770" i="7"/>
  <c r="L2775" i="7"/>
  <c r="L2783" i="7"/>
  <c r="L2791" i="7"/>
  <c r="L2799" i="7"/>
  <c r="L2807" i="7"/>
  <c r="L2815" i="7"/>
  <c r="L2823" i="7"/>
  <c r="L2831" i="7"/>
  <c r="L2839" i="7"/>
  <c r="L2773" i="7"/>
  <c r="K2778" i="7"/>
  <c r="L2781" i="7"/>
  <c r="K2786" i="7"/>
  <c r="L2789" i="7"/>
  <c r="K2794" i="7"/>
  <c r="L2797" i="7"/>
  <c r="K2802" i="7"/>
  <c r="L2805" i="7"/>
  <c r="K2810" i="7"/>
  <c r="L2813" i="7"/>
  <c r="K2818" i="7"/>
  <c r="L2821" i="7"/>
  <c r="K2826" i="7"/>
  <c r="L2829" i="7"/>
  <c r="K2834" i="7"/>
  <c r="L2837" i="7"/>
  <c r="K2842" i="7"/>
</calcChain>
</file>

<file path=xl/sharedStrings.xml><?xml version="1.0" encoding="utf-8"?>
<sst xmlns="http://schemas.openxmlformats.org/spreadsheetml/2006/main" count="5817" uniqueCount="136">
  <si>
    <t>未逾期帳款</t>
  </si>
  <si>
    <r>
      <t xml:space="preserve">帳款到期
</t>
    </r>
    <r>
      <rPr>
        <b/>
        <sz val="11"/>
        <rFont val="Times New Roman"/>
        <family val="1"/>
      </rPr>
      <t>0~30</t>
    </r>
    <r>
      <rPr>
        <b/>
        <sz val="11"/>
        <rFont val="華康隸書體"/>
        <family val="3"/>
        <charset val="136"/>
      </rPr>
      <t>天</t>
    </r>
  </si>
  <si>
    <t>帳款到期未逾30-60天</t>
  </si>
  <si>
    <t>帳款到期未逾60-90天</t>
  </si>
  <si>
    <t>帳款到期未逾90-120天</t>
  </si>
  <si>
    <t>帳款到期未逾120-180天</t>
  </si>
  <si>
    <t>帳款到期未逾180-360天</t>
  </si>
  <si>
    <t>公司備抵呆帳提列政策</t>
    <phoneticPr fontId="2" type="noConversion"/>
  </si>
  <si>
    <t>突破通訊股份有限公司</t>
  </si>
  <si>
    <t>公司代號</t>
  </si>
  <si>
    <t>公司名稱</t>
  </si>
  <si>
    <t>立帳日</t>
  </si>
  <si>
    <t>到期日</t>
  </si>
  <si>
    <t>幣別</t>
  </si>
  <si>
    <t>匯率</t>
  </si>
  <si>
    <t>未沖原幣</t>
  </si>
  <si>
    <t>未沖台幣</t>
  </si>
  <si>
    <t>USD</t>
  </si>
  <si>
    <t>TWD</t>
  </si>
  <si>
    <t>HKD</t>
  </si>
  <si>
    <t>國騰電子(江蘇)有限公司</t>
  </si>
  <si>
    <t>寶寶科技股份有限公司</t>
  </si>
  <si>
    <t>迅迅科技股份有限公司</t>
  </si>
  <si>
    <t>華華科技股份有限公司</t>
  </si>
  <si>
    <t>環環電子(深圳)有限公司</t>
  </si>
  <si>
    <t>仁仁電腦工業股份有限公司</t>
  </si>
  <si>
    <t>創創企業有限公司</t>
  </si>
  <si>
    <t>川川科技(廣州)有限公司</t>
  </si>
  <si>
    <t>傑傑科技股份有限公司</t>
  </si>
  <si>
    <t>英英股份有限公司</t>
  </si>
  <si>
    <t>海海工業股份有限公司</t>
  </si>
  <si>
    <t>海海工業股份有限公司新竹</t>
  </si>
  <si>
    <t>中中電子股份有限公司</t>
  </si>
  <si>
    <t>康康科技(吳江)有限公司</t>
  </si>
  <si>
    <t>神神電腦股份有限公司</t>
  </si>
  <si>
    <t>山山有限公司</t>
  </si>
  <si>
    <t>通通科技(蘇州) 有限公司</t>
  </si>
  <si>
    <t>智慧有限公司</t>
  </si>
  <si>
    <t>萊萊科技股份有限公司</t>
  </si>
  <si>
    <t>倍倍科技股份有限公司</t>
  </si>
  <si>
    <t>偉偉(昆山)有限公司</t>
  </si>
  <si>
    <t>東莞電腦有限公司</t>
  </si>
  <si>
    <t>大幫科技股份有限公司</t>
  </si>
  <si>
    <t>正正通訊股份有限公司</t>
  </si>
  <si>
    <t>巴巴股份有限公司</t>
  </si>
  <si>
    <t>業業電子產品有限公司</t>
  </si>
  <si>
    <t>凱凱企業有限公司</t>
  </si>
  <si>
    <t>小飛電腦實業股份有限公司</t>
  </si>
  <si>
    <t>小飛電腦(昆山)有限公司</t>
  </si>
  <si>
    <t>大際科技股份有限公司</t>
  </si>
  <si>
    <t>盈盈(香港)有限公司</t>
  </si>
  <si>
    <t>小聲工業(股)公司</t>
  </si>
  <si>
    <t>大普電子(上海)有限公司</t>
  </si>
  <si>
    <t>華華電子股份有限公司</t>
  </si>
  <si>
    <t>小威國際股份有限公司</t>
  </si>
  <si>
    <t>台灣小豪股份有限公司</t>
  </si>
  <si>
    <t>東莞小封電子有限公司</t>
  </si>
  <si>
    <t>天天科技(深圳)有限公司</t>
  </si>
  <si>
    <t>日日有限公司</t>
  </si>
  <si>
    <t>霸霸電子股份有限公司</t>
  </si>
  <si>
    <t>新新實業股份有限公司</t>
  </si>
  <si>
    <t>小華通訊股份有限公司</t>
  </si>
  <si>
    <t>小泰電子股份有限公司</t>
  </si>
  <si>
    <t>小日電子股份有限公司</t>
  </si>
  <si>
    <t>小環股份有限公司</t>
  </si>
  <si>
    <t>合作電腦股份有限公司</t>
  </si>
  <si>
    <t>來來科技股份有限公司</t>
  </si>
  <si>
    <t>同樂股份有限公司</t>
  </si>
  <si>
    <t>容易股份有限公司</t>
  </si>
  <si>
    <t>小艾股份有限公司</t>
  </si>
  <si>
    <t>台灣小恩股份有限公司</t>
  </si>
  <si>
    <t>小均科技股份有限公司</t>
  </si>
  <si>
    <t>大達電腦股份有限公司</t>
  </si>
  <si>
    <t>小信電子股份有限公司</t>
  </si>
  <si>
    <t>東東股份有限公司</t>
  </si>
  <si>
    <t>小嘉國際股份有限公司</t>
  </si>
  <si>
    <t>美麗通訊股份有限公司</t>
  </si>
  <si>
    <t>小通股份有限公司</t>
  </si>
  <si>
    <t>小通(昆山)有限公司</t>
  </si>
  <si>
    <t>宇宙股份有限公司</t>
  </si>
  <si>
    <t>上海技術發展有限公司</t>
  </si>
  <si>
    <t>大腦國際企業股份有限公司</t>
  </si>
  <si>
    <t>大浩股份有限公司</t>
  </si>
  <si>
    <t>永遠科技股份有限公司</t>
  </si>
  <si>
    <t>大王電子股份有限公司</t>
  </si>
  <si>
    <t>東莞小福電腦有限公司</t>
  </si>
  <si>
    <t>太空光學國際有限公司</t>
  </si>
  <si>
    <t>小雅電腦股份有限公司</t>
  </si>
  <si>
    <t>小雅電子科技(江蘇)有限公司</t>
  </si>
  <si>
    <t>深深電子工業股份有限公司</t>
  </si>
  <si>
    <t>松松工業股份有限公司</t>
  </si>
  <si>
    <t>建設股份有限公司</t>
  </si>
  <si>
    <t>小青國際科技股份有限公司</t>
  </si>
  <si>
    <t>威力電腦股份有限公司</t>
  </si>
  <si>
    <t>小開科技股份有限公司</t>
  </si>
  <si>
    <t>小鴻國際有限公司</t>
  </si>
  <si>
    <t>小月電通股份有限公司</t>
  </si>
  <si>
    <t>小志電子股份有限公司</t>
  </si>
  <si>
    <t>小刀科技股份有限公司</t>
  </si>
  <si>
    <t>小官電腦股份有限公司</t>
  </si>
  <si>
    <t>水水科技有限公司</t>
  </si>
  <si>
    <t>小有電子股份有限公司</t>
  </si>
  <si>
    <t>小例科技股份有限公司</t>
  </si>
  <si>
    <t>月台股份有限公司</t>
  </si>
  <si>
    <t>小故工業股份有限公司</t>
  </si>
  <si>
    <t>小連科技股份有限公司</t>
  </si>
  <si>
    <t>教教科技股份有限公司</t>
  </si>
  <si>
    <t>通關資訊股份有限公司</t>
  </si>
  <si>
    <t>非常科技(吳江)有限公司</t>
  </si>
  <si>
    <t>圈圈精密工業股份有限公司</t>
  </si>
  <si>
    <t>勤勞科技股份有限公司</t>
  </si>
  <si>
    <t>太陽企業有限公司</t>
  </si>
  <si>
    <t>大行股份有限公司</t>
  </si>
  <si>
    <t>輕輕國際有限公司</t>
  </si>
  <si>
    <t>久久股份有限公司</t>
  </si>
  <si>
    <t>久久(深圳)有限公司</t>
  </si>
  <si>
    <t>淋淋實業有限公司</t>
  </si>
  <si>
    <t>小記股份有限公司</t>
  </si>
  <si>
    <t>原原企業股份有限公司</t>
  </si>
  <si>
    <t>帳款到期逾360天</t>
    <phoneticPr fontId="2" type="noConversion"/>
  </si>
  <si>
    <t>C31~60</t>
  </si>
  <si>
    <t>B1~30</t>
  </si>
  <si>
    <t>F121~180</t>
  </si>
  <si>
    <t>D61-90</t>
  </si>
  <si>
    <t>A~0</t>
  </si>
  <si>
    <t>H361~</t>
  </si>
  <si>
    <t>G181~360</t>
  </si>
  <si>
    <t>E91~120</t>
  </si>
  <si>
    <t>天數</t>
    <phoneticPr fontId="2" type="noConversion"/>
  </si>
  <si>
    <t>分級</t>
    <phoneticPr fontId="2" type="noConversion"/>
  </si>
  <si>
    <t>基準日</t>
    <phoneticPr fontId="2" type="noConversion"/>
  </si>
  <si>
    <t>逾期天數</t>
    <phoneticPr fontId="2" type="noConversion"/>
  </si>
  <si>
    <t>逾期等級</t>
    <phoneticPr fontId="2" type="noConversion"/>
  </si>
  <si>
    <t>逾期等級2</t>
    <phoneticPr fontId="2" type="noConversion"/>
  </si>
  <si>
    <t>金頭腦科技股份有限公司</t>
  </si>
  <si>
    <t>天天科技股份有限公司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</si>
</sst>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76" formatCode="0_);[Red]\(0\)"/>
    <numFmt numFmtId="177" formatCode="_-* #,##0_-;\-* #,##0_-;_-* &quot;-&quot;??_-;_-@_-"/>
  </numFmts>
  <fonts count="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12"/>
      <name val="新細明體"/>
      <family val="1"/>
      <charset val="136"/>
    </font>
    <font>
      <sz val="11"/>
      <name val="新細明體"/>
      <family val="1"/>
      <charset val="136"/>
    </font>
    <font>
      <b/>
      <sz val="11"/>
      <name val="華康隸書體"/>
      <family val="3"/>
      <charset val="136"/>
    </font>
    <font>
      <b/>
      <sz val="1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">
    <xf numFmtId="0" fontId="0" fillId="0" borderId="0" xfId="0"/>
    <xf numFmtId="176" fontId="0" fillId="2" borderId="0" xfId="1" applyNumberFormat="1" applyFont="1" applyFill="1"/>
    <xf numFmtId="0" fontId="0" fillId="2" borderId="0" xfId="0" applyFill="1"/>
    <xf numFmtId="15" fontId="0" fillId="0" borderId="0" xfId="0" applyNumberFormat="1"/>
    <xf numFmtId="14" fontId="0" fillId="0" borderId="0" xfId="0" applyNumberFormat="1"/>
    <xf numFmtId="177" fontId="0" fillId="0" borderId="0" xfId="1" applyNumberFormat="1" applyFont="1" applyAlignment="1">
      <alignment vertical="center"/>
    </xf>
    <xf numFmtId="0" fontId="0" fillId="0" borderId="0" xfId="0" applyNumberFormat="1"/>
    <xf numFmtId="0" fontId="3" fillId="0" borderId="1" xfId="0" applyFont="1" applyBorder="1"/>
    <xf numFmtId="0" fontId="4" fillId="0" borderId="0" xfId="0" applyFont="1" applyFill="1"/>
    <xf numFmtId="0" fontId="4" fillId="0" borderId="0" xfId="0" applyFont="1" applyFill="1" applyAlignment="1">
      <alignment horizontal="center"/>
    </xf>
    <xf numFmtId="177" fontId="3" fillId="0" borderId="0" xfId="1" applyNumberFormat="1" applyFont="1" applyBorder="1"/>
    <xf numFmtId="177" fontId="5" fillId="0" borderId="0" xfId="1" applyNumberFormat="1" applyFont="1" applyBorder="1" applyAlignment="1">
      <alignment horizontal="center" vertical="center" wrapText="1"/>
    </xf>
    <xf numFmtId="9" fontId="3" fillId="0" borderId="0" xfId="2" applyFont="1" applyBorder="1"/>
    <xf numFmtId="9" fontId="5" fillId="0" borderId="0" xfId="2" applyFont="1" applyBorder="1" applyAlignment="1">
      <alignment horizontal="center" vertical="center" wrapText="1"/>
    </xf>
    <xf numFmtId="9" fontId="5" fillId="0" borderId="0" xfId="2" applyFont="1" applyBorder="1" applyAlignment="1">
      <alignment horizontal="center" vertical="center"/>
    </xf>
  </cellXfs>
  <cellStyles count="3">
    <cellStyle name="一般" xfId="0" builtinId="0"/>
    <cellStyle name="千分位" xfId="1" builtinId="3"/>
    <cellStyle name="百分比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M13_&#25033;&#25910;&#24115;&#27454;&#26126;&#32048;&#21450;&#24115;&#40801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客戶明細"/>
      <sheetName val="帳齡分析_驗算"/>
      <sheetName val="作法V"/>
    </sheetNames>
    <sheetDataSet>
      <sheetData sheetId="0" refreshError="1"/>
      <sheetData sheetId="1" refreshError="1"/>
      <sheetData sheetId="2">
        <row r="1">
          <cell r="B1" t="str">
            <v>天數</v>
          </cell>
          <cell r="C1" t="str">
            <v>分級</v>
          </cell>
        </row>
        <row r="2">
          <cell r="B2">
            <v>0</v>
          </cell>
          <cell r="C2" t="str">
            <v>A~0</v>
          </cell>
        </row>
        <row r="3">
          <cell r="B3">
            <v>1</v>
          </cell>
          <cell r="C3" t="str">
            <v>B1~30</v>
          </cell>
        </row>
        <row r="4">
          <cell r="B4">
            <v>31</v>
          </cell>
          <cell r="C4" t="str">
            <v>C31~60</v>
          </cell>
        </row>
        <row r="5">
          <cell r="B5">
            <v>61</v>
          </cell>
          <cell r="C5" t="str">
            <v>D61-90</v>
          </cell>
        </row>
        <row r="6">
          <cell r="B6">
            <v>91</v>
          </cell>
          <cell r="C6" t="str">
            <v>E91~120</v>
          </cell>
        </row>
        <row r="7">
          <cell r="B7">
            <v>121</v>
          </cell>
          <cell r="C7" t="str">
            <v>F121~180</v>
          </cell>
        </row>
        <row r="8">
          <cell r="B8">
            <v>181</v>
          </cell>
          <cell r="C8" t="str">
            <v>G181~360</v>
          </cell>
        </row>
        <row r="9">
          <cell r="B9">
            <v>361</v>
          </cell>
          <cell r="C9" t="str">
            <v>H361~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L2896"/>
  <sheetViews>
    <sheetView tabSelected="1" zoomScale="80" workbookViewId="0">
      <pane ySplit="1" topLeftCell="A2" activePane="bottomLeft" state="frozen"/>
      <selection activeCell="B26" sqref="B26"/>
      <selection pane="bottomLeft" activeCell="M16" sqref="M16"/>
    </sheetView>
  </sheetViews>
  <sheetFormatPr defaultRowHeight="16.5"/>
  <cols>
    <col min="2" max="2" width="34.5" bestFit="1" customWidth="1"/>
    <col min="3" max="3" width="11.25" customWidth="1"/>
    <col min="4" max="4" width="10.75" bestFit="1" customWidth="1"/>
    <col min="5" max="5" width="6" customWidth="1"/>
    <col min="7" max="7" width="15.125" customWidth="1"/>
    <col min="8" max="8" width="15.375" customWidth="1"/>
    <col min="9" max="9" width="11" bestFit="1" customWidth="1"/>
    <col min="12" max="12" width="10.125" hidden="1" customWidth="1"/>
  </cols>
  <sheetData>
    <row r="1" spans="1:12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  <c r="I1" t="s">
        <v>130</v>
      </c>
      <c r="J1" s="1" t="s">
        <v>131</v>
      </c>
      <c r="K1" s="2" t="s">
        <v>132</v>
      </c>
      <c r="L1" t="s">
        <v>133</v>
      </c>
    </row>
    <row r="2" spans="1:12">
      <c r="A2">
        <v>1006</v>
      </c>
      <c r="B2" t="s">
        <v>135</v>
      </c>
      <c r="C2" s="3">
        <v>38593</v>
      </c>
      <c r="D2" s="3">
        <v>38635</v>
      </c>
      <c r="E2" t="s">
        <v>18</v>
      </c>
      <c r="F2">
        <v>1</v>
      </c>
      <c r="G2">
        <v>11600</v>
      </c>
      <c r="H2">
        <v>11600</v>
      </c>
      <c r="I2" s="4">
        <v>38686</v>
      </c>
      <c r="J2" s="5">
        <f t="shared" ref="J2:J65" si="0">I2-D2</f>
        <v>51</v>
      </c>
      <c r="K2" s="6" t="str">
        <f t="shared" ref="K2:K65" si="1">IF(J2&lt;1,"A~0",IF(J2&lt;31,"B1~30",IF(J2&lt;61,"C31~60",IF(J2&lt;91,"D61~90",IF(J2&lt;121,"E91~120",IF(J2&lt;181,"F121~180",IF(J2&lt;361,"G181~360","H361~")))))))</f>
        <v>C31~60</v>
      </c>
      <c r="L2" t="str">
        <f>IF(客戶明細!J2&lt;0,"A~0",VLOOKUP(客戶明細!J2,[1]作法V!$B$1:$C$9,2,TRUE))</f>
        <v>C31~60</v>
      </c>
    </row>
    <row r="3" spans="1:12">
      <c r="A3">
        <v>1006</v>
      </c>
      <c r="B3" t="s">
        <v>135</v>
      </c>
      <c r="C3" s="3">
        <v>38593</v>
      </c>
      <c r="D3" s="3">
        <v>38635</v>
      </c>
      <c r="E3" t="s">
        <v>18</v>
      </c>
      <c r="F3">
        <v>1</v>
      </c>
      <c r="G3">
        <v>74800</v>
      </c>
      <c r="H3">
        <v>74800</v>
      </c>
      <c r="I3" s="4">
        <v>38686</v>
      </c>
      <c r="J3" s="5">
        <f t="shared" si="0"/>
        <v>51</v>
      </c>
      <c r="K3" s="6" t="str">
        <f t="shared" si="1"/>
        <v>C31~60</v>
      </c>
      <c r="L3" t="str">
        <f>IF(客戶明細!J3&lt;0,"A~0",VLOOKUP(客戶明細!J3,[1]作法V!$B$1:$C$9,2,TRUE))</f>
        <v>C31~60</v>
      </c>
    </row>
    <row r="4" spans="1:12">
      <c r="A4">
        <v>1006</v>
      </c>
      <c r="B4" t="s">
        <v>135</v>
      </c>
      <c r="C4" s="3">
        <v>38593</v>
      </c>
      <c r="D4" s="3">
        <v>38635</v>
      </c>
      <c r="E4" t="s">
        <v>18</v>
      </c>
      <c r="F4">
        <v>1</v>
      </c>
      <c r="G4">
        <v>88400</v>
      </c>
      <c r="H4">
        <v>88400</v>
      </c>
      <c r="I4" s="4">
        <v>38686</v>
      </c>
      <c r="J4" s="5">
        <f t="shared" si="0"/>
        <v>51</v>
      </c>
      <c r="K4" s="6" t="str">
        <f t="shared" si="1"/>
        <v>C31~60</v>
      </c>
      <c r="L4" t="str">
        <f>IF(客戶明細!J4&lt;0,"A~0",VLOOKUP(客戶明細!J4,[1]作法V!$B$1:$C$9,2,TRUE))</f>
        <v>C31~60</v>
      </c>
    </row>
    <row r="5" spans="1:12">
      <c r="A5">
        <v>1006</v>
      </c>
      <c r="B5" t="s">
        <v>135</v>
      </c>
      <c r="C5" s="3">
        <v>38603</v>
      </c>
      <c r="D5" s="3">
        <v>38666</v>
      </c>
      <c r="E5" t="s">
        <v>18</v>
      </c>
      <c r="F5">
        <v>1</v>
      </c>
      <c r="G5">
        <v>6800</v>
      </c>
      <c r="H5">
        <v>6800</v>
      </c>
      <c r="I5" s="4">
        <v>38686</v>
      </c>
      <c r="J5" s="5">
        <f t="shared" si="0"/>
        <v>20</v>
      </c>
      <c r="K5" s="6" t="str">
        <f t="shared" si="1"/>
        <v>B1~30</v>
      </c>
      <c r="L5" t="str">
        <f>IF(客戶明細!J5&lt;0,"A~0",VLOOKUP(客戶明細!J5,[1]作法V!$B$1:$C$9,2,TRUE))</f>
        <v>B1~30</v>
      </c>
    </row>
    <row r="6" spans="1:12">
      <c r="A6">
        <v>1006</v>
      </c>
      <c r="B6" t="s">
        <v>135</v>
      </c>
      <c r="C6" s="3">
        <v>38603</v>
      </c>
      <c r="D6" s="3">
        <v>38666</v>
      </c>
      <c r="E6" t="s">
        <v>18</v>
      </c>
      <c r="F6">
        <v>1</v>
      </c>
      <c r="G6">
        <v>11560</v>
      </c>
      <c r="H6">
        <v>11560</v>
      </c>
      <c r="I6" s="4">
        <v>38686</v>
      </c>
      <c r="J6" s="5">
        <f t="shared" si="0"/>
        <v>20</v>
      </c>
      <c r="K6" s="6" t="str">
        <f t="shared" si="1"/>
        <v>B1~30</v>
      </c>
      <c r="L6" t="str">
        <f>IF(客戶明細!J6&lt;0,"A~0",VLOOKUP(客戶明細!J6,[1]作法V!$B$1:$C$9,2,TRUE))</f>
        <v>B1~30</v>
      </c>
    </row>
    <row r="7" spans="1:12">
      <c r="A7">
        <v>1006</v>
      </c>
      <c r="B7" t="s">
        <v>135</v>
      </c>
      <c r="C7" s="3">
        <v>38603</v>
      </c>
      <c r="D7" s="3">
        <v>38666</v>
      </c>
      <c r="E7" t="s">
        <v>18</v>
      </c>
      <c r="F7">
        <v>1</v>
      </c>
      <c r="G7">
        <v>49640</v>
      </c>
      <c r="H7">
        <v>49640</v>
      </c>
      <c r="I7" s="4">
        <v>38686</v>
      </c>
      <c r="J7" s="5">
        <f t="shared" si="0"/>
        <v>20</v>
      </c>
      <c r="K7" s="6" t="str">
        <f t="shared" si="1"/>
        <v>B1~30</v>
      </c>
      <c r="L7" t="str">
        <f>IF(客戶明細!J7&lt;0,"A~0",VLOOKUP(客戶明細!J7,[1]作法V!$B$1:$C$9,2,TRUE))</f>
        <v>B1~30</v>
      </c>
    </row>
    <row r="8" spans="1:12">
      <c r="A8">
        <v>1006</v>
      </c>
      <c r="B8" t="s">
        <v>135</v>
      </c>
      <c r="C8" s="3">
        <v>38603</v>
      </c>
      <c r="D8" s="3">
        <v>38666</v>
      </c>
      <c r="E8" t="s">
        <v>18</v>
      </c>
      <c r="F8">
        <v>1</v>
      </c>
      <c r="G8">
        <v>20400</v>
      </c>
      <c r="H8">
        <v>20400</v>
      </c>
      <c r="I8" s="4">
        <v>38686</v>
      </c>
      <c r="J8" s="5">
        <f t="shared" si="0"/>
        <v>20</v>
      </c>
      <c r="K8" s="6" t="str">
        <f t="shared" si="1"/>
        <v>B1~30</v>
      </c>
      <c r="L8" t="str">
        <f>IF(客戶明細!J8&lt;0,"A~0",VLOOKUP(客戶明細!J8,[1]作法V!$B$1:$C$9,2,TRUE))</f>
        <v>B1~30</v>
      </c>
    </row>
    <row r="9" spans="1:12">
      <c r="A9">
        <v>1006</v>
      </c>
      <c r="B9" t="s">
        <v>135</v>
      </c>
      <c r="C9" s="3">
        <v>38614</v>
      </c>
      <c r="D9" s="3">
        <v>38666</v>
      </c>
      <c r="E9" t="s">
        <v>18</v>
      </c>
      <c r="F9">
        <v>1</v>
      </c>
      <c r="G9">
        <v>20400</v>
      </c>
      <c r="H9">
        <v>20400</v>
      </c>
      <c r="I9" s="4">
        <v>38686</v>
      </c>
      <c r="J9" s="5">
        <f t="shared" si="0"/>
        <v>20</v>
      </c>
      <c r="K9" s="6" t="str">
        <f t="shared" si="1"/>
        <v>B1~30</v>
      </c>
      <c r="L9" t="str">
        <f>IF(客戶明細!J9&lt;0,"A~0",VLOOKUP(客戶明細!J9,[1]作法V!$B$1:$C$9,2,TRUE))</f>
        <v>B1~30</v>
      </c>
    </row>
    <row r="10" spans="1:12">
      <c r="A10">
        <v>1006</v>
      </c>
      <c r="B10" t="s">
        <v>135</v>
      </c>
      <c r="C10" s="3">
        <v>38618</v>
      </c>
      <c r="D10" s="3">
        <v>38666</v>
      </c>
      <c r="E10" t="s">
        <v>18</v>
      </c>
      <c r="F10">
        <v>1</v>
      </c>
      <c r="G10">
        <v>6800</v>
      </c>
      <c r="H10">
        <v>6800</v>
      </c>
      <c r="I10" s="4">
        <v>38686</v>
      </c>
      <c r="J10" s="5">
        <f t="shared" si="0"/>
        <v>20</v>
      </c>
      <c r="K10" s="6" t="str">
        <f t="shared" si="1"/>
        <v>B1~30</v>
      </c>
      <c r="L10" t="str">
        <f>IF(客戶明細!J10&lt;0,"A~0",VLOOKUP(客戶明細!J10,[1]作法V!$B$1:$C$9,2,TRUE))</f>
        <v>B1~30</v>
      </c>
    </row>
    <row r="11" spans="1:12">
      <c r="A11">
        <v>1006</v>
      </c>
      <c r="B11" t="s">
        <v>135</v>
      </c>
      <c r="C11" s="3">
        <v>38618</v>
      </c>
      <c r="D11" s="3">
        <v>38666</v>
      </c>
      <c r="E11" t="s">
        <v>18</v>
      </c>
      <c r="F11">
        <v>1</v>
      </c>
      <c r="G11">
        <v>25160</v>
      </c>
      <c r="H11">
        <v>25160</v>
      </c>
      <c r="I11" s="4">
        <v>38686</v>
      </c>
      <c r="J11" s="5">
        <f t="shared" si="0"/>
        <v>20</v>
      </c>
      <c r="K11" s="6" t="str">
        <f t="shared" si="1"/>
        <v>B1~30</v>
      </c>
      <c r="L11" t="str">
        <f>IF(客戶明細!J11&lt;0,"A~0",VLOOKUP(客戶明細!J11,[1]作法V!$B$1:$C$9,2,TRUE))</f>
        <v>B1~30</v>
      </c>
    </row>
    <row r="12" spans="1:12">
      <c r="A12">
        <v>1010</v>
      </c>
      <c r="B12" t="s">
        <v>134</v>
      </c>
      <c r="C12" s="3">
        <v>38413</v>
      </c>
      <c r="D12" s="3">
        <v>38548</v>
      </c>
      <c r="E12" t="s">
        <v>18</v>
      </c>
      <c r="F12">
        <v>1</v>
      </c>
      <c r="G12">
        <v>3040</v>
      </c>
      <c r="H12">
        <v>3040</v>
      </c>
      <c r="I12" s="4">
        <v>38686</v>
      </c>
      <c r="J12" s="5">
        <f t="shared" si="0"/>
        <v>138</v>
      </c>
      <c r="K12" s="6" t="str">
        <f t="shared" si="1"/>
        <v>F121~180</v>
      </c>
      <c r="L12" t="str">
        <f>IF(客戶明細!J12&lt;0,"A~0",VLOOKUP(客戶明細!J12,[1]作法V!$B$1:$C$9,2,TRUE))</f>
        <v>F121~180</v>
      </c>
    </row>
    <row r="13" spans="1:12">
      <c r="A13">
        <v>1010</v>
      </c>
      <c r="B13" t="s">
        <v>134</v>
      </c>
      <c r="C13" s="3">
        <v>38419</v>
      </c>
      <c r="D13" s="3">
        <v>38548</v>
      </c>
      <c r="E13" t="s">
        <v>18</v>
      </c>
      <c r="F13">
        <v>1</v>
      </c>
      <c r="G13">
        <v>6248</v>
      </c>
      <c r="H13">
        <v>6248</v>
      </c>
      <c r="I13" s="4">
        <v>38686</v>
      </c>
      <c r="J13" s="5">
        <f t="shared" si="0"/>
        <v>138</v>
      </c>
      <c r="K13" s="6" t="str">
        <f t="shared" si="1"/>
        <v>F121~180</v>
      </c>
      <c r="L13" t="str">
        <f>IF(客戶明細!J13&lt;0,"A~0",VLOOKUP(客戶明細!J13,[1]作法V!$B$1:$C$9,2,TRUE))</f>
        <v>F121~180</v>
      </c>
    </row>
    <row r="14" spans="1:12">
      <c r="A14">
        <v>1010</v>
      </c>
      <c r="B14" t="s">
        <v>134</v>
      </c>
      <c r="C14" s="3">
        <v>38434</v>
      </c>
      <c r="D14" s="3">
        <v>38548</v>
      </c>
      <c r="E14" t="s">
        <v>18</v>
      </c>
      <c r="F14">
        <v>1</v>
      </c>
      <c r="G14">
        <v>2020</v>
      </c>
      <c r="H14">
        <v>2020</v>
      </c>
      <c r="I14" s="4">
        <v>38686</v>
      </c>
      <c r="J14" s="5">
        <f t="shared" si="0"/>
        <v>138</v>
      </c>
      <c r="K14" s="6" t="str">
        <f t="shared" si="1"/>
        <v>F121~180</v>
      </c>
      <c r="L14" t="str">
        <f>IF(客戶明細!J14&lt;0,"A~0",VLOOKUP(客戶明細!J14,[1]作法V!$B$1:$C$9,2,TRUE))</f>
        <v>F121~180</v>
      </c>
    </row>
    <row r="15" spans="1:12">
      <c r="A15">
        <v>1010</v>
      </c>
      <c r="B15" t="s">
        <v>134</v>
      </c>
      <c r="C15" s="3">
        <v>38495</v>
      </c>
      <c r="D15" s="3">
        <v>38610</v>
      </c>
      <c r="E15" t="s">
        <v>18</v>
      </c>
      <c r="F15">
        <v>1</v>
      </c>
      <c r="G15">
        <v>4510</v>
      </c>
      <c r="H15">
        <v>4510</v>
      </c>
      <c r="I15" s="4">
        <v>38686</v>
      </c>
      <c r="J15" s="5">
        <f t="shared" si="0"/>
        <v>76</v>
      </c>
      <c r="K15" s="6" t="str">
        <f t="shared" si="1"/>
        <v>D61~90</v>
      </c>
      <c r="L15" t="str">
        <f>IF(客戶明細!J15&lt;0,"A~0",VLOOKUP(客戶明細!J15,[1]作法V!$B$1:$C$9,2,TRUE))</f>
        <v>D61-90</v>
      </c>
    </row>
    <row r="16" spans="1:12">
      <c r="A16">
        <v>1010</v>
      </c>
      <c r="B16" t="s">
        <v>134</v>
      </c>
      <c r="C16" s="3">
        <v>38495</v>
      </c>
      <c r="D16" s="3">
        <v>38610</v>
      </c>
      <c r="E16" t="s">
        <v>18</v>
      </c>
      <c r="F16">
        <v>1</v>
      </c>
      <c r="G16">
        <v>3015</v>
      </c>
      <c r="H16">
        <v>3015</v>
      </c>
      <c r="I16" s="4">
        <v>38686</v>
      </c>
      <c r="J16" s="5">
        <f t="shared" si="0"/>
        <v>76</v>
      </c>
      <c r="K16" s="6" t="str">
        <f t="shared" si="1"/>
        <v>D61~90</v>
      </c>
      <c r="L16" t="str">
        <f>IF(客戶明細!J16&lt;0,"A~0",VLOOKUP(客戶明細!J16,[1]作法V!$B$1:$C$9,2,TRUE))</f>
        <v>D61-90</v>
      </c>
    </row>
    <row r="17" spans="1:12">
      <c r="A17">
        <v>1010</v>
      </c>
      <c r="B17" t="s">
        <v>134</v>
      </c>
      <c r="C17" s="3">
        <v>38509</v>
      </c>
      <c r="D17" s="3">
        <v>38640</v>
      </c>
      <c r="E17" t="s">
        <v>18</v>
      </c>
      <c r="F17">
        <v>1</v>
      </c>
      <c r="G17">
        <v>8400</v>
      </c>
      <c r="H17">
        <v>8400</v>
      </c>
      <c r="I17" s="4">
        <v>38686</v>
      </c>
      <c r="J17" s="5">
        <f t="shared" si="0"/>
        <v>46</v>
      </c>
      <c r="K17" s="6" t="str">
        <f t="shared" si="1"/>
        <v>C31~60</v>
      </c>
      <c r="L17" t="str">
        <f>IF(客戶明細!J17&lt;0,"A~0",VLOOKUP(客戶明細!J17,[1]作法V!$B$1:$C$9,2,TRUE))</f>
        <v>C31~60</v>
      </c>
    </row>
    <row r="18" spans="1:12">
      <c r="A18">
        <v>1010</v>
      </c>
      <c r="B18" t="s">
        <v>134</v>
      </c>
      <c r="C18" s="3">
        <v>38511</v>
      </c>
      <c r="D18" s="3">
        <v>38640</v>
      </c>
      <c r="E18" t="s">
        <v>18</v>
      </c>
      <c r="F18">
        <v>1</v>
      </c>
      <c r="G18">
        <v>4510</v>
      </c>
      <c r="H18">
        <v>4510</v>
      </c>
      <c r="I18" s="4">
        <v>38686</v>
      </c>
      <c r="J18" s="5">
        <f t="shared" si="0"/>
        <v>46</v>
      </c>
      <c r="K18" s="6" t="str">
        <f t="shared" si="1"/>
        <v>C31~60</v>
      </c>
      <c r="L18" t="str">
        <f>IF(客戶明細!J18&lt;0,"A~0",VLOOKUP(客戶明細!J18,[1]作法V!$B$1:$C$9,2,TRUE))</f>
        <v>C31~60</v>
      </c>
    </row>
    <row r="19" spans="1:12">
      <c r="A19">
        <v>1010</v>
      </c>
      <c r="B19" t="s">
        <v>134</v>
      </c>
      <c r="C19" s="3">
        <v>38511</v>
      </c>
      <c r="D19" s="3">
        <v>38640</v>
      </c>
      <c r="E19" t="s">
        <v>18</v>
      </c>
      <c r="F19">
        <v>1</v>
      </c>
      <c r="G19">
        <v>3040</v>
      </c>
      <c r="H19">
        <v>3040</v>
      </c>
      <c r="I19" s="4">
        <v>38686</v>
      </c>
      <c r="J19" s="5">
        <f t="shared" si="0"/>
        <v>46</v>
      </c>
      <c r="K19" s="6" t="str">
        <f t="shared" si="1"/>
        <v>C31~60</v>
      </c>
      <c r="L19" t="str">
        <f>IF(客戶明細!J19&lt;0,"A~0",VLOOKUP(客戶明細!J19,[1]作法V!$B$1:$C$9,2,TRUE))</f>
        <v>C31~60</v>
      </c>
    </row>
    <row r="20" spans="1:12">
      <c r="A20">
        <v>1010</v>
      </c>
      <c r="B20" t="s">
        <v>134</v>
      </c>
      <c r="C20" s="3">
        <v>38518</v>
      </c>
      <c r="D20" s="3">
        <v>38640</v>
      </c>
      <c r="E20" t="s">
        <v>18</v>
      </c>
      <c r="F20">
        <v>1</v>
      </c>
      <c r="G20">
        <v>9407</v>
      </c>
      <c r="H20">
        <v>9407</v>
      </c>
      <c r="I20" s="4">
        <v>38686</v>
      </c>
      <c r="J20" s="5">
        <f t="shared" si="0"/>
        <v>46</v>
      </c>
      <c r="K20" s="6" t="str">
        <f t="shared" si="1"/>
        <v>C31~60</v>
      </c>
      <c r="L20" t="str">
        <f>IF(客戶明細!J20&lt;0,"A~0",VLOOKUP(客戶明細!J20,[1]作法V!$B$1:$C$9,2,TRUE))</f>
        <v>C31~60</v>
      </c>
    </row>
    <row r="21" spans="1:12">
      <c r="A21">
        <v>1010</v>
      </c>
      <c r="B21" t="s">
        <v>134</v>
      </c>
      <c r="C21" s="3">
        <v>38518</v>
      </c>
      <c r="D21" s="3">
        <v>38640</v>
      </c>
      <c r="E21" t="s">
        <v>18</v>
      </c>
      <c r="F21">
        <v>1</v>
      </c>
      <c r="G21">
        <v>9310</v>
      </c>
      <c r="H21">
        <v>9310</v>
      </c>
      <c r="I21" s="4">
        <v>38686</v>
      </c>
      <c r="J21" s="5">
        <f t="shared" si="0"/>
        <v>46</v>
      </c>
      <c r="K21" s="6" t="str">
        <f t="shared" si="1"/>
        <v>C31~60</v>
      </c>
      <c r="L21" t="str">
        <f>IF(客戶明細!J21&lt;0,"A~0",VLOOKUP(客戶明細!J21,[1]作法V!$B$1:$C$9,2,TRUE))</f>
        <v>C31~60</v>
      </c>
    </row>
    <row r="22" spans="1:12">
      <c r="A22">
        <v>1010</v>
      </c>
      <c r="B22" t="s">
        <v>134</v>
      </c>
      <c r="C22" s="3">
        <v>38518</v>
      </c>
      <c r="D22" s="3">
        <v>38640</v>
      </c>
      <c r="E22" t="s">
        <v>18</v>
      </c>
      <c r="F22">
        <v>1</v>
      </c>
      <c r="G22">
        <v>5045</v>
      </c>
      <c r="H22">
        <v>5045</v>
      </c>
      <c r="I22" s="4">
        <v>38686</v>
      </c>
      <c r="J22" s="5">
        <f t="shared" si="0"/>
        <v>46</v>
      </c>
      <c r="K22" s="6" t="str">
        <f t="shared" si="1"/>
        <v>C31~60</v>
      </c>
      <c r="L22" t="str">
        <f>IF(客戶明細!J22&lt;0,"A~0",VLOOKUP(客戶明細!J22,[1]作法V!$B$1:$C$9,2,TRUE))</f>
        <v>C31~60</v>
      </c>
    </row>
    <row r="23" spans="1:12">
      <c r="A23">
        <v>1010</v>
      </c>
      <c r="B23" t="s">
        <v>134</v>
      </c>
      <c r="C23" s="3">
        <v>38518</v>
      </c>
      <c r="D23" s="3">
        <v>38640</v>
      </c>
      <c r="E23" t="s">
        <v>18</v>
      </c>
      <c r="F23">
        <v>1</v>
      </c>
      <c r="G23">
        <v>12005</v>
      </c>
      <c r="H23">
        <v>12005</v>
      </c>
      <c r="I23" s="4">
        <v>38686</v>
      </c>
      <c r="J23" s="5">
        <f t="shared" si="0"/>
        <v>46</v>
      </c>
      <c r="K23" s="6" t="str">
        <f t="shared" si="1"/>
        <v>C31~60</v>
      </c>
      <c r="L23" t="str">
        <f>IF(客戶明細!J23&lt;0,"A~0",VLOOKUP(客戶明細!J23,[1]作法V!$B$1:$C$9,2,TRUE))</f>
        <v>C31~60</v>
      </c>
    </row>
    <row r="24" spans="1:12">
      <c r="A24">
        <v>1010</v>
      </c>
      <c r="B24" t="s">
        <v>134</v>
      </c>
      <c r="C24" s="3">
        <v>38525</v>
      </c>
      <c r="D24" s="3">
        <v>38640</v>
      </c>
      <c r="E24" t="s">
        <v>18</v>
      </c>
      <c r="F24">
        <v>1</v>
      </c>
      <c r="G24">
        <v>3310</v>
      </c>
      <c r="H24">
        <v>3310</v>
      </c>
      <c r="I24" s="4">
        <v>38686</v>
      </c>
      <c r="J24" s="5">
        <f t="shared" si="0"/>
        <v>46</v>
      </c>
      <c r="K24" s="6" t="str">
        <f t="shared" si="1"/>
        <v>C31~60</v>
      </c>
      <c r="L24" t="str">
        <f>IF(客戶明細!J24&lt;0,"A~0",VLOOKUP(客戶明細!J24,[1]作法V!$B$1:$C$9,2,TRUE))</f>
        <v>C31~60</v>
      </c>
    </row>
    <row r="25" spans="1:12">
      <c r="A25">
        <v>1010</v>
      </c>
      <c r="B25" t="s">
        <v>134</v>
      </c>
      <c r="C25" s="3">
        <v>38525</v>
      </c>
      <c r="D25" s="3">
        <v>38640</v>
      </c>
      <c r="E25" t="s">
        <v>18</v>
      </c>
      <c r="F25">
        <v>1</v>
      </c>
      <c r="G25">
        <v>3375</v>
      </c>
      <c r="H25">
        <v>3375</v>
      </c>
      <c r="I25" s="4">
        <v>38686</v>
      </c>
      <c r="J25" s="5">
        <f t="shared" si="0"/>
        <v>46</v>
      </c>
      <c r="K25" s="6" t="str">
        <f t="shared" si="1"/>
        <v>C31~60</v>
      </c>
      <c r="L25" t="str">
        <f>IF(客戶明細!J25&lt;0,"A~0",VLOOKUP(客戶明細!J25,[1]作法V!$B$1:$C$9,2,TRUE))</f>
        <v>C31~60</v>
      </c>
    </row>
    <row r="26" spans="1:12">
      <c r="A26">
        <v>1010</v>
      </c>
      <c r="B26" t="s">
        <v>134</v>
      </c>
      <c r="C26" s="3">
        <v>38525</v>
      </c>
      <c r="D26" s="3">
        <v>38640</v>
      </c>
      <c r="E26" t="s">
        <v>18</v>
      </c>
      <c r="F26">
        <v>1</v>
      </c>
      <c r="G26">
        <v>14405</v>
      </c>
      <c r="H26">
        <v>14405</v>
      </c>
      <c r="I26" s="4">
        <v>38686</v>
      </c>
      <c r="J26" s="5">
        <f t="shared" si="0"/>
        <v>46</v>
      </c>
      <c r="K26" s="6" t="str">
        <f t="shared" si="1"/>
        <v>C31~60</v>
      </c>
      <c r="L26" t="str">
        <f>IF(客戶明細!J26&lt;0,"A~0",VLOOKUP(客戶明細!J26,[1]作法V!$B$1:$C$9,2,TRUE))</f>
        <v>C31~60</v>
      </c>
    </row>
    <row r="27" spans="1:12">
      <c r="A27">
        <v>1010</v>
      </c>
      <c r="B27" t="s">
        <v>134</v>
      </c>
      <c r="C27" s="3">
        <v>38525</v>
      </c>
      <c r="D27" s="3">
        <v>38640</v>
      </c>
      <c r="E27" t="s">
        <v>18</v>
      </c>
      <c r="F27">
        <v>1</v>
      </c>
      <c r="G27">
        <v>4510</v>
      </c>
      <c r="H27">
        <v>4510</v>
      </c>
      <c r="I27" s="4">
        <v>38686</v>
      </c>
      <c r="J27" s="5">
        <f t="shared" si="0"/>
        <v>46</v>
      </c>
      <c r="K27" s="6" t="str">
        <f t="shared" si="1"/>
        <v>C31~60</v>
      </c>
      <c r="L27" t="str">
        <f>IF(客戶明細!J27&lt;0,"A~0",VLOOKUP(客戶明細!J27,[1]作法V!$B$1:$C$9,2,TRUE))</f>
        <v>C31~60</v>
      </c>
    </row>
    <row r="28" spans="1:12">
      <c r="A28">
        <v>1010</v>
      </c>
      <c r="B28" t="s">
        <v>134</v>
      </c>
      <c r="C28" s="3">
        <v>38539</v>
      </c>
      <c r="D28" s="3">
        <v>38671</v>
      </c>
      <c r="E28" t="s">
        <v>18</v>
      </c>
      <c r="F28">
        <v>1</v>
      </c>
      <c r="G28">
        <v>8865</v>
      </c>
      <c r="H28">
        <v>8865</v>
      </c>
      <c r="I28" s="4">
        <v>38686</v>
      </c>
      <c r="J28" s="5">
        <f t="shared" si="0"/>
        <v>15</v>
      </c>
      <c r="K28" s="6" t="str">
        <f t="shared" si="1"/>
        <v>B1~30</v>
      </c>
      <c r="L28" t="str">
        <f>IF(客戶明細!J28&lt;0,"A~0",VLOOKUP(客戶明細!J28,[1]作法V!$B$1:$C$9,2,TRUE))</f>
        <v>B1~30</v>
      </c>
    </row>
    <row r="29" spans="1:12">
      <c r="A29">
        <v>1010</v>
      </c>
      <c r="B29" t="s">
        <v>134</v>
      </c>
      <c r="C29" s="3">
        <v>38544</v>
      </c>
      <c r="D29" s="3">
        <v>38671</v>
      </c>
      <c r="E29" t="s">
        <v>18</v>
      </c>
      <c r="F29">
        <v>1</v>
      </c>
      <c r="G29">
        <v>1521</v>
      </c>
      <c r="H29">
        <v>1521</v>
      </c>
      <c r="I29" s="4">
        <v>38686</v>
      </c>
      <c r="J29" s="5">
        <f t="shared" si="0"/>
        <v>15</v>
      </c>
      <c r="K29" s="6" t="str">
        <f t="shared" si="1"/>
        <v>B1~30</v>
      </c>
      <c r="L29" t="str">
        <f>IF(客戶明細!J29&lt;0,"A~0",VLOOKUP(客戶明細!J29,[1]作法V!$B$1:$C$9,2,TRUE))</f>
        <v>B1~30</v>
      </c>
    </row>
    <row r="30" spans="1:12">
      <c r="A30">
        <v>1010</v>
      </c>
      <c r="B30" t="s">
        <v>134</v>
      </c>
      <c r="C30" s="3">
        <v>38548</v>
      </c>
      <c r="D30" s="3">
        <v>38671</v>
      </c>
      <c r="E30" t="s">
        <v>18</v>
      </c>
      <c r="F30">
        <v>1</v>
      </c>
      <c r="G30">
        <v>6125</v>
      </c>
      <c r="H30">
        <v>6125</v>
      </c>
      <c r="I30" s="4">
        <v>38686</v>
      </c>
      <c r="J30" s="5">
        <f t="shared" si="0"/>
        <v>15</v>
      </c>
      <c r="K30" s="6" t="str">
        <f t="shared" si="1"/>
        <v>B1~30</v>
      </c>
      <c r="L30" t="str">
        <f>IF(客戶明細!J30&lt;0,"A~0",VLOOKUP(客戶明細!J30,[1]作法V!$B$1:$C$9,2,TRUE))</f>
        <v>B1~30</v>
      </c>
    </row>
    <row r="31" spans="1:12">
      <c r="A31">
        <v>1010</v>
      </c>
      <c r="B31" t="s">
        <v>134</v>
      </c>
      <c r="C31" s="3">
        <v>38548</v>
      </c>
      <c r="D31" s="3">
        <v>38671</v>
      </c>
      <c r="E31" t="s">
        <v>18</v>
      </c>
      <c r="F31">
        <v>1</v>
      </c>
      <c r="G31">
        <v>14405</v>
      </c>
      <c r="H31">
        <v>14405</v>
      </c>
      <c r="I31" s="4">
        <v>38686</v>
      </c>
      <c r="J31" s="5">
        <f t="shared" si="0"/>
        <v>15</v>
      </c>
      <c r="K31" s="6" t="str">
        <f t="shared" si="1"/>
        <v>B1~30</v>
      </c>
      <c r="L31" t="str">
        <f>IF(客戶明細!J31&lt;0,"A~0",VLOOKUP(客戶明細!J31,[1]作法V!$B$1:$C$9,2,TRUE))</f>
        <v>B1~30</v>
      </c>
    </row>
    <row r="32" spans="1:12">
      <c r="A32">
        <v>1010</v>
      </c>
      <c r="B32" t="s">
        <v>134</v>
      </c>
      <c r="C32" s="3">
        <v>38548</v>
      </c>
      <c r="D32" s="3">
        <v>38671</v>
      </c>
      <c r="E32" t="s">
        <v>18</v>
      </c>
      <c r="F32">
        <v>1</v>
      </c>
      <c r="G32">
        <v>6155</v>
      </c>
      <c r="H32">
        <v>6155</v>
      </c>
      <c r="I32" s="4">
        <v>38686</v>
      </c>
      <c r="J32" s="5">
        <f t="shared" si="0"/>
        <v>15</v>
      </c>
      <c r="K32" s="6" t="str">
        <f t="shared" si="1"/>
        <v>B1~30</v>
      </c>
      <c r="L32" t="str">
        <f>IF(客戶明細!J32&lt;0,"A~0",VLOOKUP(客戶明細!J32,[1]作法V!$B$1:$C$9,2,TRUE))</f>
        <v>B1~30</v>
      </c>
    </row>
    <row r="33" spans="1:12">
      <c r="A33">
        <v>1010</v>
      </c>
      <c r="B33" t="s">
        <v>134</v>
      </c>
      <c r="C33" s="3">
        <v>38548</v>
      </c>
      <c r="D33" s="3">
        <v>38671</v>
      </c>
      <c r="E33" t="s">
        <v>18</v>
      </c>
      <c r="F33">
        <v>1</v>
      </c>
      <c r="G33">
        <v>12005</v>
      </c>
      <c r="H33">
        <v>12005</v>
      </c>
      <c r="I33" s="4">
        <v>38686</v>
      </c>
      <c r="J33" s="5">
        <f t="shared" si="0"/>
        <v>15</v>
      </c>
      <c r="K33" s="6" t="str">
        <f t="shared" si="1"/>
        <v>B1~30</v>
      </c>
      <c r="L33" t="str">
        <f>IF(客戶明細!J33&lt;0,"A~0",VLOOKUP(客戶明細!J33,[1]作法V!$B$1:$C$9,2,TRUE))</f>
        <v>B1~30</v>
      </c>
    </row>
    <row r="34" spans="1:12">
      <c r="A34">
        <v>1010</v>
      </c>
      <c r="B34" t="s">
        <v>134</v>
      </c>
      <c r="C34" s="3">
        <v>38548</v>
      </c>
      <c r="D34" s="3">
        <v>38671</v>
      </c>
      <c r="E34" t="s">
        <v>18</v>
      </c>
      <c r="F34">
        <v>1</v>
      </c>
      <c r="G34">
        <v>3310</v>
      </c>
      <c r="H34">
        <v>3310</v>
      </c>
      <c r="I34" s="4">
        <v>38686</v>
      </c>
      <c r="J34" s="5">
        <f t="shared" si="0"/>
        <v>15</v>
      </c>
      <c r="K34" s="6" t="str">
        <f t="shared" si="1"/>
        <v>B1~30</v>
      </c>
      <c r="L34" t="str">
        <f>IF(客戶明細!J34&lt;0,"A~0",VLOOKUP(客戶明細!J34,[1]作法V!$B$1:$C$9,2,TRUE))</f>
        <v>B1~30</v>
      </c>
    </row>
    <row r="35" spans="1:12">
      <c r="A35">
        <v>1010</v>
      </c>
      <c r="B35" t="s">
        <v>134</v>
      </c>
      <c r="C35" s="3">
        <v>38548</v>
      </c>
      <c r="D35" s="3">
        <v>38671</v>
      </c>
      <c r="E35" t="s">
        <v>18</v>
      </c>
      <c r="F35">
        <v>1</v>
      </c>
      <c r="G35">
        <v>4578</v>
      </c>
      <c r="H35">
        <v>4578</v>
      </c>
      <c r="I35" s="4">
        <v>38686</v>
      </c>
      <c r="J35" s="5">
        <f t="shared" si="0"/>
        <v>15</v>
      </c>
      <c r="K35" s="6" t="str">
        <f t="shared" si="1"/>
        <v>B1~30</v>
      </c>
      <c r="L35" t="str">
        <f>IF(客戶明細!J35&lt;0,"A~0",VLOOKUP(客戶明細!J35,[1]作法V!$B$1:$C$9,2,TRUE))</f>
        <v>B1~30</v>
      </c>
    </row>
    <row r="36" spans="1:12">
      <c r="A36">
        <v>1010</v>
      </c>
      <c r="B36" t="s">
        <v>134</v>
      </c>
      <c r="C36" s="3">
        <v>38548</v>
      </c>
      <c r="D36" s="3">
        <v>38671</v>
      </c>
      <c r="E36" t="s">
        <v>18</v>
      </c>
      <c r="F36">
        <v>1</v>
      </c>
      <c r="G36">
        <v>5045</v>
      </c>
      <c r="H36">
        <v>5045</v>
      </c>
      <c r="I36" s="4">
        <v>38686</v>
      </c>
      <c r="J36" s="5">
        <f t="shared" si="0"/>
        <v>15</v>
      </c>
      <c r="K36" s="6" t="str">
        <f t="shared" si="1"/>
        <v>B1~30</v>
      </c>
      <c r="L36" t="str">
        <f>IF(客戶明細!J36&lt;0,"A~0",VLOOKUP(客戶明細!J36,[1]作法V!$B$1:$C$9,2,TRUE))</f>
        <v>B1~30</v>
      </c>
    </row>
    <row r="37" spans="1:12">
      <c r="A37">
        <v>1010</v>
      </c>
      <c r="B37" t="s">
        <v>134</v>
      </c>
      <c r="C37" s="3">
        <v>38548</v>
      </c>
      <c r="D37" s="3">
        <v>38671</v>
      </c>
      <c r="E37" t="s">
        <v>18</v>
      </c>
      <c r="F37">
        <v>1</v>
      </c>
      <c r="G37">
        <v>9310</v>
      </c>
      <c r="H37">
        <v>9310</v>
      </c>
      <c r="I37" s="4">
        <v>38686</v>
      </c>
      <c r="J37" s="5">
        <f t="shared" si="0"/>
        <v>15</v>
      </c>
      <c r="K37" s="6" t="str">
        <f t="shared" si="1"/>
        <v>B1~30</v>
      </c>
      <c r="L37" t="str">
        <f>IF(客戶明細!J37&lt;0,"A~0",VLOOKUP(客戶明細!J37,[1]作法V!$B$1:$C$9,2,TRUE))</f>
        <v>B1~30</v>
      </c>
    </row>
    <row r="38" spans="1:12">
      <c r="A38">
        <v>1010</v>
      </c>
      <c r="B38" t="s">
        <v>134</v>
      </c>
      <c r="C38" s="3">
        <v>38548</v>
      </c>
      <c r="D38" s="3">
        <v>38671</v>
      </c>
      <c r="E38" t="s">
        <v>18</v>
      </c>
      <c r="F38">
        <v>1</v>
      </c>
      <c r="G38">
        <v>8500</v>
      </c>
      <c r="H38">
        <v>8500</v>
      </c>
      <c r="I38" s="4">
        <v>38686</v>
      </c>
      <c r="J38" s="5">
        <f t="shared" si="0"/>
        <v>15</v>
      </c>
      <c r="K38" s="6" t="str">
        <f t="shared" si="1"/>
        <v>B1~30</v>
      </c>
      <c r="L38" t="str">
        <f>IF(客戶明細!J38&lt;0,"A~0",VLOOKUP(客戶明細!J38,[1]作法V!$B$1:$C$9,2,TRUE))</f>
        <v>B1~30</v>
      </c>
    </row>
    <row r="39" spans="1:12">
      <c r="A39">
        <v>1010</v>
      </c>
      <c r="B39" t="s">
        <v>134</v>
      </c>
      <c r="C39" s="3">
        <v>38548</v>
      </c>
      <c r="D39" s="3">
        <v>38671</v>
      </c>
      <c r="E39" t="s">
        <v>18</v>
      </c>
      <c r="F39">
        <v>1</v>
      </c>
      <c r="G39">
        <v>15515</v>
      </c>
      <c r="H39">
        <v>15515</v>
      </c>
      <c r="I39" s="4">
        <v>38686</v>
      </c>
      <c r="J39" s="5">
        <f t="shared" si="0"/>
        <v>15</v>
      </c>
      <c r="K39" s="6" t="str">
        <f t="shared" si="1"/>
        <v>B1~30</v>
      </c>
      <c r="L39" t="str">
        <f>IF(客戶明細!J39&lt;0,"A~0",VLOOKUP(客戶明細!J39,[1]作法V!$B$1:$C$9,2,TRUE))</f>
        <v>B1~30</v>
      </c>
    </row>
    <row r="40" spans="1:12">
      <c r="A40">
        <v>1010</v>
      </c>
      <c r="B40" t="s">
        <v>134</v>
      </c>
      <c r="C40" s="3">
        <v>38548</v>
      </c>
      <c r="D40" s="3">
        <v>38671</v>
      </c>
      <c r="E40" t="s">
        <v>18</v>
      </c>
      <c r="F40">
        <v>1</v>
      </c>
      <c r="G40">
        <v>3375</v>
      </c>
      <c r="H40">
        <v>3375</v>
      </c>
      <c r="I40" s="4">
        <v>38686</v>
      </c>
      <c r="J40" s="5">
        <f t="shared" si="0"/>
        <v>15</v>
      </c>
      <c r="K40" s="6" t="str">
        <f t="shared" si="1"/>
        <v>B1~30</v>
      </c>
      <c r="L40" t="str">
        <f>IF(客戶明細!J40&lt;0,"A~0",VLOOKUP(客戶明細!J40,[1]作法V!$B$1:$C$9,2,TRUE))</f>
        <v>B1~30</v>
      </c>
    </row>
    <row r="41" spans="1:12">
      <c r="A41">
        <v>1010</v>
      </c>
      <c r="B41" t="s">
        <v>134</v>
      </c>
      <c r="C41" s="3">
        <v>38548</v>
      </c>
      <c r="D41" s="3">
        <v>38671</v>
      </c>
      <c r="E41" t="s">
        <v>18</v>
      </c>
      <c r="F41">
        <v>1</v>
      </c>
      <c r="G41">
        <v>15515</v>
      </c>
      <c r="H41">
        <v>15515</v>
      </c>
      <c r="I41" s="4">
        <v>38686</v>
      </c>
      <c r="J41" s="5">
        <f t="shared" si="0"/>
        <v>15</v>
      </c>
      <c r="K41" s="6" t="str">
        <f t="shared" si="1"/>
        <v>B1~30</v>
      </c>
      <c r="L41" t="str">
        <f>IF(客戶明細!J41&lt;0,"A~0",VLOOKUP(客戶明細!J41,[1]作法V!$B$1:$C$9,2,TRUE))</f>
        <v>B1~30</v>
      </c>
    </row>
    <row r="42" spans="1:12">
      <c r="A42">
        <v>1010</v>
      </c>
      <c r="B42" t="s">
        <v>134</v>
      </c>
      <c r="C42" s="3">
        <v>38548</v>
      </c>
      <c r="D42" s="3">
        <v>38671</v>
      </c>
      <c r="E42" t="s">
        <v>18</v>
      </c>
      <c r="F42">
        <v>1</v>
      </c>
      <c r="G42">
        <v>9045</v>
      </c>
      <c r="H42">
        <v>9045</v>
      </c>
      <c r="I42" s="4">
        <v>38686</v>
      </c>
      <c r="J42" s="5">
        <f t="shared" si="0"/>
        <v>15</v>
      </c>
      <c r="K42" s="6" t="str">
        <f t="shared" si="1"/>
        <v>B1~30</v>
      </c>
      <c r="L42" t="str">
        <f>IF(客戶明細!J42&lt;0,"A~0",VLOOKUP(客戶明細!J42,[1]作法V!$B$1:$C$9,2,TRUE))</f>
        <v>B1~30</v>
      </c>
    </row>
    <row r="43" spans="1:12">
      <c r="A43">
        <v>1010</v>
      </c>
      <c r="B43" t="s">
        <v>134</v>
      </c>
      <c r="C43" s="3">
        <v>38554</v>
      </c>
      <c r="D43" s="3">
        <v>38671</v>
      </c>
      <c r="E43" t="s">
        <v>18</v>
      </c>
      <c r="F43">
        <v>1</v>
      </c>
      <c r="G43">
        <v>9310</v>
      </c>
      <c r="H43">
        <v>9310</v>
      </c>
      <c r="I43" s="4">
        <v>38686</v>
      </c>
      <c r="J43" s="5">
        <f t="shared" si="0"/>
        <v>15</v>
      </c>
      <c r="K43" s="6" t="str">
        <f t="shared" si="1"/>
        <v>B1~30</v>
      </c>
      <c r="L43" t="str">
        <f>IF(客戶明細!J43&lt;0,"A~0",VLOOKUP(客戶明細!J43,[1]作法V!$B$1:$C$9,2,TRUE))</f>
        <v>B1~30</v>
      </c>
    </row>
    <row r="44" spans="1:12">
      <c r="A44">
        <v>1010</v>
      </c>
      <c r="B44" t="s">
        <v>134</v>
      </c>
      <c r="C44" s="3">
        <v>38554</v>
      </c>
      <c r="D44" s="3">
        <v>38671</v>
      </c>
      <c r="E44" t="s">
        <v>18</v>
      </c>
      <c r="F44">
        <v>1</v>
      </c>
      <c r="G44">
        <v>8080</v>
      </c>
      <c r="H44">
        <v>8080</v>
      </c>
      <c r="I44" s="4">
        <v>38686</v>
      </c>
      <c r="J44" s="5">
        <f t="shared" si="0"/>
        <v>15</v>
      </c>
      <c r="K44" s="6" t="str">
        <f t="shared" si="1"/>
        <v>B1~30</v>
      </c>
      <c r="L44" t="str">
        <f>IF(客戶明細!J44&lt;0,"A~0",VLOOKUP(客戶明細!J44,[1]作法V!$B$1:$C$9,2,TRUE))</f>
        <v>B1~30</v>
      </c>
    </row>
    <row r="45" spans="1:12">
      <c r="A45">
        <v>1010</v>
      </c>
      <c r="B45" t="s">
        <v>134</v>
      </c>
      <c r="C45" s="3">
        <v>38554</v>
      </c>
      <c r="D45" s="3">
        <v>38671</v>
      </c>
      <c r="E45" t="s">
        <v>18</v>
      </c>
      <c r="F45">
        <v>1</v>
      </c>
      <c r="G45">
        <v>9030</v>
      </c>
      <c r="H45">
        <v>9030</v>
      </c>
      <c r="I45" s="4">
        <v>38686</v>
      </c>
      <c r="J45" s="5">
        <f t="shared" si="0"/>
        <v>15</v>
      </c>
      <c r="K45" s="6" t="str">
        <f t="shared" si="1"/>
        <v>B1~30</v>
      </c>
      <c r="L45" t="str">
        <f>IF(客戶明細!J45&lt;0,"A~0",VLOOKUP(客戶明細!J45,[1]作法V!$B$1:$C$9,2,TRUE))</f>
        <v>B1~30</v>
      </c>
    </row>
    <row r="46" spans="1:12">
      <c r="A46">
        <v>1010</v>
      </c>
      <c r="B46" t="s">
        <v>134</v>
      </c>
      <c r="C46" s="3">
        <v>38572</v>
      </c>
      <c r="D46" s="3">
        <v>38701</v>
      </c>
      <c r="E46" t="s">
        <v>18</v>
      </c>
      <c r="F46">
        <v>1</v>
      </c>
      <c r="G46">
        <v>8080</v>
      </c>
      <c r="H46">
        <v>8080</v>
      </c>
      <c r="I46" s="4">
        <v>38686</v>
      </c>
      <c r="J46" s="5">
        <f t="shared" si="0"/>
        <v>-15</v>
      </c>
      <c r="K46" s="6" t="str">
        <f t="shared" si="1"/>
        <v>A~0</v>
      </c>
      <c r="L46" t="str">
        <f>IF(客戶明細!J46&lt;0,"A~0",VLOOKUP(客戶明細!J46,[1]作法V!$B$1:$C$9,2,TRUE))</f>
        <v>A~0</v>
      </c>
    </row>
    <row r="47" spans="1:12">
      <c r="A47">
        <v>1010</v>
      </c>
      <c r="B47" t="s">
        <v>134</v>
      </c>
      <c r="C47" s="3">
        <v>38572</v>
      </c>
      <c r="D47" s="3">
        <v>38701</v>
      </c>
      <c r="E47" t="s">
        <v>18</v>
      </c>
      <c r="F47">
        <v>1</v>
      </c>
      <c r="G47">
        <v>2925</v>
      </c>
      <c r="H47">
        <v>2925</v>
      </c>
      <c r="I47" s="4">
        <v>38686</v>
      </c>
      <c r="J47" s="5">
        <f t="shared" si="0"/>
        <v>-15</v>
      </c>
      <c r="K47" s="6" t="str">
        <f t="shared" si="1"/>
        <v>A~0</v>
      </c>
      <c r="L47" t="str">
        <f>IF(客戶明細!J47&lt;0,"A~0",VLOOKUP(客戶明細!J47,[1]作法V!$B$1:$C$9,2,TRUE))</f>
        <v>A~0</v>
      </c>
    </row>
    <row r="48" spans="1:12">
      <c r="A48">
        <v>1010</v>
      </c>
      <c r="B48" t="s">
        <v>134</v>
      </c>
      <c r="C48" s="3">
        <v>38572</v>
      </c>
      <c r="D48" s="3">
        <v>38701</v>
      </c>
      <c r="E48" t="s">
        <v>18</v>
      </c>
      <c r="F48">
        <v>1</v>
      </c>
      <c r="G48">
        <v>7485</v>
      </c>
      <c r="H48">
        <v>7485</v>
      </c>
      <c r="I48" s="4">
        <v>38686</v>
      </c>
      <c r="J48" s="5">
        <f t="shared" si="0"/>
        <v>-15</v>
      </c>
      <c r="K48" s="6" t="str">
        <f t="shared" si="1"/>
        <v>A~0</v>
      </c>
      <c r="L48" t="str">
        <f>IF(客戶明細!J48&lt;0,"A~0",VLOOKUP(客戶明細!J48,[1]作法V!$B$1:$C$9,2,TRUE))</f>
        <v>A~0</v>
      </c>
    </row>
    <row r="49" spans="1:12">
      <c r="A49">
        <v>1010</v>
      </c>
      <c r="B49" t="s">
        <v>134</v>
      </c>
      <c r="C49" s="3">
        <v>38572</v>
      </c>
      <c r="D49" s="3">
        <v>38701</v>
      </c>
      <c r="E49" t="s">
        <v>18</v>
      </c>
      <c r="F49">
        <v>1</v>
      </c>
      <c r="G49">
        <v>4895</v>
      </c>
      <c r="H49">
        <v>4895</v>
      </c>
      <c r="I49" s="4">
        <v>38686</v>
      </c>
      <c r="J49" s="5">
        <f t="shared" si="0"/>
        <v>-15</v>
      </c>
      <c r="K49" s="6" t="str">
        <f t="shared" si="1"/>
        <v>A~0</v>
      </c>
      <c r="L49" t="str">
        <f>IF(客戶明細!J49&lt;0,"A~0",VLOOKUP(客戶明細!J49,[1]作法V!$B$1:$C$9,2,TRUE))</f>
        <v>A~0</v>
      </c>
    </row>
    <row r="50" spans="1:12">
      <c r="A50">
        <v>1010</v>
      </c>
      <c r="B50" t="s">
        <v>134</v>
      </c>
      <c r="C50" s="3">
        <v>38574</v>
      </c>
      <c r="D50" s="3">
        <v>38701</v>
      </c>
      <c r="E50" t="s">
        <v>18</v>
      </c>
      <c r="F50">
        <v>1</v>
      </c>
      <c r="G50">
        <v>4375</v>
      </c>
      <c r="H50">
        <v>4375</v>
      </c>
      <c r="I50" s="4">
        <v>38686</v>
      </c>
      <c r="J50" s="5">
        <f t="shared" si="0"/>
        <v>-15</v>
      </c>
      <c r="K50" s="6" t="str">
        <f t="shared" si="1"/>
        <v>A~0</v>
      </c>
      <c r="L50" t="str">
        <f>IF(客戶明細!J50&lt;0,"A~0",VLOOKUP(客戶明細!J50,[1]作法V!$B$1:$C$9,2,TRUE))</f>
        <v>A~0</v>
      </c>
    </row>
    <row r="51" spans="1:12">
      <c r="A51">
        <v>1010</v>
      </c>
      <c r="B51" t="s">
        <v>134</v>
      </c>
      <c r="C51" s="3">
        <v>38574</v>
      </c>
      <c r="D51" s="3">
        <v>38701</v>
      </c>
      <c r="E51" t="s">
        <v>18</v>
      </c>
      <c r="F51">
        <v>1</v>
      </c>
      <c r="G51">
        <v>9030</v>
      </c>
      <c r="H51">
        <v>9030</v>
      </c>
      <c r="I51" s="4">
        <v>38686</v>
      </c>
      <c r="J51" s="5">
        <f t="shared" si="0"/>
        <v>-15</v>
      </c>
      <c r="K51" s="6" t="str">
        <f t="shared" si="1"/>
        <v>A~0</v>
      </c>
      <c r="L51" t="str">
        <f>IF(客戶明細!J51&lt;0,"A~0",VLOOKUP(客戶明細!J51,[1]作法V!$B$1:$C$9,2,TRUE))</f>
        <v>A~0</v>
      </c>
    </row>
    <row r="52" spans="1:12">
      <c r="A52">
        <v>1010</v>
      </c>
      <c r="B52" t="s">
        <v>134</v>
      </c>
      <c r="C52" s="3">
        <v>38574</v>
      </c>
      <c r="D52" s="3">
        <v>38701</v>
      </c>
      <c r="E52" t="s">
        <v>18</v>
      </c>
      <c r="F52">
        <v>1</v>
      </c>
      <c r="G52">
        <v>8080</v>
      </c>
      <c r="H52">
        <v>8080</v>
      </c>
      <c r="I52" s="4">
        <v>38686</v>
      </c>
      <c r="J52" s="5">
        <f t="shared" si="0"/>
        <v>-15</v>
      </c>
      <c r="K52" s="6" t="str">
        <f t="shared" si="1"/>
        <v>A~0</v>
      </c>
      <c r="L52" t="str">
        <f>IF(客戶明細!J52&lt;0,"A~0",VLOOKUP(客戶明細!J52,[1]作法V!$B$1:$C$9,2,TRUE))</f>
        <v>A~0</v>
      </c>
    </row>
    <row r="53" spans="1:12">
      <c r="A53">
        <v>1010</v>
      </c>
      <c r="B53" t="s">
        <v>134</v>
      </c>
      <c r="C53" s="3">
        <v>38574</v>
      </c>
      <c r="D53" s="3">
        <v>38701</v>
      </c>
      <c r="E53" t="s">
        <v>18</v>
      </c>
      <c r="F53">
        <v>1</v>
      </c>
      <c r="G53">
        <v>9310</v>
      </c>
      <c r="H53">
        <v>9310</v>
      </c>
      <c r="I53" s="4">
        <v>38686</v>
      </c>
      <c r="J53" s="5">
        <f t="shared" si="0"/>
        <v>-15</v>
      </c>
      <c r="K53" s="6" t="str">
        <f t="shared" si="1"/>
        <v>A~0</v>
      </c>
      <c r="L53" t="str">
        <f>IF(客戶明細!J53&lt;0,"A~0",VLOOKUP(客戶明細!J53,[1]作法V!$B$1:$C$9,2,TRUE))</f>
        <v>A~0</v>
      </c>
    </row>
    <row r="54" spans="1:12">
      <c r="A54">
        <v>1010</v>
      </c>
      <c r="B54" t="s">
        <v>134</v>
      </c>
      <c r="C54" s="3">
        <v>38574</v>
      </c>
      <c r="D54" s="3">
        <v>38701</v>
      </c>
      <c r="E54" t="s">
        <v>18</v>
      </c>
      <c r="F54">
        <v>1</v>
      </c>
      <c r="G54">
        <v>7485</v>
      </c>
      <c r="H54">
        <v>7485</v>
      </c>
      <c r="I54" s="4">
        <v>38686</v>
      </c>
      <c r="J54" s="5">
        <f t="shared" si="0"/>
        <v>-15</v>
      </c>
      <c r="K54" s="6" t="str">
        <f t="shared" si="1"/>
        <v>A~0</v>
      </c>
      <c r="L54" t="str">
        <f>IF(客戶明細!J54&lt;0,"A~0",VLOOKUP(客戶明細!J54,[1]作法V!$B$1:$C$9,2,TRUE))</f>
        <v>A~0</v>
      </c>
    </row>
    <row r="55" spans="1:12">
      <c r="A55">
        <v>1010</v>
      </c>
      <c r="B55" t="s">
        <v>134</v>
      </c>
      <c r="C55" s="3">
        <v>38574</v>
      </c>
      <c r="D55" s="3">
        <v>38701</v>
      </c>
      <c r="E55" t="s">
        <v>18</v>
      </c>
      <c r="F55">
        <v>1</v>
      </c>
      <c r="G55">
        <v>8080</v>
      </c>
      <c r="H55">
        <v>8080</v>
      </c>
      <c r="I55" s="4">
        <v>38686</v>
      </c>
      <c r="J55" s="5">
        <f t="shared" si="0"/>
        <v>-15</v>
      </c>
      <c r="K55" s="6" t="str">
        <f t="shared" si="1"/>
        <v>A~0</v>
      </c>
      <c r="L55" t="str">
        <f>IF(客戶明細!J55&lt;0,"A~0",VLOOKUP(客戶明細!J55,[1]作法V!$B$1:$C$9,2,TRUE))</f>
        <v>A~0</v>
      </c>
    </row>
    <row r="56" spans="1:12">
      <c r="A56">
        <v>1010</v>
      </c>
      <c r="B56" t="s">
        <v>134</v>
      </c>
      <c r="C56" s="3">
        <v>38574</v>
      </c>
      <c r="D56" s="3">
        <v>38701</v>
      </c>
      <c r="E56" t="s">
        <v>18</v>
      </c>
      <c r="F56">
        <v>1</v>
      </c>
      <c r="G56">
        <v>2950</v>
      </c>
      <c r="H56">
        <v>2950</v>
      </c>
      <c r="I56" s="4">
        <v>38686</v>
      </c>
      <c r="J56" s="5">
        <f t="shared" si="0"/>
        <v>-15</v>
      </c>
      <c r="K56" s="6" t="str">
        <f t="shared" si="1"/>
        <v>A~0</v>
      </c>
      <c r="L56" t="str">
        <f>IF(客戶明細!J56&lt;0,"A~0",VLOOKUP(客戶明細!J56,[1]作法V!$B$1:$C$9,2,TRUE))</f>
        <v>A~0</v>
      </c>
    </row>
    <row r="57" spans="1:12">
      <c r="A57">
        <v>1010</v>
      </c>
      <c r="B57" t="s">
        <v>134</v>
      </c>
      <c r="C57" s="3">
        <v>38588</v>
      </c>
      <c r="D57" s="3">
        <v>38701</v>
      </c>
      <c r="E57" t="s">
        <v>18</v>
      </c>
      <c r="F57">
        <v>1</v>
      </c>
      <c r="G57">
        <v>11645</v>
      </c>
      <c r="H57">
        <v>11645</v>
      </c>
      <c r="I57" s="4">
        <v>38686</v>
      </c>
      <c r="J57" s="5">
        <f t="shared" si="0"/>
        <v>-15</v>
      </c>
      <c r="K57" s="6" t="str">
        <f t="shared" si="1"/>
        <v>A~0</v>
      </c>
      <c r="L57" t="str">
        <f>IF(客戶明細!J57&lt;0,"A~0",VLOOKUP(客戶明細!J57,[1]作法V!$B$1:$C$9,2,TRUE))</f>
        <v>A~0</v>
      </c>
    </row>
    <row r="58" spans="1:12">
      <c r="A58">
        <v>1010</v>
      </c>
      <c r="B58" t="s">
        <v>134</v>
      </c>
      <c r="C58" s="3">
        <v>38594</v>
      </c>
      <c r="D58" s="3">
        <v>38732</v>
      </c>
      <c r="E58" t="s">
        <v>18</v>
      </c>
      <c r="F58">
        <v>1</v>
      </c>
      <c r="G58">
        <v>3210</v>
      </c>
      <c r="H58">
        <v>3210</v>
      </c>
      <c r="I58" s="4">
        <v>38686</v>
      </c>
      <c r="J58" s="5">
        <f t="shared" si="0"/>
        <v>-46</v>
      </c>
      <c r="K58" s="6" t="str">
        <f t="shared" si="1"/>
        <v>A~0</v>
      </c>
      <c r="L58" t="str">
        <f>IF(客戶明細!J58&lt;0,"A~0",VLOOKUP(客戶明細!J58,[1]作法V!$B$1:$C$9,2,TRUE))</f>
        <v>A~0</v>
      </c>
    </row>
    <row r="59" spans="1:12">
      <c r="A59">
        <v>1010</v>
      </c>
      <c r="B59" t="s">
        <v>134</v>
      </c>
      <c r="C59" s="3">
        <v>38594</v>
      </c>
      <c r="D59" s="3">
        <v>38732</v>
      </c>
      <c r="E59" t="s">
        <v>18</v>
      </c>
      <c r="F59">
        <v>1</v>
      </c>
      <c r="G59">
        <v>5940</v>
      </c>
      <c r="H59">
        <v>5940</v>
      </c>
      <c r="I59" s="4">
        <v>38686</v>
      </c>
      <c r="J59" s="5">
        <f t="shared" si="0"/>
        <v>-46</v>
      </c>
      <c r="K59" s="6" t="str">
        <f t="shared" si="1"/>
        <v>A~0</v>
      </c>
      <c r="L59" t="str">
        <f>IF(客戶明細!J59&lt;0,"A~0",VLOOKUP(客戶明細!J59,[1]作法V!$B$1:$C$9,2,TRUE))</f>
        <v>A~0</v>
      </c>
    </row>
    <row r="60" spans="1:12">
      <c r="A60">
        <v>1010</v>
      </c>
      <c r="B60" t="s">
        <v>134</v>
      </c>
      <c r="C60" s="3">
        <v>38594</v>
      </c>
      <c r="D60" s="3">
        <v>38732</v>
      </c>
      <c r="E60" t="s">
        <v>18</v>
      </c>
      <c r="F60">
        <v>1</v>
      </c>
      <c r="G60">
        <v>13975</v>
      </c>
      <c r="H60">
        <v>13975</v>
      </c>
      <c r="I60" s="4">
        <v>38686</v>
      </c>
      <c r="J60" s="5">
        <f t="shared" si="0"/>
        <v>-46</v>
      </c>
      <c r="K60" s="6" t="str">
        <f t="shared" si="1"/>
        <v>A~0</v>
      </c>
      <c r="L60" t="str">
        <f>IF(客戶明細!J60&lt;0,"A~0",VLOOKUP(客戶明細!J60,[1]作法V!$B$1:$C$9,2,TRUE))</f>
        <v>A~0</v>
      </c>
    </row>
    <row r="61" spans="1:12">
      <c r="A61">
        <v>1010</v>
      </c>
      <c r="B61" t="s">
        <v>134</v>
      </c>
      <c r="C61" s="3">
        <v>38594</v>
      </c>
      <c r="D61" s="3">
        <v>38732</v>
      </c>
      <c r="E61" t="s">
        <v>18</v>
      </c>
      <c r="F61">
        <v>1</v>
      </c>
      <c r="G61">
        <v>1521</v>
      </c>
      <c r="H61">
        <v>1521</v>
      </c>
      <c r="I61" s="4">
        <v>38686</v>
      </c>
      <c r="J61" s="5">
        <f t="shared" si="0"/>
        <v>-46</v>
      </c>
      <c r="K61" s="6" t="str">
        <f t="shared" si="1"/>
        <v>A~0</v>
      </c>
      <c r="L61" t="str">
        <f>IF(客戶明細!J61&lt;0,"A~0",VLOOKUP(客戶明細!J61,[1]作法V!$B$1:$C$9,2,TRUE))</f>
        <v>A~0</v>
      </c>
    </row>
    <row r="62" spans="1:12">
      <c r="A62">
        <v>1010</v>
      </c>
      <c r="B62" t="s">
        <v>134</v>
      </c>
      <c r="C62" s="3">
        <v>38594</v>
      </c>
      <c r="D62" s="3">
        <v>38732</v>
      </c>
      <c r="E62" t="s">
        <v>18</v>
      </c>
      <c r="F62">
        <v>1</v>
      </c>
      <c r="G62">
        <v>6084</v>
      </c>
      <c r="H62">
        <v>6084</v>
      </c>
      <c r="I62" s="4">
        <v>38686</v>
      </c>
      <c r="J62" s="5">
        <f t="shared" si="0"/>
        <v>-46</v>
      </c>
      <c r="K62" s="6" t="str">
        <f t="shared" si="1"/>
        <v>A~0</v>
      </c>
      <c r="L62" t="str">
        <f>IF(客戶明細!J62&lt;0,"A~0",VLOOKUP(客戶明細!J62,[1]作法V!$B$1:$C$9,2,TRUE))</f>
        <v>A~0</v>
      </c>
    </row>
    <row r="63" spans="1:12">
      <c r="A63">
        <v>1010</v>
      </c>
      <c r="B63" t="s">
        <v>134</v>
      </c>
      <c r="C63" s="3">
        <v>38594</v>
      </c>
      <c r="D63" s="3">
        <v>38732</v>
      </c>
      <c r="E63" t="s">
        <v>18</v>
      </c>
      <c r="F63">
        <v>1</v>
      </c>
      <c r="G63">
        <v>3275</v>
      </c>
      <c r="H63">
        <v>3275</v>
      </c>
      <c r="I63" s="4">
        <v>38686</v>
      </c>
      <c r="J63" s="5">
        <f t="shared" si="0"/>
        <v>-46</v>
      </c>
      <c r="K63" s="6" t="str">
        <f t="shared" si="1"/>
        <v>A~0</v>
      </c>
      <c r="L63" t="str">
        <f>IF(客戶明細!J63&lt;0,"A~0",VLOOKUP(客戶明細!J63,[1]作法V!$B$1:$C$9,2,TRUE))</f>
        <v>A~0</v>
      </c>
    </row>
    <row r="64" spans="1:12">
      <c r="A64">
        <v>1010</v>
      </c>
      <c r="B64" t="s">
        <v>134</v>
      </c>
      <c r="C64" s="3">
        <v>38594</v>
      </c>
      <c r="D64" s="3">
        <v>38732</v>
      </c>
      <c r="E64" t="s">
        <v>18</v>
      </c>
      <c r="F64">
        <v>1</v>
      </c>
      <c r="G64">
        <v>15050</v>
      </c>
      <c r="H64">
        <v>15050</v>
      </c>
      <c r="I64" s="4">
        <v>38686</v>
      </c>
      <c r="J64" s="5">
        <f t="shared" si="0"/>
        <v>-46</v>
      </c>
      <c r="K64" s="6" t="str">
        <f t="shared" si="1"/>
        <v>A~0</v>
      </c>
      <c r="L64" t="str">
        <f>IF(客戶明細!J64&lt;0,"A~0",VLOOKUP(客戶明細!J64,[1]作法V!$B$1:$C$9,2,TRUE))</f>
        <v>A~0</v>
      </c>
    </row>
    <row r="65" spans="1:12">
      <c r="A65">
        <v>1010</v>
      </c>
      <c r="B65" t="s">
        <v>134</v>
      </c>
      <c r="C65" s="3">
        <v>38594</v>
      </c>
      <c r="D65" s="3">
        <v>38732</v>
      </c>
      <c r="E65" t="s">
        <v>18</v>
      </c>
      <c r="F65">
        <v>1</v>
      </c>
      <c r="G65">
        <v>8865</v>
      </c>
      <c r="H65">
        <v>8865</v>
      </c>
      <c r="I65" s="4">
        <v>38686</v>
      </c>
      <c r="J65" s="5">
        <f t="shared" si="0"/>
        <v>-46</v>
      </c>
      <c r="K65" s="6" t="str">
        <f t="shared" si="1"/>
        <v>A~0</v>
      </c>
      <c r="L65" t="str">
        <f>IF(客戶明細!J65&lt;0,"A~0",VLOOKUP(客戶明細!J65,[1]作法V!$B$1:$C$9,2,TRUE))</f>
        <v>A~0</v>
      </c>
    </row>
    <row r="66" spans="1:12">
      <c r="A66">
        <v>1010</v>
      </c>
      <c r="B66" t="s">
        <v>134</v>
      </c>
      <c r="C66" s="3">
        <v>38597</v>
      </c>
      <c r="D66" s="3">
        <v>38732</v>
      </c>
      <c r="E66" t="s">
        <v>18</v>
      </c>
      <c r="F66">
        <v>1</v>
      </c>
      <c r="G66">
        <v>9310</v>
      </c>
      <c r="H66">
        <v>9310</v>
      </c>
      <c r="I66" s="4">
        <v>38686</v>
      </c>
      <c r="J66" s="5">
        <f t="shared" ref="J66:J129" si="2">I66-D66</f>
        <v>-46</v>
      </c>
      <c r="K66" s="6" t="str">
        <f t="shared" ref="K66:K129" si="3">IF(J66&lt;1,"A~0",IF(J66&lt;31,"B1~30",IF(J66&lt;61,"C31~60",IF(J66&lt;91,"D61~90",IF(J66&lt;121,"E91~120",IF(J66&lt;181,"F121~180",IF(J66&lt;361,"G181~360","H361~")))))))</f>
        <v>A~0</v>
      </c>
      <c r="L66" t="str">
        <f>IF(客戶明細!J66&lt;0,"A~0",VLOOKUP(客戶明細!J66,[1]作法V!$B$1:$C$9,2,TRUE))</f>
        <v>A~0</v>
      </c>
    </row>
    <row r="67" spans="1:12">
      <c r="A67">
        <v>1010</v>
      </c>
      <c r="B67" t="s">
        <v>134</v>
      </c>
      <c r="C67" s="3">
        <v>38597</v>
      </c>
      <c r="D67" s="3">
        <v>38732</v>
      </c>
      <c r="E67" t="s">
        <v>18</v>
      </c>
      <c r="F67">
        <v>1</v>
      </c>
      <c r="G67">
        <v>9030</v>
      </c>
      <c r="H67">
        <v>9030</v>
      </c>
      <c r="I67" s="4">
        <v>38686</v>
      </c>
      <c r="J67" s="5">
        <f t="shared" si="2"/>
        <v>-46</v>
      </c>
      <c r="K67" s="6" t="str">
        <f t="shared" si="3"/>
        <v>A~0</v>
      </c>
      <c r="L67" t="str">
        <f>IF(客戶明細!J67&lt;0,"A~0",VLOOKUP(客戶明細!J67,[1]作法V!$B$1:$C$9,2,TRUE))</f>
        <v>A~0</v>
      </c>
    </row>
    <row r="68" spans="1:12">
      <c r="A68">
        <v>1010</v>
      </c>
      <c r="B68" t="s">
        <v>134</v>
      </c>
      <c r="C68" s="3">
        <v>38597</v>
      </c>
      <c r="D68" s="3">
        <v>38732</v>
      </c>
      <c r="E68" t="s">
        <v>18</v>
      </c>
      <c r="F68">
        <v>1</v>
      </c>
      <c r="G68">
        <v>5850</v>
      </c>
      <c r="H68">
        <v>5850</v>
      </c>
      <c r="I68" s="4">
        <v>38686</v>
      </c>
      <c r="J68" s="5">
        <f t="shared" si="2"/>
        <v>-46</v>
      </c>
      <c r="K68" s="6" t="str">
        <f t="shared" si="3"/>
        <v>A~0</v>
      </c>
      <c r="L68" t="str">
        <f>IF(客戶明細!J68&lt;0,"A~0",VLOOKUP(客戶明細!J68,[1]作法V!$B$1:$C$9,2,TRUE))</f>
        <v>A~0</v>
      </c>
    </row>
    <row r="69" spans="1:12">
      <c r="A69">
        <v>1010</v>
      </c>
      <c r="B69" t="s">
        <v>134</v>
      </c>
      <c r="C69" s="3">
        <v>38597</v>
      </c>
      <c r="D69" s="3">
        <v>38732</v>
      </c>
      <c r="E69" t="s">
        <v>18</v>
      </c>
      <c r="F69">
        <v>1</v>
      </c>
      <c r="G69">
        <v>11645</v>
      </c>
      <c r="H69">
        <v>11645</v>
      </c>
      <c r="I69" s="4">
        <v>38686</v>
      </c>
      <c r="J69" s="5">
        <f t="shared" si="2"/>
        <v>-46</v>
      </c>
      <c r="K69" s="6" t="str">
        <f t="shared" si="3"/>
        <v>A~0</v>
      </c>
      <c r="L69" t="str">
        <f>IF(客戶明細!J69&lt;0,"A~0",VLOOKUP(客戶明細!J69,[1]作法V!$B$1:$C$9,2,TRUE))</f>
        <v>A~0</v>
      </c>
    </row>
    <row r="70" spans="1:12">
      <c r="A70">
        <v>1010</v>
      </c>
      <c r="B70" t="s">
        <v>134</v>
      </c>
      <c r="C70" s="3">
        <v>38602</v>
      </c>
      <c r="D70" s="3">
        <v>38732</v>
      </c>
      <c r="E70" t="s">
        <v>18</v>
      </c>
      <c r="F70">
        <v>1</v>
      </c>
      <c r="G70">
        <v>6248</v>
      </c>
      <c r="H70">
        <v>6248</v>
      </c>
      <c r="I70" s="4">
        <v>38686</v>
      </c>
      <c r="J70" s="5">
        <f t="shared" si="2"/>
        <v>-46</v>
      </c>
      <c r="K70" s="6" t="str">
        <f t="shared" si="3"/>
        <v>A~0</v>
      </c>
      <c r="L70" t="str">
        <f>IF(客戶明細!J70&lt;0,"A~0",VLOOKUP(客戶明細!J70,[1]作法V!$B$1:$C$9,2,TRUE))</f>
        <v>A~0</v>
      </c>
    </row>
    <row r="71" spans="1:12">
      <c r="A71">
        <v>1010</v>
      </c>
      <c r="B71" t="s">
        <v>134</v>
      </c>
      <c r="C71" s="3">
        <v>38602</v>
      </c>
      <c r="D71" s="3">
        <v>38732</v>
      </c>
      <c r="E71" t="s">
        <v>18</v>
      </c>
      <c r="F71">
        <v>1</v>
      </c>
      <c r="G71">
        <v>5970</v>
      </c>
      <c r="H71">
        <v>5970</v>
      </c>
      <c r="I71" s="4">
        <v>38686</v>
      </c>
      <c r="J71" s="5">
        <f t="shared" si="2"/>
        <v>-46</v>
      </c>
      <c r="K71" s="6" t="str">
        <f t="shared" si="3"/>
        <v>A~0</v>
      </c>
      <c r="L71" t="str">
        <f>IF(客戶明細!J71&lt;0,"A~0",VLOOKUP(客戶明細!J71,[1]作法V!$B$1:$C$9,2,TRUE))</f>
        <v>A~0</v>
      </c>
    </row>
    <row r="72" spans="1:12">
      <c r="A72">
        <v>1010</v>
      </c>
      <c r="B72" t="s">
        <v>134</v>
      </c>
      <c r="C72" s="3">
        <v>38616</v>
      </c>
      <c r="D72" s="3">
        <v>38776</v>
      </c>
      <c r="E72" t="s">
        <v>18</v>
      </c>
      <c r="F72">
        <v>1</v>
      </c>
      <c r="G72">
        <v>3042</v>
      </c>
      <c r="H72">
        <v>3042</v>
      </c>
      <c r="I72" s="4">
        <v>38686</v>
      </c>
      <c r="J72" s="5">
        <f t="shared" si="2"/>
        <v>-90</v>
      </c>
      <c r="K72" s="6" t="str">
        <f t="shared" si="3"/>
        <v>A~0</v>
      </c>
      <c r="L72" t="str">
        <f>IF(客戶明細!J72&lt;0,"A~0",VLOOKUP(客戶明細!J72,[1]作法V!$B$1:$C$9,2,TRUE))</f>
        <v>A~0</v>
      </c>
    </row>
    <row r="73" spans="1:12">
      <c r="A73">
        <v>1010</v>
      </c>
      <c r="B73" t="s">
        <v>134</v>
      </c>
      <c r="C73" s="3">
        <v>38616</v>
      </c>
      <c r="D73" s="3">
        <v>38776</v>
      </c>
      <c r="E73" t="s">
        <v>18</v>
      </c>
      <c r="F73">
        <v>1</v>
      </c>
      <c r="G73">
        <v>1521</v>
      </c>
      <c r="H73">
        <v>1521</v>
      </c>
      <c r="I73" s="4">
        <v>38686</v>
      </c>
      <c r="J73" s="5">
        <f t="shared" si="2"/>
        <v>-90</v>
      </c>
      <c r="K73" s="6" t="str">
        <f t="shared" si="3"/>
        <v>A~0</v>
      </c>
      <c r="L73" t="str">
        <f>IF(客戶明細!J73&lt;0,"A~0",VLOOKUP(客戶明細!J73,[1]作法V!$B$1:$C$9,2,TRUE))</f>
        <v>A~0</v>
      </c>
    </row>
    <row r="74" spans="1:12">
      <c r="A74">
        <v>1010</v>
      </c>
      <c r="B74" t="s">
        <v>134</v>
      </c>
      <c r="C74" s="3">
        <v>38616</v>
      </c>
      <c r="D74" s="3">
        <v>38776</v>
      </c>
      <c r="E74" t="s">
        <v>18</v>
      </c>
      <c r="F74">
        <v>1</v>
      </c>
      <c r="G74">
        <v>1521</v>
      </c>
      <c r="H74">
        <v>1521</v>
      </c>
      <c r="I74" s="4">
        <v>38686</v>
      </c>
      <c r="J74" s="5">
        <f t="shared" si="2"/>
        <v>-90</v>
      </c>
      <c r="K74" s="6" t="str">
        <f t="shared" si="3"/>
        <v>A~0</v>
      </c>
      <c r="L74" t="str">
        <f>IF(客戶明細!J74&lt;0,"A~0",VLOOKUP(客戶明細!J74,[1]作法V!$B$1:$C$9,2,TRUE))</f>
        <v>A~0</v>
      </c>
    </row>
    <row r="75" spans="1:12">
      <c r="A75">
        <v>1010</v>
      </c>
      <c r="B75" t="s">
        <v>134</v>
      </c>
      <c r="C75" s="3">
        <v>38616</v>
      </c>
      <c r="D75" s="3">
        <v>38776</v>
      </c>
      <c r="E75" t="s">
        <v>18</v>
      </c>
      <c r="F75">
        <v>1</v>
      </c>
      <c r="G75">
        <v>3210</v>
      </c>
      <c r="H75">
        <v>3210</v>
      </c>
      <c r="I75" s="4">
        <v>38686</v>
      </c>
      <c r="J75" s="5">
        <f t="shared" si="2"/>
        <v>-90</v>
      </c>
      <c r="K75" s="6" t="str">
        <f t="shared" si="3"/>
        <v>A~0</v>
      </c>
      <c r="L75" t="str">
        <f>IF(客戶明細!J75&lt;0,"A~0",VLOOKUP(客戶明細!J75,[1]作法V!$B$1:$C$9,2,TRUE))</f>
        <v>A~0</v>
      </c>
    </row>
    <row r="76" spans="1:12">
      <c r="A76">
        <v>1010</v>
      </c>
      <c r="B76" t="s">
        <v>134</v>
      </c>
      <c r="C76" s="3">
        <v>38616</v>
      </c>
      <c r="D76" s="3">
        <v>38776</v>
      </c>
      <c r="E76" t="s">
        <v>18</v>
      </c>
      <c r="F76">
        <v>1</v>
      </c>
      <c r="G76">
        <v>6550</v>
      </c>
      <c r="H76">
        <v>6550</v>
      </c>
      <c r="I76" s="4">
        <v>38686</v>
      </c>
      <c r="J76" s="5">
        <f t="shared" si="2"/>
        <v>-90</v>
      </c>
      <c r="K76" s="6" t="str">
        <f t="shared" si="3"/>
        <v>A~0</v>
      </c>
      <c r="L76" t="str">
        <f>IF(客戶明細!J76&lt;0,"A~0",VLOOKUP(客戶明細!J76,[1]作法V!$B$1:$C$9,2,TRUE))</f>
        <v>A~0</v>
      </c>
    </row>
    <row r="77" spans="1:12">
      <c r="A77">
        <v>1010</v>
      </c>
      <c r="B77" t="s">
        <v>134</v>
      </c>
      <c r="C77" s="3">
        <v>38616</v>
      </c>
      <c r="D77" s="3">
        <v>38776</v>
      </c>
      <c r="E77" t="s">
        <v>18</v>
      </c>
      <c r="F77">
        <v>1</v>
      </c>
      <c r="G77">
        <v>13975</v>
      </c>
      <c r="H77">
        <v>13975</v>
      </c>
      <c r="I77" s="4">
        <v>38686</v>
      </c>
      <c r="J77" s="5">
        <f t="shared" si="2"/>
        <v>-90</v>
      </c>
      <c r="K77" s="6" t="str">
        <f t="shared" si="3"/>
        <v>A~0</v>
      </c>
      <c r="L77" t="str">
        <f>IF(客戶明細!J77&lt;0,"A~0",VLOOKUP(客戶明細!J77,[1]作法V!$B$1:$C$9,2,TRUE))</f>
        <v>A~0</v>
      </c>
    </row>
    <row r="78" spans="1:12">
      <c r="A78">
        <v>1010</v>
      </c>
      <c r="B78" t="s">
        <v>134</v>
      </c>
      <c r="C78" s="3">
        <v>38623</v>
      </c>
      <c r="D78" s="3">
        <v>38776</v>
      </c>
      <c r="E78" t="s">
        <v>18</v>
      </c>
      <c r="F78">
        <v>1</v>
      </c>
      <c r="G78">
        <v>30100</v>
      </c>
      <c r="H78">
        <v>30100</v>
      </c>
      <c r="I78" s="4">
        <v>38686</v>
      </c>
      <c r="J78" s="5">
        <f t="shared" si="2"/>
        <v>-90</v>
      </c>
      <c r="K78" s="6" t="str">
        <f t="shared" si="3"/>
        <v>A~0</v>
      </c>
      <c r="L78" t="str">
        <f>IF(客戶明細!J78&lt;0,"A~0",VLOOKUP(客戶明細!J78,[1]作法V!$B$1:$C$9,2,TRUE))</f>
        <v>A~0</v>
      </c>
    </row>
    <row r="79" spans="1:12">
      <c r="A79">
        <v>1010</v>
      </c>
      <c r="B79" t="s">
        <v>134</v>
      </c>
      <c r="C79" s="3">
        <v>38623</v>
      </c>
      <c r="D79" s="3">
        <v>38763</v>
      </c>
      <c r="E79" t="s">
        <v>18</v>
      </c>
      <c r="F79">
        <v>1</v>
      </c>
      <c r="G79">
        <v>4488</v>
      </c>
      <c r="H79">
        <v>4488</v>
      </c>
      <c r="I79" s="4">
        <v>38686</v>
      </c>
      <c r="J79" s="5">
        <f t="shared" si="2"/>
        <v>-77</v>
      </c>
      <c r="K79" s="6" t="str">
        <f t="shared" si="3"/>
        <v>A~0</v>
      </c>
      <c r="L79" t="str">
        <f>IF(客戶明細!J79&lt;0,"A~0",VLOOKUP(客戶明細!J79,[1]作法V!$B$1:$C$9,2,TRUE))</f>
        <v>A~0</v>
      </c>
    </row>
    <row r="80" spans="1:12">
      <c r="A80">
        <v>1010</v>
      </c>
      <c r="B80" t="s">
        <v>134</v>
      </c>
      <c r="C80" s="3">
        <v>38623</v>
      </c>
      <c r="D80" s="3">
        <v>38763</v>
      </c>
      <c r="E80" t="s">
        <v>18</v>
      </c>
      <c r="F80">
        <v>1</v>
      </c>
      <c r="G80">
        <v>8080</v>
      </c>
      <c r="H80">
        <v>8080</v>
      </c>
      <c r="I80" s="4">
        <v>38686</v>
      </c>
      <c r="J80" s="5">
        <f t="shared" si="2"/>
        <v>-77</v>
      </c>
      <c r="K80" s="6" t="str">
        <f t="shared" si="3"/>
        <v>A~0</v>
      </c>
      <c r="L80" t="str">
        <f>IF(客戶明細!J80&lt;0,"A~0",VLOOKUP(客戶明細!J80,[1]作法V!$B$1:$C$9,2,TRUE))</f>
        <v>A~0</v>
      </c>
    </row>
    <row r="81" spans="1:12">
      <c r="A81">
        <v>1010</v>
      </c>
      <c r="B81" t="s">
        <v>134</v>
      </c>
      <c r="C81" s="3">
        <v>38623</v>
      </c>
      <c r="D81" s="3">
        <v>38763</v>
      </c>
      <c r="E81" t="s">
        <v>18</v>
      </c>
      <c r="F81">
        <v>1</v>
      </c>
      <c r="G81">
        <v>2950</v>
      </c>
      <c r="H81">
        <v>2950</v>
      </c>
      <c r="I81" s="4">
        <v>38686</v>
      </c>
      <c r="J81" s="5">
        <f t="shared" si="2"/>
        <v>-77</v>
      </c>
      <c r="K81" s="6" t="str">
        <f t="shared" si="3"/>
        <v>A~0</v>
      </c>
      <c r="L81" t="str">
        <f>IF(客戶明細!J81&lt;0,"A~0",VLOOKUP(客戶明細!J81,[1]作法V!$B$1:$C$9,2,TRUE))</f>
        <v>A~0</v>
      </c>
    </row>
    <row r="82" spans="1:12">
      <c r="A82">
        <v>1010</v>
      </c>
      <c r="B82" t="s">
        <v>134</v>
      </c>
      <c r="C82" s="3">
        <v>38623</v>
      </c>
      <c r="D82" s="3">
        <v>38763</v>
      </c>
      <c r="E82" t="s">
        <v>18</v>
      </c>
      <c r="F82">
        <v>1</v>
      </c>
      <c r="G82">
        <v>9030</v>
      </c>
      <c r="H82">
        <v>9030</v>
      </c>
      <c r="I82" s="4">
        <v>38686</v>
      </c>
      <c r="J82" s="5">
        <f t="shared" si="2"/>
        <v>-77</v>
      </c>
      <c r="K82" s="6" t="str">
        <f t="shared" si="3"/>
        <v>A~0</v>
      </c>
      <c r="L82" t="str">
        <f>IF(客戶明細!J82&lt;0,"A~0",VLOOKUP(客戶明細!J82,[1]作法V!$B$1:$C$9,2,TRUE))</f>
        <v>A~0</v>
      </c>
    </row>
    <row r="83" spans="1:12">
      <c r="A83">
        <v>1010</v>
      </c>
      <c r="B83" t="s">
        <v>134</v>
      </c>
      <c r="C83" s="3">
        <v>38623</v>
      </c>
      <c r="D83" s="3">
        <v>38776</v>
      </c>
      <c r="E83" t="s">
        <v>18</v>
      </c>
      <c r="F83">
        <v>1</v>
      </c>
      <c r="G83">
        <v>5850</v>
      </c>
      <c r="H83">
        <v>5850</v>
      </c>
      <c r="I83" s="4">
        <v>38686</v>
      </c>
      <c r="J83" s="5">
        <f t="shared" si="2"/>
        <v>-90</v>
      </c>
      <c r="K83" s="6" t="str">
        <f t="shared" si="3"/>
        <v>A~0</v>
      </c>
      <c r="L83" t="str">
        <f>IF(客戶明細!J83&lt;0,"A~0",VLOOKUP(客戶明細!J83,[1]作法V!$B$1:$C$9,2,TRUE))</f>
        <v>A~0</v>
      </c>
    </row>
    <row r="84" spans="1:12">
      <c r="A84">
        <v>1010</v>
      </c>
      <c r="B84" t="s">
        <v>134</v>
      </c>
      <c r="C84" s="3">
        <v>38623</v>
      </c>
      <c r="D84" s="3">
        <v>38763</v>
      </c>
      <c r="E84" t="s">
        <v>18</v>
      </c>
      <c r="F84">
        <v>1</v>
      </c>
      <c r="G84">
        <v>9310</v>
      </c>
      <c r="H84">
        <v>9310</v>
      </c>
      <c r="I84" s="4">
        <v>38686</v>
      </c>
      <c r="J84" s="5">
        <f t="shared" si="2"/>
        <v>-77</v>
      </c>
      <c r="K84" s="6" t="str">
        <f t="shared" si="3"/>
        <v>A~0</v>
      </c>
      <c r="L84" t="str">
        <f>IF(客戶明細!J84&lt;0,"A~0",VLOOKUP(客戶明細!J84,[1]作法V!$B$1:$C$9,2,TRUE))</f>
        <v>A~0</v>
      </c>
    </row>
    <row r="85" spans="1:12">
      <c r="A85">
        <v>1010</v>
      </c>
      <c r="B85" t="s">
        <v>134</v>
      </c>
      <c r="C85" s="3">
        <v>38625</v>
      </c>
      <c r="D85" s="3">
        <v>38776</v>
      </c>
      <c r="E85" t="s">
        <v>18</v>
      </c>
      <c r="F85">
        <v>1</v>
      </c>
      <c r="G85">
        <v>9790</v>
      </c>
      <c r="H85">
        <v>9790</v>
      </c>
      <c r="I85" s="4">
        <v>38686</v>
      </c>
      <c r="J85" s="5">
        <f t="shared" si="2"/>
        <v>-90</v>
      </c>
      <c r="K85" s="6" t="str">
        <f t="shared" si="3"/>
        <v>A~0</v>
      </c>
      <c r="L85" t="str">
        <f>IF(客戶明細!J85&lt;0,"A~0",VLOOKUP(客戶明細!J85,[1]作法V!$B$1:$C$9,2,TRUE))</f>
        <v>A~0</v>
      </c>
    </row>
    <row r="86" spans="1:12">
      <c r="A86">
        <v>1010</v>
      </c>
      <c r="B86" t="s">
        <v>134</v>
      </c>
      <c r="C86" s="3">
        <v>38625</v>
      </c>
      <c r="D86" s="3">
        <v>38776</v>
      </c>
      <c r="E86" t="s">
        <v>18</v>
      </c>
      <c r="F86">
        <v>1</v>
      </c>
      <c r="G86">
        <v>11645</v>
      </c>
      <c r="H86">
        <v>11645</v>
      </c>
      <c r="I86" s="4">
        <v>38686</v>
      </c>
      <c r="J86" s="5">
        <f t="shared" si="2"/>
        <v>-90</v>
      </c>
      <c r="K86" s="6" t="str">
        <f t="shared" si="3"/>
        <v>A~0</v>
      </c>
      <c r="L86" t="str">
        <f>IF(客戶明細!J86&lt;0,"A~0",VLOOKUP(客戶明細!J86,[1]作法V!$B$1:$C$9,2,TRUE))</f>
        <v>A~0</v>
      </c>
    </row>
    <row r="87" spans="1:12">
      <c r="A87">
        <v>1010</v>
      </c>
      <c r="B87" t="s">
        <v>134</v>
      </c>
      <c r="C87" s="3">
        <v>38625</v>
      </c>
      <c r="D87" s="3">
        <v>38776</v>
      </c>
      <c r="E87" t="s">
        <v>18</v>
      </c>
      <c r="F87">
        <v>1</v>
      </c>
      <c r="G87">
        <v>9030</v>
      </c>
      <c r="H87">
        <v>9030</v>
      </c>
      <c r="I87" s="4">
        <v>38686</v>
      </c>
      <c r="J87" s="5">
        <f t="shared" si="2"/>
        <v>-90</v>
      </c>
      <c r="K87" s="6" t="str">
        <f t="shared" si="3"/>
        <v>A~0</v>
      </c>
      <c r="L87" t="str">
        <f>IF(客戶明細!J87&lt;0,"A~0",VLOOKUP(客戶明細!J87,[1]作法V!$B$1:$C$9,2,TRUE))</f>
        <v>A~0</v>
      </c>
    </row>
    <row r="88" spans="1:12">
      <c r="A88">
        <v>1010</v>
      </c>
      <c r="B88" t="s">
        <v>134</v>
      </c>
      <c r="C88" s="3">
        <v>38625</v>
      </c>
      <c r="D88" s="3">
        <v>38776</v>
      </c>
      <c r="E88" t="s">
        <v>18</v>
      </c>
      <c r="F88">
        <v>1</v>
      </c>
      <c r="G88">
        <v>8750</v>
      </c>
      <c r="H88">
        <v>8750</v>
      </c>
      <c r="I88" s="4">
        <v>38686</v>
      </c>
      <c r="J88" s="5">
        <f t="shared" si="2"/>
        <v>-90</v>
      </c>
      <c r="K88" s="6" t="str">
        <f t="shared" si="3"/>
        <v>A~0</v>
      </c>
      <c r="L88" t="str">
        <f>IF(客戶明細!J88&lt;0,"A~0",VLOOKUP(客戶明細!J88,[1]作法V!$B$1:$C$9,2,TRUE))</f>
        <v>A~0</v>
      </c>
    </row>
    <row r="89" spans="1:12">
      <c r="A89">
        <v>1010</v>
      </c>
      <c r="B89" t="s">
        <v>134</v>
      </c>
      <c r="C89" s="3">
        <v>38625</v>
      </c>
      <c r="D89" s="3">
        <v>38776</v>
      </c>
      <c r="E89" t="s">
        <v>18</v>
      </c>
      <c r="F89">
        <v>1</v>
      </c>
      <c r="G89">
        <v>3250</v>
      </c>
      <c r="H89">
        <v>3250</v>
      </c>
      <c r="I89" s="4">
        <v>38686</v>
      </c>
      <c r="J89" s="5">
        <f t="shared" si="2"/>
        <v>-90</v>
      </c>
      <c r="K89" s="6" t="str">
        <f t="shared" si="3"/>
        <v>A~0</v>
      </c>
      <c r="L89" t="str">
        <f>IF(客戶明細!J89&lt;0,"A~0",VLOOKUP(客戶明細!J89,[1]作法V!$B$1:$C$9,2,TRUE))</f>
        <v>A~0</v>
      </c>
    </row>
    <row r="90" spans="1:12">
      <c r="A90">
        <v>1010</v>
      </c>
      <c r="B90" t="s">
        <v>134</v>
      </c>
      <c r="C90" s="3">
        <v>38625</v>
      </c>
      <c r="D90" s="3">
        <v>38776</v>
      </c>
      <c r="E90" t="s">
        <v>18</v>
      </c>
      <c r="F90">
        <v>1</v>
      </c>
      <c r="G90">
        <v>13975</v>
      </c>
      <c r="H90">
        <v>13975</v>
      </c>
      <c r="I90" s="4">
        <v>38686</v>
      </c>
      <c r="J90" s="5">
        <f t="shared" si="2"/>
        <v>-90</v>
      </c>
      <c r="K90" s="6" t="str">
        <f t="shared" si="3"/>
        <v>A~0</v>
      </c>
      <c r="L90" t="str">
        <f>IF(客戶明細!J90&lt;0,"A~0",VLOOKUP(客戶明細!J90,[1]作法V!$B$1:$C$9,2,TRUE))</f>
        <v>A~0</v>
      </c>
    </row>
    <row r="91" spans="1:12">
      <c r="A91">
        <v>1010</v>
      </c>
      <c r="B91" t="s">
        <v>134</v>
      </c>
      <c r="C91" s="3">
        <v>38642</v>
      </c>
      <c r="D91" s="3">
        <v>38807</v>
      </c>
      <c r="E91" t="s">
        <v>18</v>
      </c>
      <c r="F91">
        <v>1</v>
      </c>
      <c r="G91">
        <v>3210</v>
      </c>
      <c r="H91">
        <v>3210</v>
      </c>
      <c r="I91" s="4">
        <v>38686</v>
      </c>
      <c r="J91" s="5">
        <f t="shared" si="2"/>
        <v>-121</v>
      </c>
      <c r="K91" s="6" t="str">
        <f t="shared" si="3"/>
        <v>A~0</v>
      </c>
      <c r="L91" t="str">
        <f>IF(客戶明細!J91&lt;0,"A~0",VLOOKUP(客戶明細!J91,[1]作法V!$B$1:$C$9,2,TRUE))</f>
        <v>A~0</v>
      </c>
    </row>
    <row r="92" spans="1:12">
      <c r="A92">
        <v>1010</v>
      </c>
      <c r="B92" t="s">
        <v>134</v>
      </c>
      <c r="C92" s="3">
        <v>38642</v>
      </c>
      <c r="D92" s="3">
        <v>38807</v>
      </c>
      <c r="E92" t="s">
        <v>18</v>
      </c>
      <c r="F92">
        <v>1</v>
      </c>
      <c r="G92">
        <v>4375</v>
      </c>
      <c r="H92">
        <v>4375</v>
      </c>
      <c r="I92" s="4">
        <v>38686</v>
      </c>
      <c r="J92" s="5">
        <f t="shared" si="2"/>
        <v>-121</v>
      </c>
      <c r="K92" s="6" t="str">
        <f t="shared" si="3"/>
        <v>A~0</v>
      </c>
      <c r="L92" t="str">
        <f>IF(客戶明細!J92&lt;0,"A~0",VLOOKUP(客戶明細!J92,[1]作法V!$B$1:$C$9,2,TRUE))</f>
        <v>A~0</v>
      </c>
    </row>
    <row r="93" spans="1:12">
      <c r="A93">
        <v>1010</v>
      </c>
      <c r="B93" t="s">
        <v>134</v>
      </c>
      <c r="C93" s="3">
        <v>38642</v>
      </c>
      <c r="D93" s="3">
        <v>38807</v>
      </c>
      <c r="E93" t="s">
        <v>18</v>
      </c>
      <c r="F93">
        <v>1</v>
      </c>
      <c r="G93">
        <v>3510</v>
      </c>
      <c r="H93">
        <v>3510</v>
      </c>
      <c r="I93" s="4">
        <v>38686</v>
      </c>
      <c r="J93" s="5">
        <f t="shared" si="2"/>
        <v>-121</v>
      </c>
      <c r="K93" s="6" t="str">
        <f t="shared" si="3"/>
        <v>A~0</v>
      </c>
      <c r="L93" t="str">
        <f>IF(客戶明細!J93&lt;0,"A~0",VLOOKUP(客戶明細!J93,[1]作法V!$B$1:$C$9,2,TRUE))</f>
        <v>A~0</v>
      </c>
    </row>
    <row r="94" spans="1:12">
      <c r="A94">
        <v>1010</v>
      </c>
      <c r="B94" t="s">
        <v>134</v>
      </c>
      <c r="C94" s="3">
        <v>38642</v>
      </c>
      <c r="D94" s="3">
        <v>38807</v>
      </c>
      <c r="E94" t="s">
        <v>18</v>
      </c>
      <c r="F94">
        <v>1</v>
      </c>
      <c r="G94">
        <v>18060</v>
      </c>
      <c r="H94">
        <v>18060</v>
      </c>
      <c r="I94" s="4">
        <v>38686</v>
      </c>
      <c r="J94" s="5">
        <f t="shared" si="2"/>
        <v>-121</v>
      </c>
      <c r="K94" s="6" t="str">
        <f t="shared" si="3"/>
        <v>A~0</v>
      </c>
      <c r="L94" t="str">
        <f>IF(客戶明細!J94&lt;0,"A~0",VLOOKUP(客戶明細!J94,[1]作法V!$B$1:$C$9,2,TRUE))</f>
        <v>A~0</v>
      </c>
    </row>
    <row r="95" spans="1:12">
      <c r="A95">
        <v>1010</v>
      </c>
      <c r="B95" t="s">
        <v>134</v>
      </c>
      <c r="C95" s="3">
        <v>38645</v>
      </c>
      <c r="D95" s="3">
        <v>38807</v>
      </c>
      <c r="E95" t="s">
        <v>18</v>
      </c>
      <c r="F95">
        <v>1</v>
      </c>
      <c r="G95">
        <v>3850</v>
      </c>
      <c r="H95">
        <v>3850</v>
      </c>
      <c r="I95" s="4">
        <v>38686</v>
      </c>
      <c r="J95" s="5">
        <f t="shared" si="2"/>
        <v>-121</v>
      </c>
      <c r="K95" s="6" t="str">
        <f t="shared" si="3"/>
        <v>A~0</v>
      </c>
      <c r="L95" t="str">
        <f>IF(客戶明細!J95&lt;0,"A~0",VLOOKUP(客戶明細!J95,[1]作法V!$B$1:$C$9,2,TRUE))</f>
        <v>A~0</v>
      </c>
    </row>
    <row r="96" spans="1:12">
      <c r="A96">
        <v>1010</v>
      </c>
      <c r="B96" t="s">
        <v>134</v>
      </c>
      <c r="C96" s="3">
        <v>38645</v>
      </c>
      <c r="D96" s="3">
        <v>38807</v>
      </c>
      <c r="E96" t="s">
        <v>18</v>
      </c>
      <c r="F96">
        <v>1</v>
      </c>
      <c r="G96">
        <v>10640</v>
      </c>
      <c r="H96">
        <v>10640</v>
      </c>
      <c r="I96" s="4">
        <v>38686</v>
      </c>
      <c r="J96" s="5">
        <f t="shared" si="2"/>
        <v>-121</v>
      </c>
      <c r="K96" s="6" t="str">
        <f t="shared" si="3"/>
        <v>A~0</v>
      </c>
      <c r="L96" t="str">
        <f>IF(客戶明細!J96&lt;0,"A~0",VLOOKUP(客戶明細!J96,[1]作法V!$B$1:$C$9,2,TRUE))</f>
        <v>A~0</v>
      </c>
    </row>
    <row r="97" spans="1:12">
      <c r="A97">
        <v>1010</v>
      </c>
      <c r="B97" t="s">
        <v>134</v>
      </c>
      <c r="C97" s="3">
        <v>38645</v>
      </c>
      <c r="D97" s="3">
        <v>38807</v>
      </c>
      <c r="E97" t="s">
        <v>18</v>
      </c>
      <c r="F97">
        <v>1</v>
      </c>
      <c r="G97">
        <v>16770</v>
      </c>
      <c r="H97">
        <v>16770</v>
      </c>
      <c r="I97" s="4">
        <v>38686</v>
      </c>
      <c r="J97" s="5">
        <f t="shared" si="2"/>
        <v>-121</v>
      </c>
      <c r="K97" s="6" t="str">
        <f t="shared" si="3"/>
        <v>A~0</v>
      </c>
      <c r="L97" t="str">
        <f>IF(客戶明細!J97&lt;0,"A~0",VLOOKUP(客戶明細!J97,[1]作法V!$B$1:$C$9,2,TRUE))</f>
        <v>A~0</v>
      </c>
    </row>
    <row r="98" spans="1:12">
      <c r="A98">
        <v>1010</v>
      </c>
      <c r="B98" t="s">
        <v>134</v>
      </c>
      <c r="C98" s="3">
        <v>38645</v>
      </c>
      <c r="D98" s="3">
        <v>38807</v>
      </c>
      <c r="E98" t="s">
        <v>18</v>
      </c>
      <c r="F98">
        <v>1</v>
      </c>
      <c r="G98">
        <v>3540</v>
      </c>
      <c r="H98">
        <v>3540</v>
      </c>
      <c r="I98" s="4">
        <v>38686</v>
      </c>
      <c r="J98" s="5">
        <f t="shared" si="2"/>
        <v>-121</v>
      </c>
      <c r="K98" s="6" t="str">
        <f t="shared" si="3"/>
        <v>A~0</v>
      </c>
      <c r="L98" t="str">
        <f>IF(客戶明細!J98&lt;0,"A~0",VLOOKUP(客戶明細!J98,[1]作法V!$B$1:$C$9,2,TRUE))</f>
        <v>A~0</v>
      </c>
    </row>
    <row r="99" spans="1:12">
      <c r="A99">
        <v>1010</v>
      </c>
      <c r="B99" t="s">
        <v>134</v>
      </c>
      <c r="C99" s="3">
        <v>38645</v>
      </c>
      <c r="D99" s="3">
        <v>38807</v>
      </c>
      <c r="E99" t="s">
        <v>18</v>
      </c>
      <c r="F99">
        <v>1</v>
      </c>
      <c r="G99">
        <v>3930</v>
      </c>
      <c r="H99">
        <v>3930</v>
      </c>
      <c r="I99" s="4">
        <v>38686</v>
      </c>
      <c r="J99" s="5">
        <f t="shared" si="2"/>
        <v>-121</v>
      </c>
      <c r="K99" s="6" t="str">
        <f t="shared" si="3"/>
        <v>A~0</v>
      </c>
      <c r="L99" t="str">
        <f>IF(客戶明細!J99&lt;0,"A~0",VLOOKUP(客戶明細!J99,[1]作法V!$B$1:$C$9,2,TRUE))</f>
        <v>A~0</v>
      </c>
    </row>
    <row r="100" spans="1:12">
      <c r="A100">
        <v>1010</v>
      </c>
      <c r="B100" t="s">
        <v>134</v>
      </c>
      <c r="C100" s="3">
        <v>38651</v>
      </c>
      <c r="D100" s="3">
        <v>38807</v>
      </c>
      <c r="E100" t="s">
        <v>18</v>
      </c>
      <c r="F100">
        <v>1</v>
      </c>
      <c r="G100">
        <v>9030</v>
      </c>
      <c r="H100">
        <v>9030</v>
      </c>
      <c r="I100" s="4">
        <v>38686</v>
      </c>
      <c r="J100" s="5">
        <f t="shared" si="2"/>
        <v>-121</v>
      </c>
      <c r="K100" s="6" t="str">
        <f t="shared" si="3"/>
        <v>A~0</v>
      </c>
      <c r="L100" t="str">
        <f>IF(客戶明細!J100&lt;0,"A~0",VLOOKUP(客戶明細!J100,[1]作法V!$B$1:$C$9,2,TRUE))</f>
        <v>A~0</v>
      </c>
    </row>
    <row r="101" spans="1:12">
      <c r="A101">
        <v>1010</v>
      </c>
      <c r="B101" t="s">
        <v>134</v>
      </c>
      <c r="C101" s="3">
        <v>38651</v>
      </c>
      <c r="D101" s="3">
        <v>38807</v>
      </c>
      <c r="E101" t="s">
        <v>18</v>
      </c>
      <c r="F101">
        <v>1</v>
      </c>
      <c r="G101">
        <v>7130</v>
      </c>
      <c r="H101">
        <v>7130</v>
      </c>
      <c r="I101" s="4">
        <v>38686</v>
      </c>
      <c r="J101" s="5">
        <f t="shared" si="2"/>
        <v>-121</v>
      </c>
      <c r="K101" s="6" t="str">
        <f t="shared" si="3"/>
        <v>A~0</v>
      </c>
      <c r="L101" t="str">
        <f>IF(客戶明細!J101&lt;0,"A~0",VLOOKUP(客戶明細!J101,[1]作法V!$B$1:$C$9,2,TRUE))</f>
        <v>A~0</v>
      </c>
    </row>
    <row r="102" spans="1:12">
      <c r="A102">
        <v>1010</v>
      </c>
      <c r="B102" t="s">
        <v>134</v>
      </c>
      <c r="C102" s="3">
        <v>38651</v>
      </c>
      <c r="D102" s="3">
        <v>38807</v>
      </c>
      <c r="E102" t="s">
        <v>18</v>
      </c>
      <c r="F102">
        <v>1</v>
      </c>
      <c r="G102">
        <v>2950</v>
      </c>
      <c r="H102">
        <v>2950</v>
      </c>
      <c r="I102" s="4">
        <v>38686</v>
      </c>
      <c r="J102" s="5">
        <f t="shared" si="2"/>
        <v>-121</v>
      </c>
      <c r="K102" s="6" t="str">
        <f t="shared" si="3"/>
        <v>A~0</v>
      </c>
      <c r="L102" t="str">
        <f>IF(客戶明細!J102&lt;0,"A~0",VLOOKUP(客戶明細!J102,[1]作法V!$B$1:$C$9,2,TRUE))</f>
        <v>A~0</v>
      </c>
    </row>
    <row r="103" spans="1:12">
      <c r="A103">
        <v>1010</v>
      </c>
      <c r="B103" t="s">
        <v>134</v>
      </c>
      <c r="C103" s="3">
        <v>38653</v>
      </c>
      <c r="D103" s="3">
        <v>38807</v>
      </c>
      <c r="E103" t="s">
        <v>18</v>
      </c>
      <c r="F103">
        <v>1</v>
      </c>
      <c r="G103">
        <v>8980</v>
      </c>
      <c r="H103">
        <v>8980</v>
      </c>
      <c r="I103" s="4">
        <v>38686</v>
      </c>
      <c r="J103" s="5">
        <f t="shared" si="2"/>
        <v>-121</v>
      </c>
      <c r="K103" s="6" t="str">
        <f t="shared" si="3"/>
        <v>A~0</v>
      </c>
      <c r="L103" t="str">
        <f>IF(客戶明細!J103&lt;0,"A~0",VLOOKUP(客戶明細!J103,[1]作法V!$B$1:$C$9,2,TRUE))</f>
        <v>A~0</v>
      </c>
    </row>
    <row r="104" spans="1:12">
      <c r="A104">
        <v>1010</v>
      </c>
      <c r="B104" t="s">
        <v>134</v>
      </c>
      <c r="C104" s="3">
        <v>38658</v>
      </c>
      <c r="D104" s="3">
        <v>38837</v>
      </c>
      <c r="E104" t="s">
        <v>18</v>
      </c>
      <c r="F104">
        <v>1</v>
      </c>
      <c r="G104">
        <v>9030</v>
      </c>
      <c r="H104">
        <v>9030</v>
      </c>
      <c r="I104" s="4">
        <v>38686</v>
      </c>
      <c r="J104" s="5">
        <f t="shared" si="2"/>
        <v>-151</v>
      </c>
      <c r="K104" s="6" t="str">
        <f t="shared" si="3"/>
        <v>A~0</v>
      </c>
      <c r="L104" t="str">
        <f>IF(客戶明細!J104&lt;0,"A~0",VLOOKUP(客戶明細!J104,[1]作法V!$B$1:$C$9,2,TRUE))</f>
        <v>A~0</v>
      </c>
    </row>
    <row r="105" spans="1:12">
      <c r="A105">
        <v>1010</v>
      </c>
      <c r="B105" t="s">
        <v>134</v>
      </c>
      <c r="C105" s="3">
        <v>38658</v>
      </c>
      <c r="D105" s="3">
        <v>38837</v>
      </c>
      <c r="E105" t="s">
        <v>18</v>
      </c>
      <c r="F105">
        <v>1</v>
      </c>
      <c r="G105">
        <v>23290</v>
      </c>
      <c r="H105">
        <v>23290</v>
      </c>
      <c r="I105" s="4">
        <v>38686</v>
      </c>
      <c r="J105" s="5">
        <f t="shared" si="2"/>
        <v>-151</v>
      </c>
      <c r="K105" s="6" t="str">
        <f t="shared" si="3"/>
        <v>A~0</v>
      </c>
      <c r="L105" t="str">
        <f>IF(客戶明細!J105&lt;0,"A~0",VLOOKUP(客戶明細!J105,[1]作法V!$B$1:$C$9,2,TRUE))</f>
        <v>A~0</v>
      </c>
    </row>
    <row r="106" spans="1:12">
      <c r="A106">
        <v>1010</v>
      </c>
      <c r="B106" t="s">
        <v>134</v>
      </c>
      <c r="C106" s="3">
        <v>38658</v>
      </c>
      <c r="D106" s="3">
        <v>38837</v>
      </c>
      <c r="E106" t="s">
        <v>18</v>
      </c>
      <c r="F106">
        <v>1</v>
      </c>
      <c r="G106">
        <v>5940</v>
      </c>
      <c r="H106">
        <v>5940</v>
      </c>
      <c r="I106" s="4">
        <v>38686</v>
      </c>
      <c r="J106" s="5">
        <f t="shared" si="2"/>
        <v>-151</v>
      </c>
      <c r="K106" s="6" t="str">
        <f t="shared" si="3"/>
        <v>A~0</v>
      </c>
      <c r="L106" t="str">
        <f>IF(客戶明細!J106&lt;0,"A~0",VLOOKUP(客戶明細!J106,[1]作法V!$B$1:$C$9,2,TRUE))</f>
        <v>A~0</v>
      </c>
    </row>
    <row r="107" spans="1:12">
      <c r="A107">
        <v>1010</v>
      </c>
      <c r="B107" t="s">
        <v>134</v>
      </c>
      <c r="C107" s="3">
        <v>38658</v>
      </c>
      <c r="D107" s="3">
        <v>38837</v>
      </c>
      <c r="E107" t="s">
        <v>18</v>
      </c>
      <c r="F107">
        <v>1</v>
      </c>
      <c r="G107">
        <v>11645</v>
      </c>
      <c r="H107">
        <v>11645</v>
      </c>
      <c r="I107" s="4">
        <v>38686</v>
      </c>
      <c r="J107" s="5">
        <f t="shared" si="2"/>
        <v>-151</v>
      </c>
      <c r="K107" s="6" t="str">
        <f t="shared" si="3"/>
        <v>A~0</v>
      </c>
      <c r="L107" t="str">
        <f>IF(客戶明細!J107&lt;0,"A~0",VLOOKUP(客戶明細!J107,[1]作法V!$B$1:$C$9,2,TRUE))</f>
        <v>A~0</v>
      </c>
    </row>
    <row r="108" spans="1:12">
      <c r="A108">
        <v>1010</v>
      </c>
      <c r="B108" t="s">
        <v>134</v>
      </c>
      <c r="C108" s="3">
        <v>38658</v>
      </c>
      <c r="D108" s="3">
        <v>38837</v>
      </c>
      <c r="E108" t="s">
        <v>18</v>
      </c>
      <c r="F108">
        <v>1</v>
      </c>
      <c r="G108">
        <v>4895</v>
      </c>
      <c r="H108">
        <v>4895</v>
      </c>
      <c r="I108" s="4">
        <v>38686</v>
      </c>
      <c r="J108" s="5">
        <f t="shared" si="2"/>
        <v>-151</v>
      </c>
      <c r="K108" s="6" t="str">
        <f t="shared" si="3"/>
        <v>A~0</v>
      </c>
      <c r="L108" t="str">
        <f>IF(客戶明細!J108&lt;0,"A~0",VLOOKUP(客戶明細!J108,[1]作法V!$B$1:$C$9,2,TRUE))</f>
        <v>A~0</v>
      </c>
    </row>
    <row r="109" spans="1:12">
      <c r="A109">
        <v>1010</v>
      </c>
      <c r="B109" t="s">
        <v>134</v>
      </c>
      <c r="C109" s="3">
        <v>38658</v>
      </c>
      <c r="D109" s="3">
        <v>38837</v>
      </c>
      <c r="E109" t="s">
        <v>18</v>
      </c>
      <c r="F109">
        <v>1</v>
      </c>
      <c r="G109">
        <v>8865</v>
      </c>
      <c r="H109">
        <v>8865</v>
      </c>
      <c r="I109" s="4">
        <v>38686</v>
      </c>
      <c r="J109" s="5">
        <f t="shared" si="2"/>
        <v>-151</v>
      </c>
      <c r="K109" s="6" t="str">
        <f t="shared" si="3"/>
        <v>A~0</v>
      </c>
      <c r="L109" t="str">
        <f>IF(客戶明細!J109&lt;0,"A~0",VLOOKUP(客戶明細!J109,[1]作法V!$B$1:$C$9,2,TRUE))</f>
        <v>A~0</v>
      </c>
    </row>
    <row r="110" spans="1:12">
      <c r="A110">
        <v>1010</v>
      </c>
      <c r="B110" t="s">
        <v>134</v>
      </c>
      <c r="C110" s="3">
        <v>38665</v>
      </c>
      <c r="D110" s="3">
        <v>38837</v>
      </c>
      <c r="E110" t="s">
        <v>18</v>
      </c>
      <c r="F110">
        <v>1</v>
      </c>
      <c r="G110">
        <v>2950</v>
      </c>
      <c r="H110">
        <v>2950</v>
      </c>
      <c r="I110" s="4">
        <v>38686</v>
      </c>
      <c r="J110" s="5">
        <f t="shared" si="2"/>
        <v>-151</v>
      </c>
      <c r="K110" s="6" t="str">
        <f t="shared" si="3"/>
        <v>A~0</v>
      </c>
      <c r="L110" t="str">
        <f>IF(客戶明細!J110&lt;0,"A~0",VLOOKUP(客戶明細!J110,[1]作法V!$B$1:$C$9,2,TRUE))</f>
        <v>A~0</v>
      </c>
    </row>
    <row r="111" spans="1:12">
      <c r="A111">
        <v>1010</v>
      </c>
      <c r="B111" t="s">
        <v>134</v>
      </c>
      <c r="C111" s="3">
        <v>38665</v>
      </c>
      <c r="D111" s="3">
        <v>38837</v>
      </c>
      <c r="E111" t="s">
        <v>18</v>
      </c>
      <c r="F111">
        <v>1</v>
      </c>
      <c r="G111">
        <v>7165</v>
      </c>
      <c r="H111">
        <v>7165</v>
      </c>
      <c r="I111" s="4">
        <v>38686</v>
      </c>
      <c r="J111" s="5">
        <f t="shared" si="2"/>
        <v>-151</v>
      </c>
      <c r="K111" s="6" t="str">
        <f t="shared" si="3"/>
        <v>A~0</v>
      </c>
      <c r="L111" t="str">
        <f>IF(客戶明細!J111&lt;0,"A~0",VLOOKUP(客戶明細!J111,[1]作法V!$B$1:$C$9,2,TRUE))</f>
        <v>A~0</v>
      </c>
    </row>
    <row r="112" spans="1:12">
      <c r="A112">
        <v>1010</v>
      </c>
      <c r="B112" t="s">
        <v>134</v>
      </c>
      <c r="C112" s="3">
        <v>38665</v>
      </c>
      <c r="D112" s="3">
        <v>38837</v>
      </c>
      <c r="E112" t="s">
        <v>18</v>
      </c>
      <c r="F112">
        <v>1</v>
      </c>
      <c r="G112">
        <v>3510</v>
      </c>
      <c r="H112">
        <v>3510</v>
      </c>
      <c r="I112" s="4">
        <v>38686</v>
      </c>
      <c r="J112" s="5">
        <f t="shared" si="2"/>
        <v>-151</v>
      </c>
      <c r="K112" s="6" t="str">
        <f t="shared" si="3"/>
        <v>A~0</v>
      </c>
      <c r="L112" t="str">
        <f>IF(客戶明細!J112&lt;0,"A~0",VLOOKUP(客戶明細!J112,[1]作法V!$B$1:$C$9,2,TRUE))</f>
        <v>A~0</v>
      </c>
    </row>
    <row r="113" spans="1:12">
      <c r="A113">
        <v>1010</v>
      </c>
      <c r="B113" t="s">
        <v>134</v>
      </c>
      <c r="C113" s="3">
        <v>38671</v>
      </c>
      <c r="D113" s="3">
        <v>38837</v>
      </c>
      <c r="E113" t="s">
        <v>18</v>
      </c>
      <c r="F113">
        <v>1</v>
      </c>
      <c r="G113">
        <v>5100</v>
      </c>
      <c r="H113">
        <v>5100</v>
      </c>
      <c r="I113" s="4">
        <v>38686</v>
      </c>
      <c r="J113" s="5">
        <f t="shared" si="2"/>
        <v>-151</v>
      </c>
      <c r="K113" s="6" t="str">
        <f t="shared" si="3"/>
        <v>A~0</v>
      </c>
      <c r="L113" t="str">
        <f>IF(客戶明細!J113&lt;0,"A~0",VLOOKUP(客戶明細!J113,[1]作法V!$B$1:$C$9,2,TRUE))</f>
        <v>A~0</v>
      </c>
    </row>
    <row r="114" spans="1:12">
      <c r="A114">
        <v>1010</v>
      </c>
      <c r="B114" t="s">
        <v>134</v>
      </c>
      <c r="C114" s="3">
        <v>38671</v>
      </c>
      <c r="D114" s="3">
        <v>38837</v>
      </c>
      <c r="E114" t="s">
        <v>18</v>
      </c>
      <c r="F114">
        <v>1</v>
      </c>
      <c r="G114">
        <v>11175</v>
      </c>
      <c r="H114">
        <v>11175</v>
      </c>
      <c r="I114" s="4">
        <v>38686</v>
      </c>
      <c r="J114" s="5">
        <f t="shared" si="2"/>
        <v>-151</v>
      </c>
      <c r="K114" s="6" t="str">
        <f t="shared" si="3"/>
        <v>A~0</v>
      </c>
      <c r="L114" t="str">
        <f>IF(客戶明細!J114&lt;0,"A~0",VLOOKUP(客戶明細!J114,[1]作法V!$B$1:$C$9,2,TRUE))</f>
        <v>A~0</v>
      </c>
    </row>
    <row r="115" spans="1:12">
      <c r="A115">
        <v>1010</v>
      </c>
      <c r="B115" t="s">
        <v>134</v>
      </c>
      <c r="C115" s="3">
        <v>38671</v>
      </c>
      <c r="D115" s="3">
        <v>38837</v>
      </c>
      <c r="E115" t="s">
        <v>18</v>
      </c>
      <c r="F115">
        <v>1</v>
      </c>
      <c r="G115">
        <v>9700</v>
      </c>
      <c r="H115">
        <v>9700</v>
      </c>
      <c r="I115" s="4">
        <v>38686</v>
      </c>
      <c r="J115" s="5">
        <f t="shared" si="2"/>
        <v>-151</v>
      </c>
      <c r="K115" s="6" t="str">
        <f t="shared" si="3"/>
        <v>A~0</v>
      </c>
      <c r="L115" t="str">
        <f>IF(客戶明細!J115&lt;0,"A~0",VLOOKUP(客戶明細!J115,[1]作法V!$B$1:$C$9,2,TRUE))</f>
        <v>A~0</v>
      </c>
    </row>
    <row r="116" spans="1:12">
      <c r="A116">
        <v>1010</v>
      </c>
      <c r="B116" t="s">
        <v>134</v>
      </c>
      <c r="C116" s="3">
        <v>38671</v>
      </c>
      <c r="D116" s="3">
        <v>38837</v>
      </c>
      <c r="E116" t="s">
        <v>18</v>
      </c>
      <c r="F116">
        <v>1</v>
      </c>
      <c r="G116">
        <v>9030</v>
      </c>
      <c r="H116">
        <v>9030</v>
      </c>
      <c r="I116" s="4">
        <v>38686</v>
      </c>
      <c r="J116" s="5">
        <f t="shared" si="2"/>
        <v>-151</v>
      </c>
      <c r="K116" s="6" t="str">
        <f t="shared" si="3"/>
        <v>A~0</v>
      </c>
      <c r="L116" t="str">
        <f>IF(客戶明細!J116&lt;0,"A~0",VLOOKUP(客戶明細!J116,[1]作法V!$B$1:$C$9,2,TRUE))</f>
        <v>A~0</v>
      </c>
    </row>
    <row r="117" spans="1:12">
      <c r="A117">
        <v>1010</v>
      </c>
      <c r="B117" t="s">
        <v>134</v>
      </c>
      <c r="C117" s="3">
        <v>38671</v>
      </c>
      <c r="D117" s="3">
        <v>38837</v>
      </c>
      <c r="E117" t="s">
        <v>18</v>
      </c>
      <c r="F117">
        <v>1</v>
      </c>
      <c r="G117">
        <v>19400</v>
      </c>
      <c r="H117">
        <v>19400</v>
      </c>
      <c r="I117" s="4">
        <v>38686</v>
      </c>
      <c r="J117" s="5">
        <f t="shared" si="2"/>
        <v>-151</v>
      </c>
      <c r="K117" s="6" t="str">
        <f t="shared" si="3"/>
        <v>A~0</v>
      </c>
      <c r="L117" t="str">
        <f>IF(客戶明細!J117&lt;0,"A~0",VLOOKUP(客戶明細!J117,[1]作法V!$B$1:$C$9,2,TRUE))</f>
        <v>A~0</v>
      </c>
    </row>
    <row r="118" spans="1:12">
      <c r="A118">
        <v>1010</v>
      </c>
      <c r="B118" t="s">
        <v>134</v>
      </c>
      <c r="C118" s="3">
        <v>38671</v>
      </c>
      <c r="D118" s="3">
        <v>38837</v>
      </c>
      <c r="E118" t="s">
        <v>18</v>
      </c>
      <c r="F118">
        <v>1</v>
      </c>
      <c r="G118">
        <v>4250</v>
      </c>
      <c r="H118">
        <v>4250</v>
      </c>
      <c r="I118" s="4">
        <v>38686</v>
      </c>
      <c r="J118" s="5">
        <f t="shared" si="2"/>
        <v>-151</v>
      </c>
      <c r="K118" s="6" t="str">
        <f t="shared" si="3"/>
        <v>A~0</v>
      </c>
      <c r="L118" t="str">
        <f>IF(客戶明細!J118&lt;0,"A~0",VLOOKUP(客戶明細!J118,[1]作法V!$B$1:$C$9,2,TRUE))</f>
        <v>A~0</v>
      </c>
    </row>
    <row r="119" spans="1:12">
      <c r="A119">
        <v>1010</v>
      </c>
      <c r="B119" t="s">
        <v>134</v>
      </c>
      <c r="C119" s="3">
        <v>38671</v>
      </c>
      <c r="D119" s="3">
        <v>38837</v>
      </c>
      <c r="E119" t="s">
        <v>18</v>
      </c>
      <c r="F119">
        <v>1</v>
      </c>
      <c r="G119">
        <v>3500</v>
      </c>
      <c r="H119">
        <v>3500</v>
      </c>
      <c r="I119" s="4">
        <v>38686</v>
      </c>
      <c r="J119" s="5">
        <f t="shared" si="2"/>
        <v>-151</v>
      </c>
      <c r="K119" s="6" t="str">
        <f t="shared" si="3"/>
        <v>A~0</v>
      </c>
      <c r="L119" t="str">
        <f>IF(客戶明細!J119&lt;0,"A~0",VLOOKUP(客戶明細!J119,[1]作法V!$B$1:$C$9,2,TRUE))</f>
        <v>A~0</v>
      </c>
    </row>
    <row r="120" spans="1:12">
      <c r="A120">
        <v>1010</v>
      </c>
      <c r="B120" t="s">
        <v>134</v>
      </c>
      <c r="C120" s="3">
        <v>38671</v>
      </c>
      <c r="D120" s="3">
        <v>38837</v>
      </c>
      <c r="E120" t="s">
        <v>18</v>
      </c>
      <c r="F120">
        <v>1</v>
      </c>
      <c r="G120">
        <v>7350</v>
      </c>
      <c r="H120">
        <v>7350</v>
      </c>
      <c r="I120" s="4">
        <v>38686</v>
      </c>
      <c r="J120" s="5">
        <f t="shared" si="2"/>
        <v>-151</v>
      </c>
      <c r="K120" s="6" t="str">
        <f t="shared" si="3"/>
        <v>A~0</v>
      </c>
      <c r="L120" t="str">
        <f>IF(客戶明細!J120&lt;0,"A~0",VLOOKUP(客戶明細!J120,[1]作法V!$B$1:$C$9,2,TRUE))</f>
        <v>A~0</v>
      </c>
    </row>
    <row r="121" spans="1:12">
      <c r="A121">
        <v>1010</v>
      </c>
      <c r="B121" t="s">
        <v>134</v>
      </c>
      <c r="C121" s="3">
        <v>38678</v>
      </c>
      <c r="D121" s="3">
        <v>38837</v>
      </c>
      <c r="E121" t="s">
        <v>18</v>
      </c>
      <c r="F121">
        <v>1</v>
      </c>
      <c r="G121">
        <v>2950</v>
      </c>
      <c r="H121">
        <v>2950</v>
      </c>
      <c r="I121" s="4">
        <v>38686</v>
      </c>
      <c r="J121" s="5">
        <f t="shared" si="2"/>
        <v>-151</v>
      </c>
      <c r="K121" s="6" t="str">
        <f t="shared" si="3"/>
        <v>A~0</v>
      </c>
      <c r="L121" t="str">
        <f>IF(客戶明細!J121&lt;0,"A~0",VLOOKUP(客戶明細!J121,[1]作法V!$B$1:$C$9,2,TRUE))</f>
        <v>A~0</v>
      </c>
    </row>
    <row r="122" spans="1:12">
      <c r="A122">
        <v>1010</v>
      </c>
      <c r="B122" t="s">
        <v>134</v>
      </c>
      <c r="C122" s="3">
        <v>38678</v>
      </c>
      <c r="D122" s="3">
        <v>38837</v>
      </c>
      <c r="E122" t="s">
        <v>18</v>
      </c>
      <c r="F122">
        <v>1</v>
      </c>
      <c r="G122">
        <v>9030</v>
      </c>
      <c r="H122">
        <v>9030</v>
      </c>
      <c r="I122" s="4">
        <v>38686</v>
      </c>
      <c r="J122" s="5">
        <f t="shared" si="2"/>
        <v>-151</v>
      </c>
      <c r="K122" s="6" t="str">
        <f t="shared" si="3"/>
        <v>A~0</v>
      </c>
      <c r="L122" t="str">
        <f>IF(客戶明細!J122&lt;0,"A~0",VLOOKUP(客戶明細!J122,[1]作法V!$B$1:$C$9,2,TRUE))</f>
        <v>A~0</v>
      </c>
    </row>
    <row r="123" spans="1:12">
      <c r="A123">
        <v>1013</v>
      </c>
      <c r="B123" t="s">
        <v>65</v>
      </c>
      <c r="C123" s="3">
        <v>38562</v>
      </c>
      <c r="D123" s="3">
        <v>38712</v>
      </c>
      <c r="E123" t="s">
        <v>17</v>
      </c>
      <c r="F123">
        <v>31.89</v>
      </c>
      <c r="G123">
        <v>63.9</v>
      </c>
      <c r="H123">
        <v>2038</v>
      </c>
      <c r="I123" s="4">
        <v>38686</v>
      </c>
      <c r="J123" s="5">
        <f t="shared" si="2"/>
        <v>-26</v>
      </c>
      <c r="K123" s="6" t="str">
        <f t="shared" si="3"/>
        <v>A~0</v>
      </c>
      <c r="L123" t="str">
        <f>IF(客戶明細!J123&lt;0,"A~0",VLOOKUP(客戶明細!J123,[1]作法V!$B$1:$C$9,2,TRUE))</f>
        <v>A~0</v>
      </c>
    </row>
    <row r="124" spans="1:12">
      <c r="A124">
        <v>1014</v>
      </c>
      <c r="B124" t="s">
        <v>66</v>
      </c>
      <c r="C124" s="3">
        <v>38671</v>
      </c>
      <c r="D124" s="3">
        <v>38778</v>
      </c>
      <c r="E124" t="s">
        <v>18</v>
      </c>
      <c r="F124">
        <v>1</v>
      </c>
      <c r="G124">
        <v>2205</v>
      </c>
      <c r="H124">
        <v>2205</v>
      </c>
      <c r="I124" s="4">
        <v>38686</v>
      </c>
      <c r="J124" s="5">
        <f t="shared" si="2"/>
        <v>-92</v>
      </c>
      <c r="K124" s="6" t="str">
        <f t="shared" si="3"/>
        <v>A~0</v>
      </c>
      <c r="L124" t="str">
        <f>IF(J124&lt;0,"A~0",VLOOKUP(J124,[1]作法V!$B$1:$C$9,2,TRUE))</f>
        <v>A~0</v>
      </c>
    </row>
    <row r="125" spans="1:12">
      <c r="A125">
        <v>1019</v>
      </c>
      <c r="B125" t="s">
        <v>67</v>
      </c>
      <c r="C125" s="3">
        <v>38561</v>
      </c>
      <c r="D125" s="3">
        <v>38681</v>
      </c>
      <c r="E125" t="s">
        <v>18</v>
      </c>
      <c r="F125">
        <v>1</v>
      </c>
      <c r="G125">
        <v>1200</v>
      </c>
      <c r="H125">
        <v>1200</v>
      </c>
      <c r="I125" s="4">
        <v>38686</v>
      </c>
      <c r="J125" s="5">
        <f t="shared" si="2"/>
        <v>5</v>
      </c>
      <c r="K125" s="6" t="str">
        <f t="shared" si="3"/>
        <v>B1~30</v>
      </c>
      <c r="L125" t="str">
        <f>IF(J125&lt;0,"A~0",VLOOKUP(J125,[1]作法V!$B$1:$C$9,2,TRUE))</f>
        <v>B1~30</v>
      </c>
    </row>
    <row r="126" spans="1:12">
      <c r="A126">
        <v>1019</v>
      </c>
      <c r="B126" t="s">
        <v>67</v>
      </c>
      <c r="C126" s="3">
        <v>38597</v>
      </c>
      <c r="D126" s="3">
        <v>38681</v>
      </c>
      <c r="E126" t="s">
        <v>18</v>
      </c>
      <c r="F126">
        <v>1</v>
      </c>
      <c r="G126">
        <v>1829</v>
      </c>
      <c r="H126">
        <v>1829</v>
      </c>
      <c r="I126" s="4">
        <v>38686</v>
      </c>
      <c r="J126" s="5">
        <f t="shared" si="2"/>
        <v>5</v>
      </c>
      <c r="K126" s="6" t="str">
        <f t="shared" si="3"/>
        <v>B1~30</v>
      </c>
      <c r="L126" t="str">
        <f>IF(J126&lt;0,"A~0",VLOOKUP(J126,[1]作法V!$B$1:$C$9,2,TRUE))</f>
        <v>B1~30</v>
      </c>
    </row>
    <row r="127" spans="1:12">
      <c r="A127">
        <v>1019</v>
      </c>
      <c r="B127" t="s">
        <v>67</v>
      </c>
      <c r="C127" s="3">
        <v>38597</v>
      </c>
      <c r="D127" s="3">
        <v>38681</v>
      </c>
      <c r="E127" t="s">
        <v>18</v>
      </c>
      <c r="F127">
        <v>1</v>
      </c>
      <c r="G127">
        <v>14262</v>
      </c>
      <c r="H127">
        <v>14262</v>
      </c>
      <c r="I127" s="4">
        <v>38686</v>
      </c>
      <c r="J127" s="5">
        <f t="shared" si="2"/>
        <v>5</v>
      </c>
      <c r="K127" s="6" t="str">
        <f t="shared" si="3"/>
        <v>B1~30</v>
      </c>
      <c r="L127" t="str">
        <f>IF(J127&lt;0,"A~0",VLOOKUP(J127,[1]作法V!$B$1:$C$9,2,TRUE))</f>
        <v>B1~30</v>
      </c>
    </row>
    <row r="128" spans="1:12">
      <c r="A128">
        <v>1019</v>
      </c>
      <c r="B128" t="s">
        <v>67</v>
      </c>
      <c r="C128" s="3">
        <v>38597</v>
      </c>
      <c r="D128" s="3">
        <v>38681</v>
      </c>
      <c r="E128" t="s">
        <v>18</v>
      </c>
      <c r="F128">
        <v>1</v>
      </c>
      <c r="G128">
        <v>1829</v>
      </c>
      <c r="H128">
        <v>1829</v>
      </c>
      <c r="I128" s="4">
        <v>38686</v>
      </c>
      <c r="J128" s="5">
        <f t="shared" si="2"/>
        <v>5</v>
      </c>
      <c r="K128" s="6" t="str">
        <f t="shared" si="3"/>
        <v>B1~30</v>
      </c>
      <c r="L128" t="str">
        <f>IF(J128&lt;0,"A~0",VLOOKUP(J128,[1]作法V!$B$1:$C$9,2,TRUE))</f>
        <v>B1~30</v>
      </c>
    </row>
    <row r="129" spans="1:12">
      <c r="A129">
        <v>1019</v>
      </c>
      <c r="B129" t="s">
        <v>67</v>
      </c>
      <c r="C129" s="3">
        <v>38597</v>
      </c>
      <c r="D129" s="3">
        <v>38681</v>
      </c>
      <c r="E129" t="s">
        <v>18</v>
      </c>
      <c r="F129">
        <v>1</v>
      </c>
      <c r="G129">
        <v>4023</v>
      </c>
      <c r="H129">
        <v>4023</v>
      </c>
      <c r="I129" s="4">
        <v>38686</v>
      </c>
      <c r="J129" s="5">
        <f t="shared" si="2"/>
        <v>5</v>
      </c>
      <c r="K129" s="6" t="str">
        <f t="shared" si="3"/>
        <v>B1~30</v>
      </c>
      <c r="L129" t="str">
        <f>IF(J129&lt;0,"A~0",VLOOKUP(J129,[1]作法V!$B$1:$C$9,2,TRUE))</f>
        <v>B1~30</v>
      </c>
    </row>
    <row r="130" spans="1:12">
      <c r="A130">
        <v>1019</v>
      </c>
      <c r="B130" t="s">
        <v>67</v>
      </c>
      <c r="C130" s="3">
        <v>38597</v>
      </c>
      <c r="D130" s="3">
        <v>38681</v>
      </c>
      <c r="E130" t="s">
        <v>18</v>
      </c>
      <c r="F130">
        <v>1</v>
      </c>
      <c r="G130">
        <v>560</v>
      </c>
      <c r="H130">
        <v>560</v>
      </c>
      <c r="I130" s="4">
        <v>38686</v>
      </c>
      <c r="J130" s="5">
        <f t="shared" ref="J130:J193" si="4">I130-D130</f>
        <v>5</v>
      </c>
      <c r="K130" s="6" t="str">
        <f t="shared" ref="K130:K193" si="5">IF(J130&lt;1,"A~0",IF(J130&lt;31,"B1~30",IF(J130&lt;61,"C31~60",IF(J130&lt;91,"D61~90",IF(J130&lt;121,"E91~120",IF(J130&lt;181,"F121~180",IF(J130&lt;361,"G181~360","H361~")))))))</f>
        <v>B1~30</v>
      </c>
      <c r="L130" t="str">
        <f>IF(J130&lt;0,"A~0",VLOOKUP(J130,[1]作法V!$B$1:$C$9,2,TRUE))</f>
        <v>B1~30</v>
      </c>
    </row>
    <row r="131" spans="1:12">
      <c r="A131">
        <v>1019</v>
      </c>
      <c r="B131" t="s">
        <v>67</v>
      </c>
      <c r="C131" s="3">
        <v>38597</v>
      </c>
      <c r="D131" s="3">
        <v>38711</v>
      </c>
      <c r="E131" t="s">
        <v>18</v>
      </c>
      <c r="F131">
        <v>1</v>
      </c>
      <c r="G131">
        <v>320</v>
      </c>
      <c r="H131">
        <v>320</v>
      </c>
      <c r="I131" s="4">
        <v>38686</v>
      </c>
      <c r="J131" s="5">
        <f t="shared" si="4"/>
        <v>-25</v>
      </c>
      <c r="K131" s="6" t="str">
        <f t="shared" si="5"/>
        <v>A~0</v>
      </c>
      <c r="L131" t="str">
        <f>IF(J131&lt;0,"A~0",VLOOKUP(J131,[1]作法V!$B$1:$C$9,2,TRUE))</f>
        <v>A~0</v>
      </c>
    </row>
    <row r="132" spans="1:12">
      <c r="A132">
        <v>1019</v>
      </c>
      <c r="B132" t="s">
        <v>67</v>
      </c>
      <c r="C132" s="3">
        <v>38597</v>
      </c>
      <c r="D132" s="3">
        <v>38681</v>
      </c>
      <c r="E132" t="s">
        <v>18</v>
      </c>
      <c r="F132">
        <v>1</v>
      </c>
      <c r="G132">
        <v>3120</v>
      </c>
      <c r="H132">
        <v>3120</v>
      </c>
      <c r="I132" s="4">
        <v>38686</v>
      </c>
      <c r="J132" s="5">
        <f t="shared" si="4"/>
        <v>5</v>
      </c>
      <c r="K132" s="6" t="str">
        <f t="shared" si="5"/>
        <v>B1~30</v>
      </c>
      <c r="L132" t="str">
        <f>IF(J132&lt;0,"A~0",VLOOKUP(J132,[1]作法V!$B$1:$C$9,2,TRUE))</f>
        <v>B1~30</v>
      </c>
    </row>
    <row r="133" spans="1:12">
      <c r="A133">
        <v>1019</v>
      </c>
      <c r="B133" t="s">
        <v>67</v>
      </c>
      <c r="C133" s="3">
        <v>38597</v>
      </c>
      <c r="D133" s="3">
        <v>38681</v>
      </c>
      <c r="E133" t="s">
        <v>18</v>
      </c>
      <c r="F133">
        <v>1</v>
      </c>
      <c r="G133">
        <v>400</v>
      </c>
      <c r="H133">
        <v>400</v>
      </c>
      <c r="I133" s="4">
        <v>38686</v>
      </c>
      <c r="J133" s="5">
        <f t="shared" si="4"/>
        <v>5</v>
      </c>
      <c r="K133" s="6" t="str">
        <f t="shared" si="5"/>
        <v>B1~30</v>
      </c>
      <c r="L133" t="str">
        <f>IF(J133&lt;0,"A~0",VLOOKUP(J133,[1]作法V!$B$1:$C$9,2,TRUE))</f>
        <v>B1~30</v>
      </c>
    </row>
    <row r="134" spans="1:12">
      <c r="A134">
        <v>1019</v>
      </c>
      <c r="B134" t="s">
        <v>67</v>
      </c>
      <c r="C134" s="3">
        <v>38597</v>
      </c>
      <c r="D134" s="3">
        <v>38681</v>
      </c>
      <c r="E134" t="s">
        <v>18</v>
      </c>
      <c r="F134">
        <v>1</v>
      </c>
      <c r="G134">
        <v>1600</v>
      </c>
      <c r="H134">
        <v>1600</v>
      </c>
      <c r="I134" s="4">
        <v>38686</v>
      </c>
      <c r="J134" s="5">
        <f t="shared" si="4"/>
        <v>5</v>
      </c>
      <c r="K134" s="6" t="str">
        <f t="shared" si="5"/>
        <v>B1~30</v>
      </c>
      <c r="L134" t="str">
        <f>IF(J134&lt;0,"A~0",VLOOKUP(J134,[1]作法V!$B$1:$C$9,2,TRUE))</f>
        <v>B1~30</v>
      </c>
    </row>
    <row r="135" spans="1:12">
      <c r="A135">
        <v>1019</v>
      </c>
      <c r="B135" t="s">
        <v>67</v>
      </c>
      <c r="C135" s="3">
        <v>38616</v>
      </c>
      <c r="D135" s="3">
        <v>38711</v>
      </c>
      <c r="E135" t="s">
        <v>18</v>
      </c>
      <c r="F135">
        <v>1</v>
      </c>
      <c r="G135">
        <v>130680</v>
      </c>
      <c r="H135">
        <v>130680</v>
      </c>
      <c r="I135" s="4">
        <v>38686</v>
      </c>
      <c r="J135" s="5">
        <f t="shared" si="4"/>
        <v>-25</v>
      </c>
      <c r="K135" s="6" t="str">
        <f t="shared" si="5"/>
        <v>A~0</v>
      </c>
      <c r="L135" t="str">
        <f>IF(J135&lt;0,"A~0",VLOOKUP(J135,[1]作法V!$B$1:$C$9,2,TRUE))</f>
        <v>A~0</v>
      </c>
    </row>
    <row r="136" spans="1:12">
      <c r="A136">
        <v>1019</v>
      </c>
      <c r="B136" t="s">
        <v>67</v>
      </c>
      <c r="C136" s="3">
        <v>38616</v>
      </c>
      <c r="D136" s="3">
        <v>38711</v>
      </c>
      <c r="E136" t="s">
        <v>18</v>
      </c>
      <c r="F136">
        <v>1</v>
      </c>
      <c r="G136">
        <v>34</v>
      </c>
      <c r="H136">
        <v>34</v>
      </c>
      <c r="I136" s="4">
        <v>38686</v>
      </c>
      <c r="J136" s="5">
        <f t="shared" si="4"/>
        <v>-25</v>
      </c>
      <c r="K136" s="6" t="str">
        <f t="shared" si="5"/>
        <v>A~0</v>
      </c>
      <c r="L136" t="str">
        <f>IF(J136&lt;0,"A~0",VLOOKUP(J136,[1]作法V!$B$1:$C$9,2,TRUE))</f>
        <v>A~0</v>
      </c>
    </row>
    <row r="137" spans="1:12">
      <c r="A137">
        <v>1019</v>
      </c>
      <c r="B137" t="s">
        <v>67</v>
      </c>
      <c r="C137" s="3">
        <v>38616</v>
      </c>
      <c r="D137" s="3">
        <v>38711</v>
      </c>
      <c r="E137" t="s">
        <v>18</v>
      </c>
      <c r="F137">
        <v>1</v>
      </c>
      <c r="G137">
        <v>231</v>
      </c>
      <c r="H137">
        <v>231</v>
      </c>
      <c r="I137" s="4">
        <v>38686</v>
      </c>
      <c r="J137" s="5">
        <f t="shared" si="4"/>
        <v>-25</v>
      </c>
      <c r="K137" s="6" t="str">
        <f t="shared" si="5"/>
        <v>A~0</v>
      </c>
      <c r="L137" t="str">
        <f>IF(J137&lt;0,"A~0",VLOOKUP(J137,[1]作法V!$B$1:$C$9,2,TRUE))</f>
        <v>A~0</v>
      </c>
    </row>
    <row r="138" spans="1:12">
      <c r="A138">
        <v>1019</v>
      </c>
      <c r="B138" t="s">
        <v>67</v>
      </c>
      <c r="C138" s="3">
        <v>38616</v>
      </c>
      <c r="D138" s="3">
        <v>38711</v>
      </c>
      <c r="E138" t="s">
        <v>18</v>
      </c>
      <c r="F138">
        <v>1</v>
      </c>
      <c r="G138">
        <v>680</v>
      </c>
      <c r="H138">
        <v>680</v>
      </c>
      <c r="I138" s="4">
        <v>38686</v>
      </c>
      <c r="J138" s="5">
        <f t="shared" si="4"/>
        <v>-25</v>
      </c>
      <c r="K138" s="6" t="str">
        <f t="shared" si="5"/>
        <v>A~0</v>
      </c>
      <c r="L138" t="str">
        <f>IF(J138&lt;0,"A~0",VLOOKUP(J138,[1]作法V!$B$1:$C$9,2,TRUE))</f>
        <v>A~0</v>
      </c>
    </row>
    <row r="139" spans="1:12">
      <c r="A139">
        <v>1019</v>
      </c>
      <c r="B139" t="s">
        <v>67</v>
      </c>
      <c r="C139" s="3">
        <v>38616</v>
      </c>
      <c r="D139" s="3">
        <v>38711</v>
      </c>
      <c r="E139" t="s">
        <v>18</v>
      </c>
      <c r="F139">
        <v>1</v>
      </c>
      <c r="G139">
        <v>7</v>
      </c>
      <c r="H139">
        <v>7</v>
      </c>
      <c r="I139" s="4">
        <v>38686</v>
      </c>
      <c r="J139" s="5">
        <f t="shared" si="4"/>
        <v>-25</v>
      </c>
      <c r="K139" s="6" t="str">
        <f t="shared" si="5"/>
        <v>A~0</v>
      </c>
      <c r="L139" t="str">
        <f>IF(J139&lt;0,"A~0",VLOOKUP(J139,[1]作法V!$B$1:$C$9,2,TRUE))</f>
        <v>A~0</v>
      </c>
    </row>
    <row r="140" spans="1:12">
      <c r="A140">
        <v>1019</v>
      </c>
      <c r="B140" t="s">
        <v>67</v>
      </c>
      <c r="C140" s="3">
        <v>38616</v>
      </c>
      <c r="D140" s="3">
        <v>38711</v>
      </c>
      <c r="E140" t="s">
        <v>18</v>
      </c>
      <c r="F140">
        <v>1</v>
      </c>
      <c r="G140">
        <v>75</v>
      </c>
      <c r="H140">
        <v>75</v>
      </c>
      <c r="I140" s="4">
        <v>38686</v>
      </c>
      <c r="J140" s="5">
        <f t="shared" si="4"/>
        <v>-25</v>
      </c>
      <c r="K140" s="6" t="str">
        <f t="shared" si="5"/>
        <v>A~0</v>
      </c>
      <c r="L140" t="str">
        <f>IF(J140&lt;0,"A~0",VLOOKUP(J140,[1]作法V!$B$1:$C$9,2,TRUE))</f>
        <v>A~0</v>
      </c>
    </row>
    <row r="141" spans="1:12">
      <c r="A141">
        <v>1019</v>
      </c>
      <c r="B141" t="s">
        <v>67</v>
      </c>
      <c r="C141" s="3">
        <v>38616</v>
      </c>
      <c r="D141" s="3">
        <v>38711</v>
      </c>
      <c r="E141" t="s">
        <v>18</v>
      </c>
      <c r="F141">
        <v>1</v>
      </c>
      <c r="G141">
        <v>333</v>
      </c>
      <c r="H141">
        <v>333</v>
      </c>
      <c r="I141" s="4">
        <v>38686</v>
      </c>
      <c r="J141" s="5">
        <f t="shared" si="4"/>
        <v>-25</v>
      </c>
      <c r="K141" s="6" t="str">
        <f t="shared" si="5"/>
        <v>A~0</v>
      </c>
      <c r="L141" t="str">
        <f>IF(J141&lt;0,"A~0",VLOOKUP(J141,[1]作法V!$B$1:$C$9,2,TRUE))</f>
        <v>A~0</v>
      </c>
    </row>
    <row r="142" spans="1:12">
      <c r="A142">
        <v>1019</v>
      </c>
      <c r="B142" t="s">
        <v>67</v>
      </c>
      <c r="C142" s="3">
        <v>38616</v>
      </c>
      <c r="D142" s="3">
        <v>38711</v>
      </c>
      <c r="E142" t="s">
        <v>18</v>
      </c>
      <c r="F142">
        <v>1</v>
      </c>
      <c r="G142">
        <v>7</v>
      </c>
      <c r="H142">
        <v>7</v>
      </c>
      <c r="I142" s="4">
        <v>38686</v>
      </c>
      <c r="J142" s="5">
        <f t="shared" si="4"/>
        <v>-25</v>
      </c>
      <c r="K142" s="6" t="str">
        <f t="shared" si="5"/>
        <v>A~0</v>
      </c>
      <c r="L142" t="str">
        <f>IF(J142&lt;0,"A~0",VLOOKUP(J142,[1]作法V!$B$1:$C$9,2,TRUE))</f>
        <v>A~0</v>
      </c>
    </row>
    <row r="143" spans="1:12">
      <c r="A143">
        <v>1019</v>
      </c>
      <c r="B143" t="s">
        <v>67</v>
      </c>
      <c r="C143" s="3">
        <v>38616</v>
      </c>
      <c r="D143" s="3">
        <v>38711</v>
      </c>
      <c r="E143" t="s">
        <v>18</v>
      </c>
      <c r="F143">
        <v>1</v>
      </c>
      <c r="G143">
        <v>279</v>
      </c>
      <c r="H143">
        <v>279</v>
      </c>
      <c r="I143" s="4">
        <v>38686</v>
      </c>
      <c r="J143" s="5">
        <f t="shared" si="4"/>
        <v>-25</v>
      </c>
      <c r="K143" s="6" t="str">
        <f t="shared" si="5"/>
        <v>A~0</v>
      </c>
      <c r="L143" t="str">
        <f>IF(J143&lt;0,"A~0",VLOOKUP(J143,[1]作法V!$B$1:$C$9,2,TRUE))</f>
        <v>A~0</v>
      </c>
    </row>
    <row r="144" spans="1:12">
      <c r="A144">
        <v>1019</v>
      </c>
      <c r="B144" t="s">
        <v>67</v>
      </c>
      <c r="C144" s="3">
        <v>38616</v>
      </c>
      <c r="D144" s="3">
        <v>38711</v>
      </c>
      <c r="E144" t="s">
        <v>18</v>
      </c>
      <c r="F144">
        <v>1</v>
      </c>
      <c r="G144">
        <v>41</v>
      </c>
      <c r="H144">
        <v>41</v>
      </c>
      <c r="I144" s="4">
        <v>38686</v>
      </c>
      <c r="J144" s="5">
        <f t="shared" si="4"/>
        <v>-25</v>
      </c>
      <c r="K144" s="6" t="str">
        <f t="shared" si="5"/>
        <v>A~0</v>
      </c>
      <c r="L144" t="str">
        <f>IF(J144&lt;0,"A~0",VLOOKUP(J144,[1]作法V!$B$1:$C$9,2,TRUE))</f>
        <v>A~0</v>
      </c>
    </row>
    <row r="145" spans="1:12">
      <c r="A145">
        <v>1019</v>
      </c>
      <c r="B145" t="s">
        <v>67</v>
      </c>
      <c r="C145" s="3">
        <v>38616</v>
      </c>
      <c r="D145" s="3">
        <v>38711</v>
      </c>
      <c r="E145" t="s">
        <v>18</v>
      </c>
      <c r="F145">
        <v>1</v>
      </c>
      <c r="G145">
        <v>20</v>
      </c>
      <c r="H145">
        <v>20</v>
      </c>
      <c r="I145" s="4">
        <v>38686</v>
      </c>
      <c r="J145" s="5">
        <f t="shared" si="4"/>
        <v>-25</v>
      </c>
      <c r="K145" s="6" t="str">
        <f t="shared" si="5"/>
        <v>A~0</v>
      </c>
      <c r="L145" t="str">
        <f>IF(J145&lt;0,"A~0",VLOOKUP(J145,[1]作法V!$B$1:$C$9,2,TRUE))</f>
        <v>A~0</v>
      </c>
    </row>
    <row r="146" spans="1:12">
      <c r="A146">
        <v>1019</v>
      </c>
      <c r="B146" t="s">
        <v>67</v>
      </c>
      <c r="C146" s="3">
        <v>38616</v>
      </c>
      <c r="D146" s="3">
        <v>38711</v>
      </c>
      <c r="E146" t="s">
        <v>18</v>
      </c>
      <c r="F146">
        <v>1</v>
      </c>
      <c r="G146">
        <v>333</v>
      </c>
      <c r="H146">
        <v>333</v>
      </c>
      <c r="I146" s="4">
        <v>38686</v>
      </c>
      <c r="J146" s="5">
        <f t="shared" si="4"/>
        <v>-25</v>
      </c>
      <c r="K146" s="6" t="str">
        <f t="shared" si="5"/>
        <v>A~0</v>
      </c>
      <c r="L146" t="str">
        <f>IF(J146&lt;0,"A~0",VLOOKUP(J146,[1]作法V!$B$1:$C$9,2,TRUE))</f>
        <v>A~0</v>
      </c>
    </row>
    <row r="147" spans="1:12">
      <c r="A147">
        <v>1019</v>
      </c>
      <c r="B147" t="s">
        <v>67</v>
      </c>
      <c r="C147" s="3">
        <v>38616</v>
      </c>
      <c r="D147" s="3">
        <v>38711</v>
      </c>
      <c r="E147" t="s">
        <v>18</v>
      </c>
      <c r="F147">
        <v>1</v>
      </c>
      <c r="G147">
        <v>680</v>
      </c>
      <c r="H147">
        <v>680</v>
      </c>
      <c r="I147" s="4">
        <v>38686</v>
      </c>
      <c r="J147" s="5">
        <f t="shared" si="4"/>
        <v>-25</v>
      </c>
      <c r="K147" s="6" t="str">
        <f t="shared" si="5"/>
        <v>A~0</v>
      </c>
      <c r="L147" t="str">
        <f>IF(J147&lt;0,"A~0",VLOOKUP(J147,[1]作法V!$B$1:$C$9,2,TRUE))</f>
        <v>A~0</v>
      </c>
    </row>
    <row r="148" spans="1:12">
      <c r="A148">
        <v>1019</v>
      </c>
      <c r="B148" t="s">
        <v>67</v>
      </c>
      <c r="C148" s="3">
        <v>38631</v>
      </c>
      <c r="D148" s="3">
        <v>38742</v>
      </c>
      <c r="E148" t="s">
        <v>18</v>
      </c>
      <c r="F148">
        <v>1</v>
      </c>
      <c r="G148">
        <v>340</v>
      </c>
      <c r="H148">
        <v>340</v>
      </c>
      <c r="I148" s="4">
        <v>38686</v>
      </c>
      <c r="J148" s="5">
        <f t="shared" si="4"/>
        <v>-56</v>
      </c>
      <c r="K148" s="6" t="str">
        <f t="shared" si="5"/>
        <v>A~0</v>
      </c>
      <c r="L148" t="str">
        <f>IF(J148&lt;0,"A~0",VLOOKUP(J148,[1]作法V!$B$1:$C$9,2,TRUE))</f>
        <v>A~0</v>
      </c>
    </row>
    <row r="149" spans="1:12">
      <c r="A149">
        <v>1019</v>
      </c>
      <c r="B149" t="s">
        <v>67</v>
      </c>
      <c r="C149" s="3">
        <v>38631</v>
      </c>
      <c r="D149" s="3">
        <v>38742</v>
      </c>
      <c r="E149" t="s">
        <v>18</v>
      </c>
      <c r="F149">
        <v>1</v>
      </c>
      <c r="G149">
        <v>1360</v>
      </c>
      <c r="H149">
        <v>1360</v>
      </c>
      <c r="I149" s="4">
        <v>38686</v>
      </c>
      <c r="J149" s="5">
        <f t="shared" si="4"/>
        <v>-56</v>
      </c>
      <c r="K149" s="6" t="str">
        <f t="shared" si="5"/>
        <v>A~0</v>
      </c>
      <c r="L149" t="str">
        <f>IF(J149&lt;0,"A~0",VLOOKUP(J149,[1]作法V!$B$1:$C$9,2,TRUE))</f>
        <v>A~0</v>
      </c>
    </row>
    <row r="150" spans="1:12">
      <c r="A150">
        <v>1019</v>
      </c>
      <c r="B150" t="s">
        <v>67</v>
      </c>
      <c r="C150" s="3">
        <v>38631</v>
      </c>
      <c r="D150" s="3">
        <v>38742</v>
      </c>
      <c r="E150" t="s">
        <v>18</v>
      </c>
      <c r="F150">
        <v>1</v>
      </c>
      <c r="G150">
        <v>1360</v>
      </c>
      <c r="H150">
        <v>1360</v>
      </c>
      <c r="I150" s="4">
        <v>38686</v>
      </c>
      <c r="J150" s="5">
        <f t="shared" si="4"/>
        <v>-56</v>
      </c>
      <c r="K150" s="6" t="str">
        <f t="shared" si="5"/>
        <v>A~0</v>
      </c>
      <c r="L150" t="str">
        <f>IF(J150&lt;0,"A~0",VLOOKUP(J150,[1]作法V!$B$1:$C$9,2,TRUE))</f>
        <v>A~0</v>
      </c>
    </row>
    <row r="151" spans="1:12">
      <c r="A151">
        <v>1019</v>
      </c>
      <c r="B151" t="s">
        <v>67</v>
      </c>
      <c r="C151" s="3">
        <v>38631</v>
      </c>
      <c r="D151" s="3">
        <v>38742</v>
      </c>
      <c r="E151" t="s">
        <v>18</v>
      </c>
      <c r="F151">
        <v>1</v>
      </c>
      <c r="G151">
        <v>680</v>
      </c>
      <c r="H151">
        <v>680</v>
      </c>
      <c r="I151" s="4">
        <v>38686</v>
      </c>
      <c r="J151" s="5">
        <f t="shared" si="4"/>
        <v>-56</v>
      </c>
      <c r="K151" s="6" t="str">
        <f t="shared" si="5"/>
        <v>A~0</v>
      </c>
      <c r="L151" t="str">
        <f>IF(J151&lt;0,"A~0",VLOOKUP(J151,[1]作法V!$B$1:$C$9,2,TRUE))</f>
        <v>A~0</v>
      </c>
    </row>
    <row r="152" spans="1:12">
      <c r="A152">
        <v>1019</v>
      </c>
      <c r="B152" t="s">
        <v>67</v>
      </c>
      <c r="C152" s="3">
        <v>38631</v>
      </c>
      <c r="D152" s="3">
        <v>38742</v>
      </c>
      <c r="E152" t="s">
        <v>18</v>
      </c>
      <c r="F152">
        <v>1</v>
      </c>
      <c r="G152">
        <v>911</v>
      </c>
      <c r="H152">
        <v>911</v>
      </c>
      <c r="I152" s="4">
        <v>38686</v>
      </c>
      <c r="J152" s="5">
        <f t="shared" si="4"/>
        <v>-56</v>
      </c>
      <c r="K152" s="6" t="str">
        <f t="shared" si="5"/>
        <v>A~0</v>
      </c>
      <c r="L152" t="str">
        <f>IF(J152&lt;0,"A~0",VLOOKUP(J152,[1]作法V!$B$1:$C$9,2,TRUE))</f>
        <v>A~0</v>
      </c>
    </row>
    <row r="153" spans="1:12">
      <c r="A153">
        <v>1019</v>
      </c>
      <c r="B153" t="s">
        <v>67</v>
      </c>
      <c r="C153" s="3">
        <v>38631</v>
      </c>
      <c r="D153" s="3">
        <v>38742</v>
      </c>
      <c r="E153" t="s">
        <v>18</v>
      </c>
      <c r="F153">
        <v>1</v>
      </c>
      <c r="G153">
        <v>449</v>
      </c>
      <c r="H153">
        <v>449</v>
      </c>
      <c r="I153" s="4">
        <v>38686</v>
      </c>
      <c r="J153" s="5">
        <f t="shared" si="4"/>
        <v>-56</v>
      </c>
      <c r="K153" s="6" t="str">
        <f t="shared" si="5"/>
        <v>A~0</v>
      </c>
      <c r="L153" t="str">
        <f>IF(J153&lt;0,"A~0",VLOOKUP(J153,[1]作法V!$B$1:$C$9,2,TRUE))</f>
        <v>A~0</v>
      </c>
    </row>
    <row r="154" spans="1:12">
      <c r="A154">
        <v>1019</v>
      </c>
      <c r="B154" t="s">
        <v>67</v>
      </c>
      <c r="C154" s="3">
        <v>38631</v>
      </c>
      <c r="D154" s="3">
        <v>38742</v>
      </c>
      <c r="E154" t="s">
        <v>18</v>
      </c>
      <c r="F154">
        <v>1</v>
      </c>
      <c r="G154">
        <v>247320</v>
      </c>
      <c r="H154">
        <v>247320</v>
      </c>
      <c r="I154" s="4">
        <v>38686</v>
      </c>
      <c r="J154" s="5">
        <f t="shared" si="4"/>
        <v>-56</v>
      </c>
      <c r="K154" s="6" t="str">
        <f t="shared" si="5"/>
        <v>A~0</v>
      </c>
      <c r="L154" t="str">
        <f>IF(J154&lt;0,"A~0",VLOOKUP(J154,[1]作法V!$B$1:$C$9,2,TRUE))</f>
        <v>A~0</v>
      </c>
    </row>
    <row r="155" spans="1:12">
      <c r="A155">
        <v>1019</v>
      </c>
      <c r="B155" t="s">
        <v>67</v>
      </c>
      <c r="C155" s="3">
        <v>38631</v>
      </c>
      <c r="D155" s="3">
        <v>38742</v>
      </c>
      <c r="E155" t="s">
        <v>18</v>
      </c>
      <c r="F155">
        <v>1</v>
      </c>
      <c r="G155">
        <v>310680</v>
      </c>
      <c r="H155">
        <v>310680</v>
      </c>
      <c r="I155" s="4">
        <v>38686</v>
      </c>
      <c r="J155" s="5">
        <f t="shared" si="4"/>
        <v>-56</v>
      </c>
      <c r="K155" s="6" t="str">
        <f t="shared" si="5"/>
        <v>A~0</v>
      </c>
      <c r="L155" t="str">
        <f>IF(J155&lt;0,"A~0",VLOOKUP(J155,[1]作法V!$B$1:$C$9,2,TRUE))</f>
        <v>A~0</v>
      </c>
    </row>
    <row r="156" spans="1:12">
      <c r="A156">
        <v>1019</v>
      </c>
      <c r="B156" t="s">
        <v>67</v>
      </c>
      <c r="C156" s="3">
        <v>38638</v>
      </c>
      <c r="D156" s="3">
        <v>38742</v>
      </c>
      <c r="E156" t="s">
        <v>18</v>
      </c>
      <c r="F156">
        <v>1</v>
      </c>
      <c r="G156">
        <v>68</v>
      </c>
      <c r="H156">
        <v>68</v>
      </c>
      <c r="I156" s="4">
        <v>38686</v>
      </c>
      <c r="J156" s="5">
        <f t="shared" si="4"/>
        <v>-56</v>
      </c>
      <c r="K156" s="6" t="str">
        <f t="shared" si="5"/>
        <v>A~0</v>
      </c>
      <c r="L156" t="str">
        <f>IF(J156&lt;0,"A~0",VLOOKUP(J156,[1]作法V!$B$1:$C$9,2,TRUE))</f>
        <v>A~0</v>
      </c>
    </row>
    <row r="157" spans="1:12">
      <c r="A157">
        <v>1019</v>
      </c>
      <c r="B157" t="s">
        <v>67</v>
      </c>
      <c r="C157" s="3">
        <v>38658</v>
      </c>
      <c r="D157" s="3">
        <v>38773</v>
      </c>
      <c r="E157" t="s">
        <v>18</v>
      </c>
      <c r="F157">
        <v>1</v>
      </c>
      <c r="G157">
        <v>2489</v>
      </c>
      <c r="H157">
        <v>2489</v>
      </c>
      <c r="I157" s="4">
        <v>38686</v>
      </c>
      <c r="J157" s="5">
        <f t="shared" si="4"/>
        <v>-87</v>
      </c>
      <c r="K157" s="6" t="str">
        <f t="shared" si="5"/>
        <v>A~0</v>
      </c>
      <c r="L157" t="str">
        <f>IF(J157&lt;0,"A~0",VLOOKUP(J157,[1]作法V!$B$1:$C$9,2,TRUE))</f>
        <v>A~0</v>
      </c>
    </row>
    <row r="158" spans="1:12">
      <c r="A158">
        <v>1019</v>
      </c>
      <c r="B158" t="s">
        <v>67</v>
      </c>
      <c r="C158" s="3">
        <v>38658</v>
      </c>
      <c r="D158" s="3">
        <v>38773</v>
      </c>
      <c r="E158" t="s">
        <v>18</v>
      </c>
      <c r="F158">
        <v>1</v>
      </c>
      <c r="G158">
        <v>340</v>
      </c>
      <c r="H158">
        <v>340</v>
      </c>
      <c r="I158" s="4">
        <v>38686</v>
      </c>
      <c r="J158" s="5">
        <f t="shared" si="4"/>
        <v>-87</v>
      </c>
      <c r="K158" s="6" t="str">
        <f t="shared" si="5"/>
        <v>A~0</v>
      </c>
      <c r="L158" t="str">
        <f>IF(J158&lt;0,"A~0",VLOOKUP(J158,[1]作法V!$B$1:$C$9,2,TRUE))</f>
        <v>A~0</v>
      </c>
    </row>
    <row r="159" spans="1:12">
      <c r="A159">
        <v>1019</v>
      </c>
      <c r="B159" t="s">
        <v>67</v>
      </c>
      <c r="C159" s="3">
        <v>38658</v>
      </c>
      <c r="D159" s="3">
        <v>38773</v>
      </c>
      <c r="E159" t="s">
        <v>18</v>
      </c>
      <c r="F159">
        <v>1</v>
      </c>
      <c r="G159">
        <v>68</v>
      </c>
      <c r="H159">
        <v>68</v>
      </c>
      <c r="I159" s="4">
        <v>38686</v>
      </c>
      <c r="J159" s="5">
        <f t="shared" si="4"/>
        <v>-87</v>
      </c>
      <c r="K159" s="6" t="str">
        <f t="shared" si="5"/>
        <v>A~0</v>
      </c>
      <c r="L159" t="str">
        <f>IF(J159&lt;0,"A~0",VLOOKUP(J159,[1]作法V!$B$1:$C$9,2,TRUE))</f>
        <v>A~0</v>
      </c>
    </row>
    <row r="160" spans="1:12">
      <c r="A160">
        <v>1019</v>
      </c>
      <c r="B160" t="s">
        <v>67</v>
      </c>
      <c r="C160" s="3">
        <v>38658</v>
      </c>
      <c r="D160" s="3">
        <v>38773</v>
      </c>
      <c r="E160" t="s">
        <v>18</v>
      </c>
      <c r="F160">
        <v>1</v>
      </c>
      <c r="G160">
        <v>68</v>
      </c>
      <c r="H160">
        <v>68</v>
      </c>
      <c r="I160" s="4">
        <v>38686</v>
      </c>
      <c r="J160" s="5">
        <f t="shared" si="4"/>
        <v>-87</v>
      </c>
      <c r="K160" s="6" t="str">
        <f t="shared" si="5"/>
        <v>A~0</v>
      </c>
      <c r="L160" t="str">
        <f>IF(J160&lt;0,"A~0",VLOOKUP(J160,[1]作法V!$B$1:$C$9,2,TRUE))</f>
        <v>A~0</v>
      </c>
    </row>
    <row r="161" spans="1:12">
      <c r="A161">
        <v>1019</v>
      </c>
      <c r="B161" t="s">
        <v>67</v>
      </c>
      <c r="C161" s="3">
        <v>38658</v>
      </c>
      <c r="D161" s="3">
        <v>38773</v>
      </c>
      <c r="E161" t="s">
        <v>18</v>
      </c>
      <c r="F161">
        <v>1</v>
      </c>
      <c r="G161">
        <v>2992</v>
      </c>
      <c r="H161">
        <v>2992</v>
      </c>
      <c r="I161" s="4">
        <v>38686</v>
      </c>
      <c r="J161" s="5">
        <f t="shared" si="4"/>
        <v>-87</v>
      </c>
      <c r="K161" s="6" t="str">
        <f t="shared" si="5"/>
        <v>A~0</v>
      </c>
      <c r="L161" t="str">
        <f>IF(J161&lt;0,"A~0",VLOOKUP(J161,[1]作法V!$B$1:$C$9,2,TRUE))</f>
        <v>A~0</v>
      </c>
    </row>
    <row r="162" spans="1:12">
      <c r="A162">
        <v>1019</v>
      </c>
      <c r="B162" t="s">
        <v>67</v>
      </c>
      <c r="C162" s="3">
        <v>38658</v>
      </c>
      <c r="D162" s="3">
        <v>38773</v>
      </c>
      <c r="E162" t="s">
        <v>18</v>
      </c>
      <c r="F162">
        <v>1</v>
      </c>
      <c r="G162">
        <v>340</v>
      </c>
      <c r="H162">
        <v>340</v>
      </c>
      <c r="I162" s="4">
        <v>38686</v>
      </c>
      <c r="J162" s="5">
        <f t="shared" si="4"/>
        <v>-87</v>
      </c>
      <c r="K162" s="6" t="str">
        <f t="shared" si="5"/>
        <v>A~0</v>
      </c>
      <c r="L162" t="str">
        <f>IF(J162&lt;0,"A~0",VLOOKUP(J162,[1]作法V!$B$1:$C$9,2,TRUE))</f>
        <v>A~0</v>
      </c>
    </row>
    <row r="163" spans="1:12">
      <c r="A163">
        <v>1019</v>
      </c>
      <c r="B163" t="s">
        <v>67</v>
      </c>
      <c r="C163" s="3">
        <v>38665</v>
      </c>
      <c r="D163" s="3">
        <v>38773</v>
      </c>
      <c r="E163" t="s">
        <v>18</v>
      </c>
      <c r="F163">
        <v>1</v>
      </c>
      <c r="G163">
        <v>4000</v>
      </c>
      <c r="H163">
        <v>4000</v>
      </c>
      <c r="I163" s="4">
        <v>38686</v>
      </c>
      <c r="J163" s="5">
        <f t="shared" si="4"/>
        <v>-87</v>
      </c>
      <c r="K163" s="6" t="str">
        <f t="shared" si="5"/>
        <v>A~0</v>
      </c>
      <c r="L163" t="str">
        <f>IF(J163&lt;0,"A~0",VLOOKUP(J163,[1]作法V!$B$1:$C$9,2,TRUE))</f>
        <v>A~0</v>
      </c>
    </row>
    <row r="164" spans="1:12">
      <c r="A164">
        <v>1019</v>
      </c>
      <c r="B164" t="s">
        <v>67</v>
      </c>
      <c r="C164" s="3">
        <v>38665</v>
      </c>
      <c r="D164" s="3">
        <v>38773</v>
      </c>
      <c r="E164" t="s">
        <v>18</v>
      </c>
      <c r="F164">
        <v>1</v>
      </c>
      <c r="G164">
        <v>1440</v>
      </c>
      <c r="H164">
        <v>1440</v>
      </c>
      <c r="I164" s="4">
        <v>38686</v>
      </c>
      <c r="J164" s="5">
        <f t="shared" si="4"/>
        <v>-87</v>
      </c>
      <c r="K164" s="6" t="str">
        <f t="shared" si="5"/>
        <v>A~0</v>
      </c>
      <c r="L164" t="str">
        <f>IF(J164&lt;0,"A~0",VLOOKUP(J164,[1]作法V!$B$1:$C$9,2,TRUE))</f>
        <v>A~0</v>
      </c>
    </row>
    <row r="165" spans="1:12">
      <c r="A165">
        <v>1019</v>
      </c>
      <c r="B165" t="s">
        <v>67</v>
      </c>
      <c r="C165" s="3">
        <v>38665</v>
      </c>
      <c r="D165" s="3">
        <v>38773</v>
      </c>
      <c r="E165" t="s">
        <v>18</v>
      </c>
      <c r="F165">
        <v>1</v>
      </c>
      <c r="G165">
        <v>560</v>
      </c>
      <c r="H165">
        <v>560</v>
      </c>
      <c r="I165" s="4">
        <v>38686</v>
      </c>
      <c r="J165" s="5">
        <f t="shared" si="4"/>
        <v>-87</v>
      </c>
      <c r="K165" s="6" t="str">
        <f t="shared" si="5"/>
        <v>A~0</v>
      </c>
      <c r="L165" t="str">
        <f>IF(J165&lt;0,"A~0",VLOOKUP(J165,[1]作法V!$B$1:$C$9,2,TRUE))</f>
        <v>A~0</v>
      </c>
    </row>
    <row r="166" spans="1:12">
      <c r="A166">
        <v>1019</v>
      </c>
      <c r="B166" t="s">
        <v>67</v>
      </c>
      <c r="C166" s="3">
        <v>38667</v>
      </c>
      <c r="D166" s="3">
        <v>38773</v>
      </c>
      <c r="E166" t="s">
        <v>18</v>
      </c>
      <c r="F166">
        <v>1</v>
      </c>
      <c r="G166">
        <v>680</v>
      </c>
      <c r="H166">
        <v>680</v>
      </c>
      <c r="I166" s="4">
        <v>38686</v>
      </c>
      <c r="J166" s="5">
        <f t="shared" si="4"/>
        <v>-87</v>
      </c>
      <c r="K166" s="6" t="str">
        <f t="shared" si="5"/>
        <v>A~0</v>
      </c>
      <c r="L166" t="str">
        <f>IF(J166&lt;0,"A~0",VLOOKUP(J166,[1]作法V!$B$1:$C$9,2,TRUE))</f>
        <v>A~0</v>
      </c>
    </row>
    <row r="167" spans="1:12">
      <c r="A167">
        <v>1019</v>
      </c>
      <c r="B167" t="s">
        <v>67</v>
      </c>
      <c r="C167" s="3">
        <v>38667</v>
      </c>
      <c r="D167" s="3">
        <v>38773</v>
      </c>
      <c r="E167" t="s">
        <v>18</v>
      </c>
      <c r="F167">
        <v>1</v>
      </c>
      <c r="G167">
        <v>256320</v>
      </c>
      <c r="H167">
        <v>256320</v>
      </c>
      <c r="I167" s="4">
        <v>38686</v>
      </c>
      <c r="J167" s="5">
        <f t="shared" si="4"/>
        <v>-87</v>
      </c>
      <c r="K167" s="6" t="str">
        <f t="shared" si="5"/>
        <v>A~0</v>
      </c>
      <c r="L167" t="str">
        <f>IF(J167&lt;0,"A~0",VLOOKUP(J167,[1]作法V!$B$1:$C$9,2,TRUE))</f>
        <v>A~0</v>
      </c>
    </row>
    <row r="168" spans="1:12">
      <c r="A168">
        <v>1019</v>
      </c>
      <c r="B168" t="s">
        <v>67</v>
      </c>
      <c r="C168" s="3">
        <v>38667</v>
      </c>
      <c r="D168" s="3">
        <v>38773</v>
      </c>
      <c r="E168" t="s">
        <v>18</v>
      </c>
      <c r="F168">
        <v>1</v>
      </c>
      <c r="G168">
        <v>43788</v>
      </c>
      <c r="H168">
        <v>43788</v>
      </c>
      <c r="I168" s="4">
        <v>38686</v>
      </c>
      <c r="J168" s="5">
        <f t="shared" si="4"/>
        <v>-87</v>
      </c>
      <c r="K168" s="6" t="str">
        <f t="shared" si="5"/>
        <v>A~0</v>
      </c>
      <c r="L168" t="str">
        <f>IF(J168&lt;0,"A~0",VLOOKUP(J168,[1]作法V!$B$1:$C$9,2,TRUE))</f>
        <v>A~0</v>
      </c>
    </row>
    <row r="169" spans="1:12">
      <c r="A169">
        <v>1019</v>
      </c>
      <c r="B169" t="s">
        <v>67</v>
      </c>
      <c r="C169" s="3">
        <v>38667</v>
      </c>
      <c r="D169" s="3">
        <v>38773</v>
      </c>
      <c r="E169" t="s">
        <v>18</v>
      </c>
      <c r="F169">
        <v>1</v>
      </c>
      <c r="G169">
        <v>13350</v>
      </c>
      <c r="H169">
        <v>13350</v>
      </c>
      <c r="I169" s="4">
        <v>38686</v>
      </c>
      <c r="J169" s="5">
        <f t="shared" si="4"/>
        <v>-87</v>
      </c>
      <c r="K169" s="6" t="str">
        <f t="shared" si="5"/>
        <v>A~0</v>
      </c>
      <c r="L169" t="str">
        <f>IF(J169&lt;0,"A~0",VLOOKUP(J169,[1]作法V!$B$1:$C$9,2,TRUE))</f>
        <v>A~0</v>
      </c>
    </row>
    <row r="170" spans="1:12">
      <c r="A170">
        <v>1019</v>
      </c>
      <c r="B170" t="s">
        <v>67</v>
      </c>
      <c r="C170" s="3">
        <v>38667</v>
      </c>
      <c r="D170" s="3">
        <v>38773</v>
      </c>
      <c r="E170" t="s">
        <v>18</v>
      </c>
      <c r="F170">
        <v>1</v>
      </c>
      <c r="G170">
        <v>592</v>
      </c>
      <c r="H170">
        <v>592</v>
      </c>
      <c r="I170" s="4">
        <v>38686</v>
      </c>
      <c r="J170" s="5">
        <f t="shared" si="4"/>
        <v>-87</v>
      </c>
      <c r="K170" s="6" t="str">
        <f t="shared" si="5"/>
        <v>A~0</v>
      </c>
      <c r="L170" t="str">
        <f>IF(J170&lt;0,"A~0",VLOOKUP(J170,[1]作法V!$B$1:$C$9,2,TRUE))</f>
        <v>A~0</v>
      </c>
    </row>
    <row r="171" spans="1:12">
      <c r="A171">
        <v>1019</v>
      </c>
      <c r="B171" t="s">
        <v>67</v>
      </c>
      <c r="C171" s="3">
        <v>38672</v>
      </c>
      <c r="D171" s="3">
        <v>38773</v>
      </c>
      <c r="E171" t="s">
        <v>18</v>
      </c>
      <c r="F171">
        <v>1</v>
      </c>
      <c r="G171">
        <v>17188</v>
      </c>
      <c r="H171">
        <v>17188</v>
      </c>
      <c r="I171" s="4">
        <v>38686</v>
      </c>
      <c r="J171" s="5">
        <f t="shared" si="4"/>
        <v>-87</v>
      </c>
      <c r="K171" s="6" t="str">
        <f t="shared" si="5"/>
        <v>A~0</v>
      </c>
      <c r="L171" t="str">
        <f>IF(J171&lt;0,"A~0",VLOOKUP(J171,[1]作法V!$B$1:$C$9,2,TRUE))</f>
        <v>A~0</v>
      </c>
    </row>
    <row r="172" spans="1:12">
      <c r="A172">
        <v>1019</v>
      </c>
      <c r="B172" t="s">
        <v>67</v>
      </c>
      <c r="C172" s="3">
        <v>38672</v>
      </c>
      <c r="D172" s="3">
        <v>38742</v>
      </c>
      <c r="E172" t="s">
        <v>18</v>
      </c>
      <c r="F172">
        <v>1</v>
      </c>
      <c r="G172">
        <v>731</v>
      </c>
      <c r="H172">
        <v>731</v>
      </c>
      <c r="I172" s="4">
        <v>38686</v>
      </c>
      <c r="J172" s="5">
        <f t="shared" si="4"/>
        <v>-56</v>
      </c>
      <c r="K172" s="6" t="str">
        <f t="shared" si="5"/>
        <v>A~0</v>
      </c>
      <c r="L172" t="str">
        <f>IF(J172&lt;0,"A~0",VLOOKUP(J172,[1]作法V!$B$1:$C$9,2,TRUE))</f>
        <v>A~0</v>
      </c>
    </row>
    <row r="173" spans="1:12">
      <c r="A173">
        <v>1019</v>
      </c>
      <c r="B173" t="s">
        <v>67</v>
      </c>
      <c r="C173" s="3">
        <v>38672</v>
      </c>
      <c r="D173" s="3">
        <v>38773</v>
      </c>
      <c r="E173" t="s">
        <v>18</v>
      </c>
      <c r="F173">
        <v>1</v>
      </c>
      <c r="G173">
        <v>4023</v>
      </c>
      <c r="H173">
        <v>4023</v>
      </c>
      <c r="I173" s="4">
        <v>38686</v>
      </c>
      <c r="J173" s="5">
        <f t="shared" si="4"/>
        <v>-87</v>
      </c>
      <c r="K173" s="6" t="str">
        <f t="shared" si="5"/>
        <v>A~0</v>
      </c>
      <c r="L173" t="str">
        <f>IF(J173&lt;0,"A~0",VLOOKUP(J173,[1]作法V!$B$1:$C$9,2,TRUE))</f>
        <v>A~0</v>
      </c>
    </row>
    <row r="174" spans="1:12">
      <c r="A174">
        <v>1019</v>
      </c>
      <c r="B174" t="s">
        <v>67</v>
      </c>
      <c r="C174" s="3">
        <v>38679</v>
      </c>
      <c r="D174" s="3">
        <v>38773</v>
      </c>
      <c r="E174" t="s">
        <v>18</v>
      </c>
      <c r="F174">
        <v>1</v>
      </c>
      <c r="G174">
        <v>200</v>
      </c>
      <c r="H174">
        <v>200</v>
      </c>
      <c r="I174" s="4">
        <v>38686</v>
      </c>
      <c r="J174" s="5">
        <f t="shared" si="4"/>
        <v>-87</v>
      </c>
      <c r="K174" s="6" t="str">
        <f t="shared" si="5"/>
        <v>A~0</v>
      </c>
      <c r="L174" t="str">
        <f>IF(J174&lt;0,"A~0",VLOOKUP(J174,[1]作法V!$B$1:$C$9,2,TRUE))</f>
        <v>A~0</v>
      </c>
    </row>
    <row r="175" spans="1:12">
      <c r="A175">
        <v>1019</v>
      </c>
      <c r="B175" t="s">
        <v>67</v>
      </c>
      <c r="C175" s="3">
        <v>38679</v>
      </c>
      <c r="D175" s="3">
        <v>38773</v>
      </c>
      <c r="E175" t="s">
        <v>18</v>
      </c>
      <c r="F175">
        <v>1</v>
      </c>
      <c r="G175">
        <v>3500</v>
      </c>
      <c r="H175">
        <v>3500</v>
      </c>
      <c r="I175" s="4">
        <v>38686</v>
      </c>
      <c r="J175" s="5">
        <f t="shared" si="4"/>
        <v>-87</v>
      </c>
      <c r="K175" s="6" t="str">
        <f t="shared" si="5"/>
        <v>A~0</v>
      </c>
      <c r="L175" t="str">
        <f>IF(J175&lt;0,"A~0",VLOOKUP(J175,[1]作法V!$B$1:$C$9,2,TRUE))</f>
        <v>A~0</v>
      </c>
    </row>
    <row r="176" spans="1:12">
      <c r="A176">
        <v>1019</v>
      </c>
      <c r="B176" t="s">
        <v>67</v>
      </c>
      <c r="C176" s="3">
        <v>38679</v>
      </c>
      <c r="D176" s="3">
        <v>38773</v>
      </c>
      <c r="E176" t="s">
        <v>18</v>
      </c>
      <c r="F176">
        <v>1</v>
      </c>
      <c r="G176">
        <v>2500</v>
      </c>
      <c r="H176">
        <v>2500</v>
      </c>
      <c r="I176" s="4">
        <v>38686</v>
      </c>
      <c r="J176" s="5">
        <f t="shared" si="4"/>
        <v>-87</v>
      </c>
      <c r="K176" s="6" t="str">
        <f t="shared" si="5"/>
        <v>A~0</v>
      </c>
      <c r="L176" t="str">
        <f>IF(J176&lt;0,"A~0",VLOOKUP(J176,[1]作法V!$B$1:$C$9,2,TRUE))</f>
        <v>A~0</v>
      </c>
    </row>
    <row r="177" spans="1:12">
      <c r="A177">
        <v>1019</v>
      </c>
      <c r="B177" t="s">
        <v>67</v>
      </c>
      <c r="C177" s="3">
        <v>38679</v>
      </c>
      <c r="D177" s="3">
        <v>38773</v>
      </c>
      <c r="E177" t="s">
        <v>18</v>
      </c>
      <c r="F177">
        <v>1</v>
      </c>
      <c r="G177">
        <v>612</v>
      </c>
      <c r="H177">
        <v>612</v>
      </c>
      <c r="I177" s="4">
        <v>38686</v>
      </c>
      <c r="J177" s="5">
        <f t="shared" si="4"/>
        <v>-87</v>
      </c>
      <c r="K177" s="6" t="str">
        <f t="shared" si="5"/>
        <v>A~0</v>
      </c>
      <c r="L177" t="str">
        <f>IF(J177&lt;0,"A~0",VLOOKUP(J177,[1]作法V!$B$1:$C$9,2,TRUE))</f>
        <v>A~0</v>
      </c>
    </row>
    <row r="178" spans="1:12">
      <c r="A178">
        <v>1019</v>
      </c>
      <c r="B178" t="s">
        <v>67</v>
      </c>
      <c r="C178" s="3">
        <v>38679</v>
      </c>
      <c r="D178" s="3">
        <v>38773</v>
      </c>
      <c r="E178" t="s">
        <v>18</v>
      </c>
      <c r="F178">
        <v>1</v>
      </c>
      <c r="G178">
        <v>768</v>
      </c>
      <c r="H178">
        <v>768</v>
      </c>
      <c r="I178" s="4">
        <v>38686</v>
      </c>
      <c r="J178" s="5">
        <f t="shared" si="4"/>
        <v>-87</v>
      </c>
      <c r="K178" s="6" t="str">
        <f t="shared" si="5"/>
        <v>A~0</v>
      </c>
      <c r="L178" t="str">
        <f>IF(J178&lt;0,"A~0",VLOOKUP(J178,[1]作法V!$B$1:$C$9,2,TRUE))</f>
        <v>A~0</v>
      </c>
    </row>
    <row r="179" spans="1:12">
      <c r="A179">
        <v>1019</v>
      </c>
      <c r="B179" t="s">
        <v>67</v>
      </c>
      <c r="C179" s="3">
        <v>38679</v>
      </c>
      <c r="D179" s="3">
        <v>38773</v>
      </c>
      <c r="E179" t="s">
        <v>18</v>
      </c>
      <c r="F179">
        <v>1</v>
      </c>
      <c r="G179">
        <v>592</v>
      </c>
      <c r="H179">
        <v>592</v>
      </c>
      <c r="I179" s="4">
        <v>38686</v>
      </c>
      <c r="J179" s="5">
        <f t="shared" si="4"/>
        <v>-87</v>
      </c>
      <c r="K179" s="6" t="str">
        <f t="shared" si="5"/>
        <v>A~0</v>
      </c>
      <c r="L179" t="str">
        <f>IF(J179&lt;0,"A~0",VLOOKUP(J179,[1]作法V!$B$1:$C$9,2,TRUE))</f>
        <v>A~0</v>
      </c>
    </row>
    <row r="180" spans="1:12">
      <c r="A180">
        <v>1019</v>
      </c>
      <c r="B180" t="s">
        <v>67</v>
      </c>
      <c r="C180" s="3">
        <v>38679</v>
      </c>
      <c r="D180" s="3">
        <v>38773</v>
      </c>
      <c r="E180" t="s">
        <v>18</v>
      </c>
      <c r="F180">
        <v>1</v>
      </c>
      <c r="G180">
        <v>680</v>
      </c>
      <c r="H180">
        <v>680</v>
      </c>
      <c r="I180" s="4">
        <v>38686</v>
      </c>
      <c r="J180" s="5">
        <f t="shared" si="4"/>
        <v>-87</v>
      </c>
      <c r="K180" s="6" t="str">
        <f t="shared" si="5"/>
        <v>A~0</v>
      </c>
      <c r="L180" t="str">
        <f>IF(J180&lt;0,"A~0",VLOOKUP(J180,[1]作法V!$B$1:$C$9,2,TRUE))</f>
        <v>A~0</v>
      </c>
    </row>
    <row r="181" spans="1:12">
      <c r="A181">
        <v>1019</v>
      </c>
      <c r="B181" t="s">
        <v>67</v>
      </c>
      <c r="C181" s="3">
        <v>38679</v>
      </c>
      <c r="D181" s="3">
        <v>38773</v>
      </c>
      <c r="E181" t="s">
        <v>18</v>
      </c>
      <c r="F181">
        <v>1</v>
      </c>
      <c r="G181">
        <v>68</v>
      </c>
      <c r="H181">
        <v>68</v>
      </c>
      <c r="I181" s="4">
        <v>38686</v>
      </c>
      <c r="J181" s="5">
        <f t="shared" si="4"/>
        <v>-87</v>
      </c>
      <c r="K181" s="6" t="str">
        <f t="shared" si="5"/>
        <v>A~0</v>
      </c>
      <c r="L181" t="str">
        <f>IF(J181&lt;0,"A~0",VLOOKUP(J181,[1]作法V!$B$1:$C$9,2,TRUE))</f>
        <v>A~0</v>
      </c>
    </row>
    <row r="182" spans="1:12">
      <c r="A182">
        <v>1023</v>
      </c>
      <c r="B182" t="s">
        <v>68</v>
      </c>
      <c r="C182" s="3">
        <v>38637</v>
      </c>
      <c r="D182" s="3">
        <v>38758</v>
      </c>
      <c r="E182" t="s">
        <v>18</v>
      </c>
      <c r="F182">
        <v>1</v>
      </c>
      <c r="G182">
        <v>14700</v>
      </c>
      <c r="H182">
        <v>14700</v>
      </c>
      <c r="I182" s="4">
        <v>38686</v>
      </c>
      <c r="J182" s="5">
        <f t="shared" si="4"/>
        <v>-72</v>
      </c>
      <c r="K182" s="6" t="str">
        <f t="shared" si="5"/>
        <v>A~0</v>
      </c>
      <c r="L182" t="str">
        <f>IF(J182&lt;0,"A~0",VLOOKUP(J182,[1]作法V!$B$1:$C$9,2,TRUE))</f>
        <v>A~0</v>
      </c>
    </row>
    <row r="183" spans="1:12">
      <c r="A183">
        <v>1023</v>
      </c>
      <c r="B183" t="s">
        <v>68</v>
      </c>
      <c r="C183" s="3">
        <v>38637</v>
      </c>
      <c r="D183" s="3">
        <v>38758</v>
      </c>
      <c r="E183" t="s">
        <v>18</v>
      </c>
      <c r="F183">
        <v>1</v>
      </c>
      <c r="G183">
        <v>249900</v>
      </c>
      <c r="H183">
        <v>249900</v>
      </c>
      <c r="I183" s="4">
        <v>38686</v>
      </c>
      <c r="J183" s="5">
        <f t="shared" si="4"/>
        <v>-72</v>
      </c>
      <c r="K183" s="6" t="str">
        <f t="shared" si="5"/>
        <v>A~0</v>
      </c>
      <c r="L183" t="str">
        <f>IF(J183&lt;0,"A~0",VLOOKUP(J183,[1]作法V!$B$1:$C$9,2,TRUE))</f>
        <v>A~0</v>
      </c>
    </row>
    <row r="184" spans="1:12">
      <c r="A184">
        <v>1023</v>
      </c>
      <c r="B184" t="s">
        <v>68</v>
      </c>
      <c r="C184" s="3">
        <v>38645</v>
      </c>
      <c r="D184" s="3">
        <v>38758</v>
      </c>
      <c r="E184" t="s">
        <v>18</v>
      </c>
      <c r="F184">
        <v>1</v>
      </c>
      <c r="G184">
        <v>236670</v>
      </c>
      <c r="H184">
        <v>236670</v>
      </c>
      <c r="I184" s="4">
        <v>38686</v>
      </c>
      <c r="J184" s="5">
        <f t="shared" si="4"/>
        <v>-72</v>
      </c>
      <c r="K184" s="6" t="str">
        <f t="shared" si="5"/>
        <v>A~0</v>
      </c>
      <c r="L184" t="str">
        <f>IF(J184&lt;0,"A~0",VLOOKUP(J184,[1]作法V!$B$1:$C$9,2,TRUE))</f>
        <v>A~0</v>
      </c>
    </row>
    <row r="185" spans="1:12">
      <c r="A185">
        <v>1023</v>
      </c>
      <c r="B185" t="s">
        <v>68</v>
      </c>
      <c r="C185" s="3">
        <v>38645</v>
      </c>
      <c r="D185" s="3">
        <v>38758</v>
      </c>
      <c r="E185" t="s">
        <v>18</v>
      </c>
      <c r="F185">
        <v>1</v>
      </c>
      <c r="G185">
        <v>3780</v>
      </c>
      <c r="H185">
        <v>3780</v>
      </c>
      <c r="I185" s="4">
        <v>38686</v>
      </c>
      <c r="J185" s="5">
        <f t="shared" si="4"/>
        <v>-72</v>
      </c>
      <c r="K185" s="6" t="str">
        <f t="shared" si="5"/>
        <v>A~0</v>
      </c>
      <c r="L185" t="str">
        <f>IF(J185&lt;0,"A~0",VLOOKUP(J185,[1]作法V!$B$1:$C$9,2,TRUE))</f>
        <v>A~0</v>
      </c>
    </row>
    <row r="186" spans="1:12">
      <c r="A186">
        <v>1023</v>
      </c>
      <c r="B186" t="s">
        <v>68</v>
      </c>
      <c r="C186" s="3">
        <v>38650</v>
      </c>
      <c r="D186" s="3">
        <v>38786</v>
      </c>
      <c r="E186" t="s">
        <v>18</v>
      </c>
      <c r="F186">
        <v>1</v>
      </c>
      <c r="G186">
        <v>1890</v>
      </c>
      <c r="H186">
        <v>1890</v>
      </c>
      <c r="I186" s="4">
        <v>38686</v>
      </c>
      <c r="J186" s="5">
        <f t="shared" si="4"/>
        <v>-100</v>
      </c>
      <c r="K186" s="6" t="str">
        <f t="shared" si="5"/>
        <v>A~0</v>
      </c>
      <c r="L186" t="str">
        <f>IF(J186&lt;0,"A~0",VLOOKUP(J186,[1]作法V!$B$1:$C$9,2,TRUE))</f>
        <v>A~0</v>
      </c>
    </row>
    <row r="187" spans="1:12">
      <c r="A187">
        <v>1023</v>
      </c>
      <c r="B187" t="s">
        <v>68</v>
      </c>
      <c r="C187" s="3">
        <v>38650</v>
      </c>
      <c r="D187" s="3">
        <v>38786</v>
      </c>
      <c r="E187" t="s">
        <v>18</v>
      </c>
      <c r="F187">
        <v>1</v>
      </c>
      <c r="G187">
        <v>21420</v>
      </c>
      <c r="H187">
        <v>21420</v>
      </c>
      <c r="I187" s="4">
        <v>38686</v>
      </c>
      <c r="J187" s="5">
        <f t="shared" si="4"/>
        <v>-100</v>
      </c>
      <c r="K187" s="6" t="str">
        <f t="shared" si="5"/>
        <v>A~0</v>
      </c>
      <c r="L187" t="str">
        <f>IF(J187&lt;0,"A~0",VLOOKUP(J187,[1]作法V!$B$1:$C$9,2,TRUE))</f>
        <v>A~0</v>
      </c>
    </row>
    <row r="188" spans="1:12">
      <c r="A188">
        <v>1023</v>
      </c>
      <c r="B188" t="s">
        <v>68</v>
      </c>
      <c r="C188" s="3">
        <v>38653</v>
      </c>
      <c r="D188" s="3">
        <v>38786</v>
      </c>
      <c r="E188" t="s">
        <v>18</v>
      </c>
      <c r="F188">
        <v>1</v>
      </c>
      <c r="G188">
        <v>107100</v>
      </c>
      <c r="H188">
        <v>107100</v>
      </c>
      <c r="I188" s="4">
        <v>38686</v>
      </c>
      <c r="J188" s="5">
        <f t="shared" si="4"/>
        <v>-100</v>
      </c>
      <c r="K188" s="6" t="str">
        <f t="shared" si="5"/>
        <v>A~0</v>
      </c>
      <c r="L188" t="str">
        <f>IF(J188&lt;0,"A~0",VLOOKUP(J188,[1]作法V!$B$1:$C$9,2,TRUE))</f>
        <v>A~0</v>
      </c>
    </row>
    <row r="189" spans="1:12">
      <c r="A189">
        <v>1023</v>
      </c>
      <c r="B189" t="s">
        <v>68</v>
      </c>
      <c r="C189" s="3">
        <v>38658</v>
      </c>
      <c r="D189" s="3">
        <v>38786</v>
      </c>
      <c r="E189" t="s">
        <v>18</v>
      </c>
      <c r="F189">
        <v>1</v>
      </c>
      <c r="G189">
        <v>33810</v>
      </c>
      <c r="H189">
        <v>33810</v>
      </c>
      <c r="I189" s="4">
        <v>38686</v>
      </c>
      <c r="J189" s="5">
        <f t="shared" si="4"/>
        <v>-100</v>
      </c>
      <c r="K189" s="6" t="str">
        <f t="shared" si="5"/>
        <v>A~0</v>
      </c>
      <c r="L189" t="str">
        <f>IF(J189&lt;0,"A~0",VLOOKUP(J189,[1]作法V!$B$1:$C$9,2,TRUE))</f>
        <v>A~0</v>
      </c>
    </row>
    <row r="190" spans="1:12">
      <c r="A190">
        <v>1023</v>
      </c>
      <c r="B190" t="s">
        <v>68</v>
      </c>
      <c r="C190" s="3">
        <v>38658</v>
      </c>
      <c r="D190" s="3">
        <v>38786</v>
      </c>
      <c r="E190" t="s">
        <v>18</v>
      </c>
      <c r="F190">
        <v>1</v>
      </c>
      <c r="G190">
        <v>1260</v>
      </c>
      <c r="H190">
        <v>1260</v>
      </c>
      <c r="I190" s="4">
        <v>38686</v>
      </c>
      <c r="J190" s="5">
        <f t="shared" si="4"/>
        <v>-100</v>
      </c>
      <c r="K190" s="6" t="str">
        <f t="shared" si="5"/>
        <v>A~0</v>
      </c>
      <c r="L190" t="str">
        <f>IF(J190&lt;0,"A~0",VLOOKUP(J190,[1]作法V!$B$1:$C$9,2,TRUE))</f>
        <v>A~0</v>
      </c>
    </row>
    <row r="191" spans="1:12">
      <c r="A191">
        <v>1023</v>
      </c>
      <c r="B191" t="s">
        <v>68</v>
      </c>
      <c r="C191" s="3">
        <v>38658</v>
      </c>
      <c r="D191" s="3">
        <v>38786</v>
      </c>
      <c r="E191" t="s">
        <v>18</v>
      </c>
      <c r="F191">
        <v>1</v>
      </c>
      <c r="G191">
        <v>299880</v>
      </c>
      <c r="H191">
        <v>299880</v>
      </c>
      <c r="I191" s="4">
        <v>38686</v>
      </c>
      <c r="J191" s="5">
        <f t="shared" si="4"/>
        <v>-100</v>
      </c>
      <c r="K191" s="6" t="str">
        <f t="shared" si="5"/>
        <v>A~0</v>
      </c>
      <c r="L191" t="str">
        <f>IF(J191&lt;0,"A~0",VLOOKUP(J191,[1]作法V!$B$1:$C$9,2,TRUE))</f>
        <v>A~0</v>
      </c>
    </row>
    <row r="192" spans="1:12">
      <c r="A192">
        <v>1023</v>
      </c>
      <c r="B192" t="s">
        <v>68</v>
      </c>
      <c r="C192" s="3">
        <v>38671</v>
      </c>
      <c r="D192" s="3">
        <v>38786</v>
      </c>
      <c r="E192" t="s">
        <v>18</v>
      </c>
      <c r="F192">
        <v>1</v>
      </c>
      <c r="G192">
        <v>1260</v>
      </c>
      <c r="H192">
        <v>1260</v>
      </c>
      <c r="I192" s="4">
        <v>38686</v>
      </c>
      <c r="J192" s="5">
        <f t="shared" si="4"/>
        <v>-100</v>
      </c>
      <c r="K192" s="6" t="str">
        <f t="shared" si="5"/>
        <v>A~0</v>
      </c>
      <c r="L192" t="str">
        <f>IF(J192&lt;0,"A~0",VLOOKUP(J192,[1]作法V!$B$1:$C$9,2,TRUE))</f>
        <v>A~0</v>
      </c>
    </row>
    <row r="193" spans="1:12">
      <c r="A193">
        <v>1023</v>
      </c>
      <c r="B193" t="s">
        <v>68</v>
      </c>
      <c r="C193" s="3">
        <v>38671</v>
      </c>
      <c r="D193" s="3">
        <v>38786</v>
      </c>
      <c r="E193" t="s">
        <v>18</v>
      </c>
      <c r="F193">
        <v>1</v>
      </c>
      <c r="G193">
        <v>328440</v>
      </c>
      <c r="H193">
        <v>328440</v>
      </c>
      <c r="I193" s="4">
        <v>38686</v>
      </c>
      <c r="J193" s="5">
        <f t="shared" si="4"/>
        <v>-100</v>
      </c>
      <c r="K193" s="6" t="str">
        <f t="shared" si="5"/>
        <v>A~0</v>
      </c>
      <c r="L193" t="str">
        <f>IF(J193&lt;0,"A~0",VLOOKUP(J193,[1]作法V!$B$1:$C$9,2,TRUE))</f>
        <v>A~0</v>
      </c>
    </row>
    <row r="194" spans="1:12">
      <c r="A194">
        <v>1023</v>
      </c>
      <c r="B194" t="s">
        <v>68</v>
      </c>
      <c r="C194" s="3">
        <v>38681</v>
      </c>
      <c r="D194" s="3">
        <v>38817</v>
      </c>
      <c r="E194" t="s">
        <v>18</v>
      </c>
      <c r="F194">
        <v>1</v>
      </c>
      <c r="G194">
        <v>7350</v>
      </c>
      <c r="H194">
        <v>7350</v>
      </c>
      <c r="I194" s="4">
        <v>38686</v>
      </c>
      <c r="J194" s="5">
        <f t="shared" ref="J194:J257" si="6">I194-D194</f>
        <v>-131</v>
      </c>
      <c r="K194" s="6" t="str">
        <f t="shared" ref="K194:K257" si="7">IF(J194&lt;1,"A~0",IF(J194&lt;31,"B1~30",IF(J194&lt;61,"C31~60",IF(J194&lt;91,"D61~90",IF(J194&lt;121,"E91~120",IF(J194&lt;181,"F121~180",IF(J194&lt;361,"G181~360","H361~")))))))</f>
        <v>A~0</v>
      </c>
      <c r="L194" t="str">
        <f>IF(J194&lt;0,"A~0",VLOOKUP(J194,[1]作法V!$B$1:$C$9,2,TRUE))</f>
        <v>A~0</v>
      </c>
    </row>
    <row r="195" spans="1:12">
      <c r="A195">
        <v>1023</v>
      </c>
      <c r="B195" t="s">
        <v>68</v>
      </c>
      <c r="C195" s="3">
        <v>38681</v>
      </c>
      <c r="D195" s="3">
        <v>38817</v>
      </c>
      <c r="E195" t="s">
        <v>18</v>
      </c>
      <c r="F195">
        <v>1</v>
      </c>
      <c r="G195">
        <v>27195</v>
      </c>
      <c r="H195">
        <v>27195</v>
      </c>
      <c r="I195" s="4">
        <v>38686</v>
      </c>
      <c r="J195" s="5">
        <f t="shared" si="6"/>
        <v>-131</v>
      </c>
      <c r="K195" s="6" t="str">
        <f t="shared" si="7"/>
        <v>A~0</v>
      </c>
      <c r="L195" t="str">
        <f>IF(J195&lt;0,"A~0",VLOOKUP(J195,[1]作法V!$B$1:$C$9,2,TRUE))</f>
        <v>A~0</v>
      </c>
    </row>
    <row r="196" spans="1:12">
      <c r="A196">
        <v>1025</v>
      </c>
      <c r="B196" t="s">
        <v>69</v>
      </c>
      <c r="C196" s="3">
        <v>38652</v>
      </c>
      <c r="D196" s="3">
        <v>38768</v>
      </c>
      <c r="E196" t="s">
        <v>18</v>
      </c>
      <c r="F196">
        <v>1</v>
      </c>
      <c r="G196">
        <v>7174</v>
      </c>
      <c r="H196">
        <v>7174</v>
      </c>
      <c r="I196" s="4">
        <v>38686</v>
      </c>
      <c r="J196" s="5">
        <f t="shared" si="6"/>
        <v>-82</v>
      </c>
      <c r="K196" s="6" t="str">
        <f t="shared" si="7"/>
        <v>A~0</v>
      </c>
      <c r="L196" t="str">
        <f>IF(J196&lt;0,"A~0",VLOOKUP(J196,[1]作法V!$B$1:$C$9,2,TRUE))</f>
        <v>A~0</v>
      </c>
    </row>
    <row r="197" spans="1:12">
      <c r="A197">
        <v>1025</v>
      </c>
      <c r="B197" t="s">
        <v>69</v>
      </c>
      <c r="C197" s="3">
        <v>38656</v>
      </c>
      <c r="D197" s="3">
        <v>38768</v>
      </c>
      <c r="E197" t="s">
        <v>18</v>
      </c>
      <c r="F197">
        <v>1</v>
      </c>
      <c r="G197">
        <v>3308</v>
      </c>
      <c r="H197">
        <v>3308</v>
      </c>
      <c r="I197" s="4">
        <v>38686</v>
      </c>
      <c r="J197" s="5">
        <f t="shared" si="6"/>
        <v>-82</v>
      </c>
      <c r="K197" s="6" t="str">
        <f t="shared" si="7"/>
        <v>A~0</v>
      </c>
      <c r="L197" t="str">
        <f>IF(J197&lt;0,"A~0",VLOOKUP(J197,[1]作法V!$B$1:$C$9,2,TRUE))</f>
        <v>A~0</v>
      </c>
    </row>
    <row r="198" spans="1:12">
      <c r="A198">
        <v>1025</v>
      </c>
      <c r="B198" t="s">
        <v>69</v>
      </c>
      <c r="C198" s="3">
        <v>38656</v>
      </c>
      <c r="D198" s="3">
        <v>38768</v>
      </c>
      <c r="E198" t="s">
        <v>18</v>
      </c>
      <c r="F198">
        <v>1</v>
      </c>
      <c r="G198">
        <v>8198</v>
      </c>
      <c r="H198">
        <v>8198</v>
      </c>
      <c r="I198" s="4">
        <v>38686</v>
      </c>
      <c r="J198" s="5">
        <f t="shared" si="6"/>
        <v>-82</v>
      </c>
      <c r="K198" s="6" t="str">
        <f t="shared" si="7"/>
        <v>A~0</v>
      </c>
      <c r="L198" t="str">
        <f>IF(J198&lt;0,"A~0",VLOOKUP(J198,[1]作法V!$B$1:$C$9,2,TRUE))</f>
        <v>A~0</v>
      </c>
    </row>
    <row r="199" spans="1:12">
      <c r="A199">
        <v>1025</v>
      </c>
      <c r="B199" t="s">
        <v>69</v>
      </c>
      <c r="C199" s="3">
        <v>38656</v>
      </c>
      <c r="D199" s="3">
        <v>38768</v>
      </c>
      <c r="E199" t="s">
        <v>18</v>
      </c>
      <c r="F199">
        <v>1</v>
      </c>
      <c r="G199">
        <v>4620</v>
      </c>
      <c r="H199">
        <v>4620</v>
      </c>
      <c r="I199" s="4">
        <v>38686</v>
      </c>
      <c r="J199" s="5">
        <f t="shared" si="6"/>
        <v>-82</v>
      </c>
      <c r="K199" s="6" t="str">
        <f t="shared" si="7"/>
        <v>A~0</v>
      </c>
      <c r="L199" t="str">
        <f>IF(J199&lt;0,"A~0",VLOOKUP(J199,[1]作法V!$B$1:$C$9,2,TRUE))</f>
        <v>A~0</v>
      </c>
    </row>
    <row r="200" spans="1:12">
      <c r="A200">
        <v>1025</v>
      </c>
      <c r="B200" t="s">
        <v>69</v>
      </c>
      <c r="C200" s="3">
        <v>38665</v>
      </c>
      <c r="D200" s="3">
        <v>38768</v>
      </c>
      <c r="E200" t="s">
        <v>18</v>
      </c>
      <c r="F200">
        <v>1</v>
      </c>
      <c r="G200">
        <v>2205</v>
      </c>
      <c r="H200">
        <v>2205</v>
      </c>
      <c r="I200" s="4">
        <v>38686</v>
      </c>
      <c r="J200" s="5">
        <f t="shared" si="6"/>
        <v>-82</v>
      </c>
      <c r="K200" s="6" t="str">
        <f t="shared" si="7"/>
        <v>A~0</v>
      </c>
      <c r="L200" t="str">
        <f>IF(J200&lt;0,"A~0",VLOOKUP(J200,[1]作法V!$B$1:$C$9,2,TRUE))</f>
        <v>A~0</v>
      </c>
    </row>
    <row r="201" spans="1:12">
      <c r="A201">
        <v>1025</v>
      </c>
      <c r="B201" t="s">
        <v>69</v>
      </c>
      <c r="C201" s="3">
        <v>38665</v>
      </c>
      <c r="D201" s="3">
        <v>38768</v>
      </c>
      <c r="E201" t="s">
        <v>18</v>
      </c>
      <c r="F201">
        <v>1</v>
      </c>
      <c r="G201">
        <v>11288</v>
      </c>
      <c r="H201">
        <v>11288</v>
      </c>
      <c r="I201" s="4">
        <v>38686</v>
      </c>
      <c r="J201" s="5">
        <f t="shared" si="6"/>
        <v>-82</v>
      </c>
      <c r="K201" s="6" t="str">
        <f t="shared" si="7"/>
        <v>A~0</v>
      </c>
      <c r="L201" t="str">
        <f>IF(J201&lt;0,"A~0",VLOOKUP(J201,[1]作法V!$B$1:$C$9,2,TRUE))</f>
        <v>A~0</v>
      </c>
    </row>
    <row r="202" spans="1:12">
      <c r="A202">
        <v>1025</v>
      </c>
      <c r="B202" t="s">
        <v>69</v>
      </c>
      <c r="C202" s="3">
        <v>38667</v>
      </c>
      <c r="D202" s="3">
        <v>38768</v>
      </c>
      <c r="E202" t="s">
        <v>18</v>
      </c>
      <c r="F202">
        <v>1</v>
      </c>
      <c r="G202">
        <v>1313</v>
      </c>
      <c r="H202">
        <v>1313</v>
      </c>
      <c r="I202" s="4">
        <v>38686</v>
      </c>
      <c r="J202" s="5">
        <f t="shared" si="6"/>
        <v>-82</v>
      </c>
      <c r="K202" s="6" t="str">
        <f t="shared" si="7"/>
        <v>A~0</v>
      </c>
      <c r="L202" t="str">
        <f>IF(J202&lt;0,"A~0",VLOOKUP(J202,[1]作法V!$B$1:$C$9,2,TRUE))</f>
        <v>A~0</v>
      </c>
    </row>
    <row r="203" spans="1:12">
      <c r="A203">
        <v>1025</v>
      </c>
      <c r="B203" t="s">
        <v>69</v>
      </c>
      <c r="C203" s="3">
        <v>38678</v>
      </c>
      <c r="D203" s="3">
        <v>38768</v>
      </c>
      <c r="E203" t="s">
        <v>18</v>
      </c>
      <c r="F203">
        <v>1</v>
      </c>
      <c r="G203">
        <v>2940</v>
      </c>
      <c r="H203">
        <v>2940</v>
      </c>
      <c r="I203" s="4">
        <v>38686</v>
      </c>
      <c r="J203" s="5">
        <f t="shared" si="6"/>
        <v>-82</v>
      </c>
      <c r="K203" s="6" t="str">
        <f t="shared" si="7"/>
        <v>A~0</v>
      </c>
      <c r="L203" t="str">
        <f>IF(J203&lt;0,"A~0",VLOOKUP(J203,[1]作法V!$B$1:$C$9,2,TRUE))</f>
        <v>A~0</v>
      </c>
    </row>
    <row r="204" spans="1:12">
      <c r="A204">
        <v>1025</v>
      </c>
      <c r="B204" t="s">
        <v>69</v>
      </c>
      <c r="C204" s="3">
        <v>38681</v>
      </c>
      <c r="D204" s="3">
        <v>38796</v>
      </c>
      <c r="E204" t="s">
        <v>18</v>
      </c>
      <c r="F204">
        <v>1</v>
      </c>
      <c r="G204">
        <v>2573</v>
      </c>
      <c r="H204">
        <v>2573</v>
      </c>
      <c r="I204" s="4">
        <v>38686</v>
      </c>
      <c r="J204" s="5">
        <f t="shared" si="6"/>
        <v>-110</v>
      </c>
      <c r="K204" s="6" t="str">
        <f t="shared" si="7"/>
        <v>A~0</v>
      </c>
      <c r="L204" t="str">
        <f>IF(J204&lt;0,"A~0",VLOOKUP(J204,[1]作法V!$B$1:$C$9,2,TRUE))</f>
        <v>A~0</v>
      </c>
    </row>
    <row r="205" spans="1:12">
      <c r="A205">
        <v>1032</v>
      </c>
      <c r="B205" t="s">
        <v>77</v>
      </c>
      <c r="C205" s="3">
        <v>38169</v>
      </c>
      <c r="D205" s="3">
        <v>38285</v>
      </c>
      <c r="E205" t="s">
        <v>18</v>
      </c>
      <c r="F205">
        <v>1</v>
      </c>
      <c r="G205">
        <v>1560</v>
      </c>
      <c r="H205">
        <v>1560</v>
      </c>
      <c r="I205" s="4">
        <v>38686</v>
      </c>
      <c r="J205" s="5">
        <f t="shared" si="6"/>
        <v>401</v>
      </c>
      <c r="K205" s="6" t="str">
        <f t="shared" si="7"/>
        <v>H361~</v>
      </c>
      <c r="L205" t="str">
        <f>IF(J205&lt;0,"A~0",VLOOKUP(J205,[1]作法V!$B$1:$C$9,2,TRUE))</f>
        <v>H361~</v>
      </c>
    </row>
    <row r="206" spans="1:12">
      <c r="A206">
        <v>1032</v>
      </c>
      <c r="B206" t="s">
        <v>77</v>
      </c>
      <c r="C206" s="3">
        <v>38169</v>
      </c>
      <c r="D206" s="3">
        <v>38285</v>
      </c>
      <c r="E206" t="s">
        <v>18</v>
      </c>
      <c r="F206">
        <v>1</v>
      </c>
      <c r="G206">
        <v>3240</v>
      </c>
      <c r="H206">
        <v>3240</v>
      </c>
      <c r="I206" s="4">
        <v>38686</v>
      </c>
      <c r="J206" s="5">
        <f t="shared" si="6"/>
        <v>401</v>
      </c>
      <c r="K206" s="6" t="str">
        <f t="shared" si="7"/>
        <v>H361~</v>
      </c>
      <c r="L206" t="str">
        <f>IF(J206&lt;0,"A~0",VLOOKUP(J206,[1]作法V!$B$1:$C$9,2,TRUE))</f>
        <v>H361~</v>
      </c>
    </row>
    <row r="207" spans="1:12">
      <c r="A207">
        <v>1032</v>
      </c>
      <c r="B207" t="s">
        <v>77</v>
      </c>
      <c r="C207" s="3">
        <v>38176</v>
      </c>
      <c r="D207" s="3">
        <v>38285</v>
      </c>
      <c r="E207" t="s">
        <v>18</v>
      </c>
      <c r="F207">
        <v>1</v>
      </c>
      <c r="G207">
        <v>13680</v>
      </c>
      <c r="H207">
        <v>13680</v>
      </c>
      <c r="I207" s="4">
        <v>38686</v>
      </c>
      <c r="J207" s="5">
        <f t="shared" si="6"/>
        <v>401</v>
      </c>
      <c r="K207" s="6" t="str">
        <f t="shared" si="7"/>
        <v>H361~</v>
      </c>
      <c r="L207" t="str">
        <f>IF(J207&lt;0,"A~0",VLOOKUP(J207,[1]作法V!$B$1:$C$9,2,TRUE))</f>
        <v>H361~</v>
      </c>
    </row>
    <row r="208" spans="1:12">
      <c r="A208">
        <v>1032</v>
      </c>
      <c r="B208" t="s">
        <v>77</v>
      </c>
      <c r="C208" s="3">
        <v>38176</v>
      </c>
      <c r="D208" s="3">
        <v>38285</v>
      </c>
      <c r="E208" t="s">
        <v>18</v>
      </c>
      <c r="F208">
        <v>1</v>
      </c>
      <c r="G208">
        <v>17350</v>
      </c>
      <c r="H208">
        <v>17350</v>
      </c>
      <c r="I208" s="4">
        <v>38686</v>
      </c>
      <c r="J208" s="5">
        <f t="shared" si="6"/>
        <v>401</v>
      </c>
      <c r="K208" s="6" t="str">
        <f t="shared" si="7"/>
        <v>H361~</v>
      </c>
      <c r="L208" t="str">
        <f>IF(J208&lt;0,"A~0",VLOOKUP(J208,[1]作法V!$B$1:$C$9,2,TRUE))</f>
        <v>H361~</v>
      </c>
    </row>
    <row r="209" spans="1:12">
      <c r="A209">
        <v>1032</v>
      </c>
      <c r="B209" t="s">
        <v>77</v>
      </c>
      <c r="C209" s="3">
        <v>38184</v>
      </c>
      <c r="D209" s="3">
        <v>38285</v>
      </c>
      <c r="E209" t="s">
        <v>18</v>
      </c>
      <c r="F209">
        <v>1</v>
      </c>
      <c r="G209">
        <v>4799</v>
      </c>
      <c r="H209">
        <v>4799</v>
      </c>
      <c r="I209" s="4">
        <v>38686</v>
      </c>
      <c r="J209" s="5">
        <f t="shared" si="6"/>
        <v>401</v>
      </c>
      <c r="K209" s="6" t="str">
        <f t="shared" si="7"/>
        <v>H361~</v>
      </c>
      <c r="L209" t="str">
        <f>IF(J209&lt;0,"A~0",VLOOKUP(J209,[1]作法V!$B$1:$C$9,2,TRUE))</f>
        <v>H361~</v>
      </c>
    </row>
    <row r="210" spans="1:12">
      <c r="A210">
        <v>1032</v>
      </c>
      <c r="B210" t="s">
        <v>77</v>
      </c>
      <c r="C210" s="3">
        <v>38316</v>
      </c>
      <c r="D210" s="3">
        <v>38408</v>
      </c>
      <c r="E210" t="s">
        <v>18</v>
      </c>
      <c r="F210">
        <v>1</v>
      </c>
      <c r="G210">
        <v>2250</v>
      </c>
      <c r="H210">
        <v>2250</v>
      </c>
      <c r="I210" s="4">
        <v>38686</v>
      </c>
      <c r="J210" s="5">
        <f t="shared" si="6"/>
        <v>278</v>
      </c>
      <c r="K210" s="6" t="str">
        <f t="shared" si="7"/>
        <v>G181~360</v>
      </c>
      <c r="L210" t="str">
        <f>IF(J210&lt;0,"A~0",VLOOKUP(J210,[1]作法V!$B$1:$C$9,2,TRUE))</f>
        <v>G181~360</v>
      </c>
    </row>
    <row r="211" spans="1:12">
      <c r="A211">
        <v>1032</v>
      </c>
      <c r="B211" t="s">
        <v>77</v>
      </c>
      <c r="C211" s="3">
        <v>38553</v>
      </c>
      <c r="D211" s="3">
        <v>38650</v>
      </c>
      <c r="E211" t="s">
        <v>17</v>
      </c>
      <c r="F211">
        <v>31.95</v>
      </c>
      <c r="G211">
        <v>0.95</v>
      </c>
      <c r="H211">
        <v>30</v>
      </c>
      <c r="I211" s="4">
        <v>38686</v>
      </c>
      <c r="J211" s="5">
        <f t="shared" si="6"/>
        <v>36</v>
      </c>
      <c r="K211" s="6" t="str">
        <f t="shared" si="7"/>
        <v>C31~60</v>
      </c>
      <c r="L211" t="str">
        <f>IF(J211&lt;0,"A~0",VLOOKUP(J211,[1]作法V!$B$1:$C$9,2,TRUE))</f>
        <v>C31~60</v>
      </c>
    </row>
    <row r="212" spans="1:12">
      <c r="A212">
        <v>1032</v>
      </c>
      <c r="B212" t="s">
        <v>77</v>
      </c>
      <c r="C212" s="3">
        <v>38589</v>
      </c>
      <c r="D212" s="3">
        <v>38681</v>
      </c>
      <c r="E212" t="s">
        <v>17</v>
      </c>
      <c r="F212">
        <v>31.905000000000001</v>
      </c>
      <c r="G212">
        <v>140</v>
      </c>
      <c r="H212">
        <v>4467</v>
      </c>
      <c r="I212" s="4">
        <v>38686</v>
      </c>
      <c r="J212" s="5">
        <f t="shared" si="6"/>
        <v>5</v>
      </c>
      <c r="K212" s="6" t="str">
        <f t="shared" si="7"/>
        <v>B1~30</v>
      </c>
      <c r="L212" t="str">
        <f>IF(J212&lt;0,"A~0",VLOOKUP(J212,[1]作法V!$B$1:$C$9,2,TRUE))</f>
        <v>B1~30</v>
      </c>
    </row>
    <row r="213" spans="1:12">
      <c r="A213">
        <v>1032</v>
      </c>
      <c r="B213" t="s">
        <v>77</v>
      </c>
      <c r="C213" s="3">
        <v>38590</v>
      </c>
      <c r="D213" s="3">
        <v>38681</v>
      </c>
      <c r="E213" t="s">
        <v>17</v>
      </c>
      <c r="F213">
        <v>31.905000000000001</v>
      </c>
      <c r="G213">
        <v>175.76</v>
      </c>
      <c r="H213">
        <v>5608</v>
      </c>
      <c r="I213" s="4">
        <v>38686</v>
      </c>
      <c r="J213" s="5">
        <f t="shared" si="6"/>
        <v>5</v>
      </c>
      <c r="K213" s="6" t="str">
        <f t="shared" si="7"/>
        <v>B1~30</v>
      </c>
      <c r="L213" t="str">
        <f>IF(J213&lt;0,"A~0",VLOOKUP(J213,[1]作法V!$B$1:$C$9,2,TRUE))</f>
        <v>B1~30</v>
      </c>
    </row>
    <row r="214" spans="1:12">
      <c r="A214">
        <v>1032</v>
      </c>
      <c r="B214" t="s">
        <v>77</v>
      </c>
      <c r="C214" s="3">
        <v>38590</v>
      </c>
      <c r="D214" s="3">
        <v>38681</v>
      </c>
      <c r="E214" t="s">
        <v>17</v>
      </c>
      <c r="F214">
        <v>31.905000000000001</v>
      </c>
      <c r="G214">
        <v>27.04</v>
      </c>
      <c r="H214">
        <v>863</v>
      </c>
      <c r="I214" s="4">
        <v>38686</v>
      </c>
      <c r="J214" s="5">
        <f t="shared" si="6"/>
        <v>5</v>
      </c>
      <c r="K214" s="6" t="str">
        <f t="shared" si="7"/>
        <v>B1~30</v>
      </c>
      <c r="L214" t="str">
        <f>IF(J214&lt;0,"A~0",VLOOKUP(J214,[1]作法V!$B$1:$C$9,2,TRUE))</f>
        <v>B1~30</v>
      </c>
    </row>
    <row r="215" spans="1:12">
      <c r="A215">
        <v>1032</v>
      </c>
      <c r="B215" t="s">
        <v>77</v>
      </c>
      <c r="C215" s="3">
        <v>38600</v>
      </c>
      <c r="D215" s="3">
        <v>38711</v>
      </c>
      <c r="E215" t="s">
        <v>17</v>
      </c>
      <c r="F215">
        <v>32.195</v>
      </c>
      <c r="G215">
        <v>532.64</v>
      </c>
      <c r="H215">
        <v>17148</v>
      </c>
      <c r="I215" s="4">
        <v>38686</v>
      </c>
      <c r="J215" s="5">
        <f t="shared" si="6"/>
        <v>-25</v>
      </c>
      <c r="K215" s="6" t="str">
        <f t="shared" si="7"/>
        <v>A~0</v>
      </c>
      <c r="L215" t="str">
        <f>IF(J215&lt;0,"A~0",VLOOKUP(J215,[1]作法V!$B$1:$C$9,2,TRUE))</f>
        <v>A~0</v>
      </c>
    </row>
    <row r="216" spans="1:12">
      <c r="A216">
        <v>1032</v>
      </c>
      <c r="B216" t="s">
        <v>77</v>
      </c>
      <c r="C216" s="3">
        <v>38600</v>
      </c>
      <c r="D216" s="3">
        <v>38711</v>
      </c>
      <c r="E216" t="s">
        <v>17</v>
      </c>
      <c r="F216">
        <v>32.195</v>
      </c>
      <c r="G216">
        <v>42</v>
      </c>
      <c r="H216">
        <v>1352</v>
      </c>
      <c r="I216" s="4">
        <v>38686</v>
      </c>
      <c r="J216" s="5">
        <f t="shared" si="6"/>
        <v>-25</v>
      </c>
      <c r="K216" s="6" t="str">
        <f t="shared" si="7"/>
        <v>A~0</v>
      </c>
      <c r="L216" t="str">
        <f>IF(J216&lt;0,"A~0",VLOOKUP(J216,[1]作法V!$B$1:$C$9,2,TRUE))</f>
        <v>A~0</v>
      </c>
    </row>
    <row r="217" spans="1:12">
      <c r="A217">
        <v>1032</v>
      </c>
      <c r="B217" t="s">
        <v>77</v>
      </c>
      <c r="C217" s="3">
        <v>38600</v>
      </c>
      <c r="D217" s="3">
        <v>38711</v>
      </c>
      <c r="E217" t="s">
        <v>17</v>
      </c>
      <c r="F217">
        <v>32.195</v>
      </c>
      <c r="G217">
        <v>420</v>
      </c>
      <c r="H217">
        <v>13522</v>
      </c>
      <c r="I217" s="4">
        <v>38686</v>
      </c>
      <c r="J217" s="5">
        <f t="shared" si="6"/>
        <v>-25</v>
      </c>
      <c r="K217" s="6" t="str">
        <f t="shared" si="7"/>
        <v>A~0</v>
      </c>
      <c r="L217" t="str">
        <f>IF(J217&lt;0,"A~0",VLOOKUP(J217,[1]作法V!$B$1:$C$9,2,TRUE))</f>
        <v>A~0</v>
      </c>
    </row>
    <row r="218" spans="1:12">
      <c r="A218">
        <v>1032</v>
      </c>
      <c r="B218" t="s">
        <v>77</v>
      </c>
      <c r="C218" s="3">
        <v>38600</v>
      </c>
      <c r="D218" s="3">
        <v>38711</v>
      </c>
      <c r="E218" t="s">
        <v>17</v>
      </c>
      <c r="F218">
        <v>32.195</v>
      </c>
      <c r="G218">
        <v>114</v>
      </c>
      <c r="H218">
        <v>3670</v>
      </c>
      <c r="I218" s="4">
        <v>38686</v>
      </c>
      <c r="J218" s="5">
        <f t="shared" si="6"/>
        <v>-25</v>
      </c>
      <c r="K218" s="6" t="str">
        <f t="shared" si="7"/>
        <v>A~0</v>
      </c>
      <c r="L218" t="str">
        <f>IF(J218&lt;0,"A~0",VLOOKUP(J218,[1]作法V!$B$1:$C$9,2,TRUE))</f>
        <v>A~0</v>
      </c>
    </row>
    <row r="219" spans="1:12">
      <c r="A219">
        <v>1032</v>
      </c>
      <c r="B219" t="s">
        <v>77</v>
      </c>
      <c r="C219" s="3">
        <v>38602</v>
      </c>
      <c r="D219" s="3">
        <v>38711</v>
      </c>
      <c r="E219" t="s">
        <v>17</v>
      </c>
      <c r="F219">
        <v>32.195</v>
      </c>
      <c r="G219">
        <v>59.09</v>
      </c>
      <c r="H219">
        <v>1902</v>
      </c>
      <c r="I219" s="4">
        <v>38686</v>
      </c>
      <c r="J219" s="5">
        <f t="shared" si="6"/>
        <v>-25</v>
      </c>
      <c r="K219" s="6" t="str">
        <f t="shared" si="7"/>
        <v>A~0</v>
      </c>
      <c r="L219" t="str">
        <f>IF(J219&lt;0,"A~0",VLOOKUP(J219,[1]作法V!$B$1:$C$9,2,TRUE))</f>
        <v>A~0</v>
      </c>
    </row>
    <row r="220" spans="1:12">
      <c r="A220">
        <v>1032</v>
      </c>
      <c r="B220" t="s">
        <v>77</v>
      </c>
      <c r="C220" s="3">
        <v>38607</v>
      </c>
      <c r="D220" s="3">
        <v>38711</v>
      </c>
      <c r="E220" t="s">
        <v>17</v>
      </c>
      <c r="F220">
        <v>32.365000000000002</v>
      </c>
      <c r="G220">
        <v>79.36</v>
      </c>
      <c r="H220">
        <v>2568</v>
      </c>
      <c r="I220" s="4">
        <v>38686</v>
      </c>
      <c r="J220" s="5">
        <f t="shared" si="6"/>
        <v>-25</v>
      </c>
      <c r="K220" s="6" t="str">
        <f t="shared" si="7"/>
        <v>A~0</v>
      </c>
      <c r="L220" t="str">
        <f>IF(J220&lt;0,"A~0",VLOOKUP(J220,[1]作法V!$B$1:$C$9,2,TRUE))</f>
        <v>A~0</v>
      </c>
    </row>
    <row r="221" spans="1:12">
      <c r="A221">
        <v>1032</v>
      </c>
      <c r="B221" t="s">
        <v>77</v>
      </c>
      <c r="C221" s="3">
        <v>38607</v>
      </c>
      <c r="D221" s="3">
        <v>38711</v>
      </c>
      <c r="E221" t="s">
        <v>17</v>
      </c>
      <c r="F221">
        <v>32.365000000000002</v>
      </c>
      <c r="G221">
        <v>32.4</v>
      </c>
      <c r="H221">
        <v>1049</v>
      </c>
      <c r="I221" s="4">
        <v>38686</v>
      </c>
      <c r="J221" s="5">
        <f t="shared" si="6"/>
        <v>-25</v>
      </c>
      <c r="K221" s="6" t="str">
        <f t="shared" si="7"/>
        <v>A~0</v>
      </c>
      <c r="L221" t="str">
        <f>IF(J221&lt;0,"A~0",VLOOKUP(J221,[1]作法V!$B$1:$C$9,2,TRUE))</f>
        <v>A~0</v>
      </c>
    </row>
    <row r="222" spans="1:12">
      <c r="A222">
        <v>1032</v>
      </c>
      <c r="B222" t="s">
        <v>77</v>
      </c>
      <c r="C222" s="3">
        <v>38611</v>
      </c>
      <c r="D222" s="3">
        <v>38711</v>
      </c>
      <c r="E222" t="s">
        <v>17</v>
      </c>
      <c r="F222">
        <v>32.365000000000002</v>
      </c>
      <c r="G222">
        <v>2663.2</v>
      </c>
      <c r="H222">
        <v>86194</v>
      </c>
      <c r="I222" s="4">
        <v>38686</v>
      </c>
      <c r="J222" s="5">
        <f t="shared" si="6"/>
        <v>-25</v>
      </c>
      <c r="K222" s="6" t="str">
        <f t="shared" si="7"/>
        <v>A~0</v>
      </c>
      <c r="L222" t="str">
        <f>IF(J222&lt;0,"A~0",VLOOKUP(J222,[1]作法V!$B$1:$C$9,2,TRUE))</f>
        <v>A~0</v>
      </c>
    </row>
    <row r="223" spans="1:12">
      <c r="A223">
        <v>1032</v>
      </c>
      <c r="B223" t="s">
        <v>77</v>
      </c>
      <c r="C223" s="3">
        <v>38611</v>
      </c>
      <c r="D223" s="3">
        <v>38711</v>
      </c>
      <c r="E223" t="s">
        <v>17</v>
      </c>
      <c r="F223">
        <v>32.365000000000002</v>
      </c>
      <c r="G223">
        <v>68.400000000000006</v>
      </c>
      <c r="H223">
        <v>2214</v>
      </c>
      <c r="I223" s="4">
        <v>38686</v>
      </c>
      <c r="J223" s="5">
        <f t="shared" si="6"/>
        <v>-25</v>
      </c>
      <c r="K223" s="6" t="str">
        <f t="shared" si="7"/>
        <v>A~0</v>
      </c>
      <c r="L223" t="str">
        <f>IF(J223&lt;0,"A~0",VLOOKUP(J223,[1]作法V!$B$1:$C$9,2,TRUE))</f>
        <v>A~0</v>
      </c>
    </row>
    <row r="224" spans="1:12">
      <c r="A224">
        <v>1032</v>
      </c>
      <c r="B224" t="s">
        <v>77</v>
      </c>
      <c r="C224" s="3">
        <v>38611</v>
      </c>
      <c r="D224" s="3">
        <v>38711</v>
      </c>
      <c r="E224" t="s">
        <v>17</v>
      </c>
      <c r="F224">
        <v>32.365000000000002</v>
      </c>
      <c r="G224">
        <v>23.1</v>
      </c>
      <c r="H224">
        <v>748</v>
      </c>
      <c r="I224" s="4">
        <v>38686</v>
      </c>
      <c r="J224" s="5">
        <f t="shared" si="6"/>
        <v>-25</v>
      </c>
      <c r="K224" s="6" t="str">
        <f t="shared" si="7"/>
        <v>A~0</v>
      </c>
      <c r="L224" t="str">
        <f>IF(J224&lt;0,"A~0",VLOOKUP(J224,[1]作法V!$B$1:$C$9,2,TRUE))</f>
        <v>A~0</v>
      </c>
    </row>
    <row r="225" spans="1:12">
      <c r="A225">
        <v>1032</v>
      </c>
      <c r="B225" t="s">
        <v>77</v>
      </c>
      <c r="C225" s="3">
        <v>38611</v>
      </c>
      <c r="D225" s="3">
        <v>38711</v>
      </c>
      <c r="E225" t="s">
        <v>17</v>
      </c>
      <c r="F225">
        <v>32.365000000000002</v>
      </c>
      <c r="G225">
        <v>37.799999999999997</v>
      </c>
      <c r="H225">
        <v>1223</v>
      </c>
      <c r="I225" s="4">
        <v>38686</v>
      </c>
      <c r="J225" s="5">
        <f t="shared" si="6"/>
        <v>-25</v>
      </c>
      <c r="K225" s="6" t="str">
        <f t="shared" si="7"/>
        <v>A~0</v>
      </c>
      <c r="L225" t="str">
        <f>IF(J225&lt;0,"A~0",VLOOKUP(J225,[1]作法V!$B$1:$C$9,2,TRUE))</f>
        <v>A~0</v>
      </c>
    </row>
    <row r="226" spans="1:12">
      <c r="A226">
        <v>1032</v>
      </c>
      <c r="B226" t="s">
        <v>77</v>
      </c>
      <c r="C226" s="3">
        <v>38611</v>
      </c>
      <c r="D226" s="3">
        <v>38711</v>
      </c>
      <c r="E226" t="s">
        <v>17</v>
      </c>
      <c r="F226">
        <v>32.365000000000002</v>
      </c>
      <c r="G226">
        <v>40</v>
      </c>
      <c r="H226">
        <v>1295</v>
      </c>
      <c r="I226" s="4">
        <v>38686</v>
      </c>
      <c r="J226" s="5">
        <f t="shared" si="6"/>
        <v>-25</v>
      </c>
      <c r="K226" s="6" t="str">
        <f t="shared" si="7"/>
        <v>A~0</v>
      </c>
      <c r="L226" t="str">
        <f>IF(J226&lt;0,"A~0",VLOOKUP(J226,[1]作法V!$B$1:$C$9,2,TRUE))</f>
        <v>A~0</v>
      </c>
    </row>
    <row r="227" spans="1:12">
      <c r="A227">
        <v>1032</v>
      </c>
      <c r="B227" t="s">
        <v>77</v>
      </c>
      <c r="C227" s="3">
        <v>38614</v>
      </c>
      <c r="D227" s="3">
        <v>38711</v>
      </c>
      <c r="E227" t="s">
        <v>17</v>
      </c>
      <c r="F227">
        <v>32.365000000000002</v>
      </c>
      <c r="G227">
        <v>70.59</v>
      </c>
      <c r="H227">
        <v>2285</v>
      </c>
      <c r="I227" s="4">
        <v>38686</v>
      </c>
      <c r="J227" s="5">
        <f t="shared" si="6"/>
        <v>-25</v>
      </c>
      <c r="K227" s="6" t="str">
        <f t="shared" si="7"/>
        <v>A~0</v>
      </c>
      <c r="L227" t="str">
        <f>IF(J227&lt;0,"A~0",VLOOKUP(J227,[1]作法V!$B$1:$C$9,2,TRUE))</f>
        <v>A~0</v>
      </c>
    </row>
    <row r="228" spans="1:12">
      <c r="A228">
        <v>1032</v>
      </c>
      <c r="B228" t="s">
        <v>77</v>
      </c>
      <c r="C228" s="3">
        <v>38614</v>
      </c>
      <c r="D228" s="3">
        <v>38711</v>
      </c>
      <c r="E228" t="s">
        <v>17</v>
      </c>
      <c r="F228">
        <v>32.365000000000002</v>
      </c>
      <c r="G228">
        <v>97.86</v>
      </c>
      <c r="H228">
        <v>3167</v>
      </c>
      <c r="I228" s="4">
        <v>38686</v>
      </c>
      <c r="J228" s="5">
        <f t="shared" si="6"/>
        <v>-25</v>
      </c>
      <c r="K228" s="6" t="str">
        <f t="shared" si="7"/>
        <v>A~0</v>
      </c>
      <c r="L228" t="str">
        <f>IF(J228&lt;0,"A~0",VLOOKUP(J228,[1]作法V!$B$1:$C$9,2,TRUE))</f>
        <v>A~0</v>
      </c>
    </row>
    <row r="229" spans="1:12">
      <c r="A229">
        <v>1032</v>
      </c>
      <c r="B229" t="s">
        <v>77</v>
      </c>
      <c r="C229" s="3">
        <v>38615</v>
      </c>
      <c r="D229" s="3">
        <v>38711</v>
      </c>
      <c r="E229" t="s">
        <v>17</v>
      </c>
      <c r="F229">
        <v>32.365000000000002</v>
      </c>
      <c r="G229">
        <v>24</v>
      </c>
      <c r="H229">
        <v>777</v>
      </c>
      <c r="I229" s="4">
        <v>38686</v>
      </c>
      <c r="J229" s="5">
        <f t="shared" si="6"/>
        <v>-25</v>
      </c>
      <c r="K229" s="6" t="str">
        <f t="shared" si="7"/>
        <v>A~0</v>
      </c>
      <c r="L229" t="str">
        <f>IF(J229&lt;0,"A~0",VLOOKUP(J229,[1]作法V!$B$1:$C$9,2,TRUE))</f>
        <v>A~0</v>
      </c>
    </row>
    <row r="230" spans="1:12">
      <c r="A230">
        <v>1032</v>
      </c>
      <c r="B230" t="s">
        <v>77</v>
      </c>
      <c r="C230" s="3">
        <v>38616</v>
      </c>
      <c r="D230" s="3">
        <v>38711</v>
      </c>
      <c r="E230" t="s">
        <v>17</v>
      </c>
      <c r="F230">
        <v>32.799999999999997</v>
      </c>
      <c r="G230">
        <v>227.61</v>
      </c>
      <c r="H230">
        <v>7466</v>
      </c>
      <c r="I230" s="4">
        <v>38686</v>
      </c>
      <c r="J230" s="5">
        <f t="shared" si="6"/>
        <v>-25</v>
      </c>
      <c r="K230" s="6" t="str">
        <f t="shared" si="7"/>
        <v>A~0</v>
      </c>
      <c r="L230" t="str">
        <f>IF(J230&lt;0,"A~0",VLOOKUP(J230,[1]作法V!$B$1:$C$9,2,TRUE))</f>
        <v>A~0</v>
      </c>
    </row>
    <row r="231" spans="1:12">
      <c r="A231">
        <v>1032</v>
      </c>
      <c r="B231" t="s">
        <v>77</v>
      </c>
      <c r="C231" s="3">
        <v>38616</v>
      </c>
      <c r="D231" s="3">
        <v>38711</v>
      </c>
      <c r="E231" t="s">
        <v>17</v>
      </c>
      <c r="F231">
        <v>32.799999999999997</v>
      </c>
      <c r="G231">
        <v>10.97</v>
      </c>
      <c r="H231">
        <v>360</v>
      </c>
      <c r="I231" s="4">
        <v>38686</v>
      </c>
      <c r="J231" s="5">
        <f t="shared" si="6"/>
        <v>-25</v>
      </c>
      <c r="K231" s="6" t="str">
        <f t="shared" si="7"/>
        <v>A~0</v>
      </c>
      <c r="L231" t="str">
        <f>IF(J231&lt;0,"A~0",VLOOKUP(J231,[1]作法V!$B$1:$C$9,2,TRUE))</f>
        <v>A~0</v>
      </c>
    </row>
    <row r="232" spans="1:12">
      <c r="A232">
        <v>1032</v>
      </c>
      <c r="B232" t="s">
        <v>77</v>
      </c>
      <c r="C232" s="3">
        <v>38617</v>
      </c>
      <c r="D232" s="3">
        <v>38711</v>
      </c>
      <c r="E232" t="s">
        <v>17</v>
      </c>
      <c r="F232">
        <v>32.799999999999997</v>
      </c>
      <c r="G232">
        <v>14.4</v>
      </c>
      <c r="H232">
        <v>472</v>
      </c>
      <c r="I232" s="4">
        <v>38686</v>
      </c>
      <c r="J232" s="5">
        <f t="shared" si="6"/>
        <v>-25</v>
      </c>
      <c r="K232" s="6" t="str">
        <f t="shared" si="7"/>
        <v>A~0</v>
      </c>
      <c r="L232" t="str">
        <f>IF(J232&lt;0,"A~0",VLOOKUP(J232,[1]作法V!$B$1:$C$9,2,TRUE))</f>
        <v>A~0</v>
      </c>
    </row>
    <row r="233" spans="1:12">
      <c r="A233">
        <v>1032</v>
      </c>
      <c r="B233" t="s">
        <v>77</v>
      </c>
      <c r="C233" s="3">
        <v>38621</v>
      </c>
      <c r="D233" s="3">
        <v>38711</v>
      </c>
      <c r="E233" t="s">
        <v>17</v>
      </c>
      <c r="F233">
        <v>32.799999999999997</v>
      </c>
      <c r="G233">
        <v>105</v>
      </c>
      <c r="H233">
        <v>3444</v>
      </c>
      <c r="I233" s="4">
        <v>38686</v>
      </c>
      <c r="J233" s="5">
        <f t="shared" si="6"/>
        <v>-25</v>
      </c>
      <c r="K233" s="6" t="str">
        <f t="shared" si="7"/>
        <v>A~0</v>
      </c>
      <c r="L233" t="str">
        <f>IF(J233&lt;0,"A~0",VLOOKUP(J233,[1]作法V!$B$1:$C$9,2,TRUE))</f>
        <v>A~0</v>
      </c>
    </row>
    <row r="234" spans="1:12">
      <c r="A234">
        <v>1032</v>
      </c>
      <c r="B234" t="s">
        <v>77</v>
      </c>
      <c r="C234" s="3">
        <v>38621</v>
      </c>
      <c r="D234" s="3">
        <v>38711</v>
      </c>
      <c r="E234" t="s">
        <v>17</v>
      </c>
      <c r="F234">
        <v>32.799999999999997</v>
      </c>
      <c r="G234">
        <v>210</v>
      </c>
      <c r="H234">
        <v>6888</v>
      </c>
      <c r="I234" s="4">
        <v>38686</v>
      </c>
      <c r="J234" s="5">
        <f t="shared" si="6"/>
        <v>-25</v>
      </c>
      <c r="K234" s="6" t="str">
        <f t="shared" si="7"/>
        <v>A~0</v>
      </c>
      <c r="L234" t="str">
        <f>IF(J234&lt;0,"A~0",VLOOKUP(J234,[1]作法V!$B$1:$C$9,2,TRUE))</f>
        <v>A~0</v>
      </c>
    </row>
    <row r="235" spans="1:12">
      <c r="A235">
        <v>1032</v>
      </c>
      <c r="B235" t="s">
        <v>77</v>
      </c>
      <c r="C235" s="3">
        <v>38621</v>
      </c>
      <c r="D235" s="3">
        <v>38711</v>
      </c>
      <c r="E235" t="s">
        <v>17</v>
      </c>
      <c r="F235">
        <v>32.799999999999997</v>
      </c>
      <c r="G235">
        <v>70</v>
      </c>
      <c r="H235">
        <v>2296</v>
      </c>
      <c r="I235" s="4">
        <v>38686</v>
      </c>
      <c r="J235" s="5">
        <f t="shared" si="6"/>
        <v>-25</v>
      </c>
      <c r="K235" s="6" t="str">
        <f t="shared" si="7"/>
        <v>A~0</v>
      </c>
      <c r="L235" t="str">
        <f>IF(J235&lt;0,"A~0",VLOOKUP(J235,[1]作法V!$B$1:$C$9,2,TRUE))</f>
        <v>A~0</v>
      </c>
    </row>
    <row r="236" spans="1:12">
      <c r="A236">
        <v>1032</v>
      </c>
      <c r="B236" t="s">
        <v>77</v>
      </c>
      <c r="C236" s="3">
        <v>38622</v>
      </c>
      <c r="D236" s="3">
        <v>38711</v>
      </c>
      <c r="E236" t="s">
        <v>17</v>
      </c>
      <c r="F236">
        <v>32.799999999999997</v>
      </c>
      <c r="G236">
        <v>207</v>
      </c>
      <c r="H236">
        <v>6790</v>
      </c>
      <c r="I236" s="4">
        <v>38686</v>
      </c>
      <c r="J236" s="5">
        <f t="shared" si="6"/>
        <v>-25</v>
      </c>
      <c r="K236" s="6" t="str">
        <f t="shared" si="7"/>
        <v>A~0</v>
      </c>
      <c r="L236" t="str">
        <f>IF(J236&lt;0,"A~0",VLOOKUP(J236,[1]作法V!$B$1:$C$9,2,TRUE))</f>
        <v>A~0</v>
      </c>
    </row>
    <row r="237" spans="1:12">
      <c r="A237">
        <v>1032</v>
      </c>
      <c r="B237" t="s">
        <v>77</v>
      </c>
      <c r="C237" s="3">
        <v>38625</v>
      </c>
      <c r="D237" s="3">
        <v>38711</v>
      </c>
      <c r="E237" t="s">
        <v>17</v>
      </c>
      <c r="F237">
        <v>32.799999999999997</v>
      </c>
      <c r="G237">
        <v>52.14</v>
      </c>
      <c r="H237">
        <v>1710</v>
      </c>
      <c r="I237" s="4">
        <v>38686</v>
      </c>
      <c r="J237" s="5">
        <f t="shared" si="6"/>
        <v>-25</v>
      </c>
      <c r="K237" s="6" t="str">
        <f t="shared" si="7"/>
        <v>A~0</v>
      </c>
      <c r="L237" t="str">
        <f>IF(J237&lt;0,"A~0",VLOOKUP(J237,[1]作法V!$B$1:$C$9,2,TRUE))</f>
        <v>A~0</v>
      </c>
    </row>
    <row r="238" spans="1:12">
      <c r="A238">
        <v>1032</v>
      </c>
      <c r="B238" t="s">
        <v>77</v>
      </c>
      <c r="C238" s="3">
        <v>38628</v>
      </c>
      <c r="D238" s="3">
        <v>38742</v>
      </c>
      <c r="E238" t="s">
        <v>17</v>
      </c>
      <c r="F238">
        <v>33.15</v>
      </c>
      <c r="G238">
        <v>142.06</v>
      </c>
      <c r="H238">
        <v>4709</v>
      </c>
      <c r="I238" s="4">
        <v>38686</v>
      </c>
      <c r="J238" s="5">
        <f t="shared" si="6"/>
        <v>-56</v>
      </c>
      <c r="K238" s="6" t="str">
        <f t="shared" si="7"/>
        <v>A~0</v>
      </c>
      <c r="L238" t="str">
        <f>IF(J238&lt;0,"A~0",VLOOKUP(J238,[1]作法V!$B$1:$C$9,2,TRUE))</f>
        <v>A~0</v>
      </c>
    </row>
    <row r="239" spans="1:12">
      <c r="A239">
        <v>1032</v>
      </c>
      <c r="B239" t="s">
        <v>77</v>
      </c>
      <c r="C239" s="3">
        <v>38638</v>
      </c>
      <c r="D239" s="3">
        <v>38742</v>
      </c>
      <c r="E239" t="s">
        <v>17</v>
      </c>
      <c r="F239">
        <v>33.195</v>
      </c>
      <c r="G239">
        <v>84.68</v>
      </c>
      <c r="H239">
        <v>2811</v>
      </c>
      <c r="I239" s="4">
        <v>38686</v>
      </c>
      <c r="J239" s="5">
        <f t="shared" si="6"/>
        <v>-56</v>
      </c>
      <c r="K239" s="6" t="str">
        <f t="shared" si="7"/>
        <v>A~0</v>
      </c>
      <c r="L239" t="str">
        <f>IF(J239&lt;0,"A~0",VLOOKUP(J239,[1]作法V!$B$1:$C$9,2,TRUE))</f>
        <v>A~0</v>
      </c>
    </row>
    <row r="240" spans="1:12">
      <c r="A240">
        <v>1032</v>
      </c>
      <c r="B240" t="s">
        <v>77</v>
      </c>
      <c r="C240" s="3">
        <v>38638</v>
      </c>
      <c r="D240" s="3">
        <v>38742</v>
      </c>
      <c r="E240" t="s">
        <v>17</v>
      </c>
      <c r="F240">
        <v>33.195</v>
      </c>
      <c r="G240">
        <v>56.45</v>
      </c>
      <c r="H240">
        <v>1874</v>
      </c>
      <c r="I240" s="4">
        <v>38686</v>
      </c>
      <c r="J240" s="5">
        <f t="shared" si="6"/>
        <v>-56</v>
      </c>
      <c r="K240" s="6" t="str">
        <f t="shared" si="7"/>
        <v>A~0</v>
      </c>
      <c r="L240" t="str">
        <f>IF(J240&lt;0,"A~0",VLOOKUP(J240,[1]作法V!$B$1:$C$9,2,TRUE))</f>
        <v>A~0</v>
      </c>
    </row>
    <row r="241" spans="1:12">
      <c r="A241">
        <v>1032</v>
      </c>
      <c r="B241" t="s">
        <v>77</v>
      </c>
      <c r="C241" s="3">
        <v>38639</v>
      </c>
      <c r="D241" s="3">
        <v>38742</v>
      </c>
      <c r="E241" t="s">
        <v>17</v>
      </c>
      <c r="F241">
        <v>33.195</v>
      </c>
      <c r="G241">
        <v>51.3</v>
      </c>
      <c r="H241">
        <v>1703</v>
      </c>
      <c r="I241" s="4">
        <v>38686</v>
      </c>
      <c r="J241" s="5">
        <f t="shared" si="6"/>
        <v>-56</v>
      </c>
      <c r="K241" s="6" t="str">
        <f t="shared" si="7"/>
        <v>A~0</v>
      </c>
      <c r="L241" t="str">
        <f>IF(J241&lt;0,"A~0",VLOOKUP(J241,[1]作法V!$B$1:$C$9,2,TRUE))</f>
        <v>A~0</v>
      </c>
    </row>
    <row r="242" spans="1:12">
      <c r="A242">
        <v>1032</v>
      </c>
      <c r="B242" t="s">
        <v>77</v>
      </c>
      <c r="C242" s="3">
        <v>38639</v>
      </c>
      <c r="D242" s="3">
        <v>38742</v>
      </c>
      <c r="E242" t="s">
        <v>17</v>
      </c>
      <c r="F242">
        <v>33.195</v>
      </c>
      <c r="G242">
        <v>12</v>
      </c>
      <c r="H242">
        <v>398</v>
      </c>
      <c r="I242" s="4">
        <v>38686</v>
      </c>
      <c r="J242" s="5">
        <f t="shared" si="6"/>
        <v>-56</v>
      </c>
      <c r="K242" s="6" t="str">
        <f t="shared" si="7"/>
        <v>A~0</v>
      </c>
      <c r="L242" t="str">
        <f>IF(J242&lt;0,"A~0",VLOOKUP(J242,[1]作法V!$B$1:$C$9,2,TRUE))</f>
        <v>A~0</v>
      </c>
    </row>
    <row r="243" spans="1:12">
      <c r="A243">
        <v>1032</v>
      </c>
      <c r="B243" t="s">
        <v>77</v>
      </c>
      <c r="C243" s="3">
        <v>38639</v>
      </c>
      <c r="D243" s="3">
        <v>38742</v>
      </c>
      <c r="E243" t="s">
        <v>17</v>
      </c>
      <c r="F243">
        <v>33.195</v>
      </c>
      <c r="G243">
        <v>35</v>
      </c>
      <c r="H243">
        <v>1162</v>
      </c>
      <c r="I243" s="4">
        <v>38686</v>
      </c>
      <c r="J243" s="5">
        <f t="shared" si="6"/>
        <v>-56</v>
      </c>
      <c r="K243" s="6" t="str">
        <f t="shared" si="7"/>
        <v>A~0</v>
      </c>
      <c r="L243" t="str">
        <f>IF(J243&lt;0,"A~0",VLOOKUP(J243,[1]作法V!$B$1:$C$9,2,TRUE))</f>
        <v>A~0</v>
      </c>
    </row>
    <row r="244" spans="1:12">
      <c r="A244">
        <v>1032</v>
      </c>
      <c r="B244" t="s">
        <v>77</v>
      </c>
      <c r="C244" s="3">
        <v>38646</v>
      </c>
      <c r="D244" s="3">
        <v>38742</v>
      </c>
      <c r="E244" t="s">
        <v>17</v>
      </c>
      <c r="F244">
        <v>33.4</v>
      </c>
      <c r="G244">
        <v>14.6</v>
      </c>
      <c r="H244">
        <v>488</v>
      </c>
      <c r="I244" s="4">
        <v>38686</v>
      </c>
      <c r="J244" s="5">
        <f t="shared" si="6"/>
        <v>-56</v>
      </c>
      <c r="K244" s="6" t="str">
        <f t="shared" si="7"/>
        <v>A~0</v>
      </c>
      <c r="L244" t="str">
        <f>IF(J244&lt;0,"A~0",VLOOKUP(J244,[1]作法V!$B$1:$C$9,2,TRUE))</f>
        <v>A~0</v>
      </c>
    </row>
    <row r="245" spans="1:12">
      <c r="A245">
        <v>1032</v>
      </c>
      <c r="B245" t="s">
        <v>77</v>
      </c>
      <c r="C245" s="3">
        <v>38646</v>
      </c>
      <c r="D245" s="3">
        <v>38742</v>
      </c>
      <c r="E245" t="s">
        <v>17</v>
      </c>
      <c r="F245">
        <v>33.4</v>
      </c>
      <c r="G245">
        <v>76.08</v>
      </c>
      <c r="H245">
        <v>2541</v>
      </c>
      <c r="I245" s="4">
        <v>38686</v>
      </c>
      <c r="J245" s="5">
        <f t="shared" si="6"/>
        <v>-56</v>
      </c>
      <c r="K245" s="6" t="str">
        <f t="shared" si="7"/>
        <v>A~0</v>
      </c>
      <c r="L245" t="str">
        <f>IF(J245&lt;0,"A~0",VLOOKUP(J245,[1]作法V!$B$1:$C$9,2,TRUE))</f>
        <v>A~0</v>
      </c>
    </row>
    <row r="246" spans="1:12">
      <c r="A246">
        <v>1032</v>
      </c>
      <c r="B246" t="s">
        <v>77</v>
      </c>
      <c r="C246" s="3">
        <v>38646</v>
      </c>
      <c r="D246" s="3">
        <v>38742</v>
      </c>
      <c r="E246" t="s">
        <v>17</v>
      </c>
      <c r="F246">
        <v>33.4</v>
      </c>
      <c r="G246">
        <v>59.67</v>
      </c>
      <c r="H246">
        <v>1993</v>
      </c>
      <c r="I246" s="4">
        <v>38686</v>
      </c>
      <c r="J246" s="5">
        <f t="shared" si="6"/>
        <v>-56</v>
      </c>
      <c r="K246" s="6" t="str">
        <f t="shared" si="7"/>
        <v>A~0</v>
      </c>
      <c r="L246" t="str">
        <f>IF(J246&lt;0,"A~0",VLOOKUP(J246,[1]作法V!$B$1:$C$9,2,TRUE))</f>
        <v>A~0</v>
      </c>
    </row>
    <row r="247" spans="1:12">
      <c r="A247">
        <v>1032</v>
      </c>
      <c r="B247" t="s">
        <v>77</v>
      </c>
      <c r="C247" s="3">
        <v>38649</v>
      </c>
      <c r="D247" s="3">
        <v>38742</v>
      </c>
      <c r="E247" t="s">
        <v>17</v>
      </c>
      <c r="F247">
        <v>33.4</v>
      </c>
      <c r="G247">
        <v>70</v>
      </c>
      <c r="H247">
        <v>2338</v>
      </c>
      <c r="I247" s="4">
        <v>38686</v>
      </c>
      <c r="J247" s="5">
        <f t="shared" si="6"/>
        <v>-56</v>
      </c>
      <c r="K247" s="6" t="str">
        <f t="shared" si="7"/>
        <v>A~0</v>
      </c>
      <c r="L247" t="str">
        <f>IF(J247&lt;0,"A~0",VLOOKUP(J247,[1]作法V!$B$1:$C$9,2,TRUE))</f>
        <v>A~0</v>
      </c>
    </row>
    <row r="248" spans="1:12">
      <c r="A248">
        <v>1032</v>
      </c>
      <c r="B248" t="s">
        <v>77</v>
      </c>
      <c r="C248" s="3">
        <v>38649</v>
      </c>
      <c r="D248" s="3">
        <v>38742</v>
      </c>
      <c r="E248" t="s">
        <v>17</v>
      </c>
      <c r="F248">
        <v>33.4</v>
      </c>
      <c r="G248">
        <v>35</v>
      </c>
      <c r="H248">
        <v>1169</v>
      </c>
      <c r="I248" s="4">
        <v>38686</v>
      </c>
      <c r="J248" s="5">
        <f t="shared" si="6"/>
        <v>-56</v>
      </c>
      <c r="K248" s="6" t="str">
        <f t="shared" si="7"/>
        <v>A~0</v>
      </c>
      <c r="L248" t="str">
        <f>IF(J248&lt;0,"A~0",VLOOKUP(J248,[1]作法V!$B$1:$C$9,2,TRUE))</f>
        <v>A~0</v>
      </c>
    </row>
    <row r="249" spans="1:12">
      <c r="A249">
        <v>1032</v>
      </c>
      <c r="B249" t="s">
        <v>77</v>
      </c>
      <c r="C249" s="3">
        <v>38649</v>
      </c>
      <c r="D249" s="3">
        <v>38742</v>
      </c>
      <c r="E249" t="s">
        <v>17</v>
      </c>
      <c r="F249">
        <v>33.4</v>
      </c>
      <c r="G249">
        <v>105</v>
      </c>
      <c r="H249">
        <v>3507</v>
      </c>
      <c r="I249" s="4">
        <v>38686</v>
      </c>
      <c r="J249" s="5">
        <f t="shared" si="6"/>
        <v>-56</v>
      </c>
      <c r="K249" s="6" t="str">
        <f t="shared" si="7"/>
        <v>A~0</v>
      </c>
      <c r="L249" t="str">
        <f>IF(J249&lt;0,"A~0",VLOOKUP(J249,[1]作法V!$B$1:$C$9,2,TRUE))</f>
        <v>A~0</v>
      </c>
    </row>
    <row r="250" spans="1:12">
      <c r="A250">
        <v>1032</v>
      </c>
      <c r="B250" t="s">
        <v>77</v>
      </c>
      <c r="C250" s="3">
        <v>38649</v>
      </c>
      <c r="D250" s="3">
        <v>38742</v>
      </c>
      <c r="E250" t="s">
        <v>17</v>
      </c>
      <c r="F250">
        <v>33.4</v>
      </c>
      <c r="G250">
        <v>581</v>
      </c>
      <c r="H250">
        <v>19405</v>
      </c>
      <c r="I250" s="4">
        <v>38686</v>
      </c>
      <c r="J250" s="5">
        <f t="shared" si="6"/>
        <v>-56</v>
      </c>
      <c r="K250" s="6" t="str">
        <f t="shared" si="7"/>
        <v>A~0</v>
      </c>
      <c r="L250" t="str">
        <f>IF(J250&lt;0,"A~0",VLOOKUP(J250,[1]作法V!$B$1:$C$9,2,TRUE))</f>
        <v>A~0</v>
      </c>
    </row>
    <row r="251" spans="1:12">
      <c r="A251">
        <v>1032</v>
      </c>
      <c r="B251" t="s">
        <v>77</v>
      </c>
      <c r="C251" s="3">
        <v>38652</v>
      </c>
      <c r="D251" s="3">
        <v>38742</v>
      </c>
      <c r="E251" t="s">
        <v>17</v>
      </c>
      <c r="F251">
        <v>33.4</v>
      </c>
      <c r="G251">
        <v>98.69</v>
      </c>
      <c r="H251">
        <v>3296</v>
      </c>
      <c r="I251" s="4">
        <v>38686</v>
      </c>
      <c r="J251" s="5">
        <f t="shared" si="6"/>
        <v>-56</v>
      </c>
      <c r="K251" s="6" t="str">
        <f t="shared" si="7"/>
        <v>A~0</v>
      </c>
      <c r="L251" t="str">
        <f>IF(J251&lt;0,"A~0",VLOOKUP(J251,[1]作法V!$B$1:$C$9,2,TRUE))</f>
        <v>A~0</v>
      </c>
    </row>
    <row r="252" spans="1:12">
      <c r="A252">
        <v>1032</v>
      </c>
      <c r="B252" t="s">
        <v>77</v>
      </c>
      <c r="C252" s="3">
        <v>38658</v>
      </c>
      <c r="D252" s="3">
        <v>38773</v>
      </c>
      <c r="E252" t="s">
        <v>17</v>
      </c>
      <c r="F252">
        <v>33.715000000000003</v>
      </c>
      <c r="G252">
        <v>28.23</v>
      </c>
      <c r="H252">
        <v>952</v>
      </c>
      <c r="I252" s="4">
        <v>38686</v>
      </c>
      <c r="J252" s="5">
        <f t="shared" si="6"/>
        <v>-87</v>
      </c>
      <c r="K252" s="6" t="str">
        <f t="shared" si="7"/>
        <v>A~0</v>
      </c>
      <c r="L252" t="str">
        <f>IF(J252&lt;0,"A~0",VLOOKUP(J252,[1]作法V!$B$1:$C$9,2,TRUE))</f>
        <v>A~0</v>
      </c>
    </row>
    <row r="253" spans="1:12">
      <c r="A253">
        <v>1032</v>
      </c>
      <c r="B253" t="s">
        <v>77</v>
      </c>
      <c r="C253" s="3">
        <v>38658</v>
      </c>
      <c r="D253" s="3">
        <v>38773</v>
      </c>
      <c r="E253" t="s">
        <v>17</v>
      </c>
      <c r="F253">
        <v>33.715000000000003</v>
      </c>
      <c r="G253">
        <v>517.5</v>
      </c>
      <c r="H253">
        <v>17448</v>
      </c>
      <c r="I253" s="4">
        <v>38686</v>
      </c>
      <c r="J253" s="5">
        <f t="shared" si="6"/>
        <v>-87</v>
      </c>
      <c r="K253" s="6" t="str">
        <f t="shared" si="7"/>
        <v>A~0</v>
      </c>
      <c r="L253" t="str">
        <f>IF(J253&lt;0,"A~0",VLOOKUP(J253,[1]作法V!$B$1:$C$9,2,TRUE))</f>
        <v>A~0</v>
      </c>
    </row>
    <row r="254" spans="1:12">
      <c r="A254">
        <v>1032</v>
      </c>
      <c r="B254" t="s">
        <v>77</v>
      </c>
      <c r="C254" s="3">
        <v>38658</v>
      </c>
      <c r="D254" s="3">
        <v>38773</v>
      </c>
      <c r="E254" t="s">
        <v>17</v>
      </c>
      <c r="F254">
        <v>33.715000000000003</v>
      </c>
      <c r="G254">
        <v>66.400000000000006</v>
      </c>
      <c r="H254">
        <v>2239</v>
      </c>
      <c r="I254" s="4">
        <v>38686</v>
      </c>
      <c r="J254" s="5">
        <f t="shared" si="6"/>
        <v>-87</v>
      </c>
      <c r="K254" s="6" t="str">
        <f t="shared" si="7"/>
        <v>A~0</v>
      </c>
      <c r="L254" t="str">
        <f>IF(J254&lt;0,"A~0",VLOOKUP(J254,[1]作法V!$B$1:$C$9,2,TRUE))</f>
        <v>A~0</v>
      </c>
    </row>
    <row r="255" spans="1:12">
      <c r="A255">
        <v>1032</v>
      </c>
      <c r="B255" t="s">
        <v>77</v>
      </c>
      <c r="C255" s="3">
        <v>38660</v>
      </c>
      <c r="D255" s="3">
        <v>38773</v>
      </c>
      <c r="E255" t="s">
        <v>17</v>
      </c>
      <c r="F255">
        <v>33.715000000000003</v>
      </c>
      <c r="G255">
        <v>29.5</v>
      </c>
      <c r="H255">
        <v>995</v>
      </c>
      <c r="I255" s="4">
        <v>38686</v>
      </c>
      <c r="J255" s="5">
        <f t="shared" si="6"/>
        <v>-87</v>
      </c>
      <c r="K255" s="6" t="str">
        <f t="shared" si="7"/>
        <v>A~0</v>
      </c>
      <c r="L255" t="str">
        <f>IF(J255&lt;0,"A~0",VLOOKUP(J255,[1]作法V!$B$1:$C$9,2,TRUE))</f>
        <v>A~0</v>
      </c>
    </row>
    <row r="256" spans="1:12">
      <c r="A256">
        <v>1032</v>
      </c>
      <c r="B256" t="s">
        <v>77</v>
      </c>
      <c r="C256" s="3">
        <v>38667</v>
      </c>
      <c r="D256" s="3">
        <v>38773</v>
      </c>
      <c r="E256" t="s">
        <v>17</v>
      </c>
      <c r="F256">
        <v>33.634999999999998</v>
      </c>
      <c r="G256">
        <v>49.8</v>
      </c>
      <c r="H256">
        <v>1675</v>
      </c>
      <c r="I256" s="4">
        <v>38686</v>
      </c>
      <c r="J256" s="5">
        <f t="shared" si="6"/>
        <v>-87</v>
      </c>
      <c r="K256" s="6" t="str">
        <f t="shared" si="7"/>
        <v>A~0</v>
      </c>
      <c r="L256" t="str">
        <f>IF(J256&lt;0,"A~0",VLOOKUP(J256,[1]作法V!$B$1:$C$9,2,TRUE))</f>
        <v>A~0</v>
      </c>
    </row>
    <row r="257" spans="1:12">
      <c r="A257">
        <v>1032</v>
      </c>
      <c r="B257" t="s">
        <v>77</v>
      </c>
      <c r="C257" s="3">
        <v>38667</v>
      </c>
      <c r="D257" s="3">
        <v>38773</v>
      </c>
      <c r="E257" t="s">
        <v>17</v>
      </c>
      <c r="F257">
        <v>33.634999999999998</v>
      </c>
      <c r="G257">
        <v>9.1300000000000008</v>
      </c>
      <c r="H257">
        <v>307</v>
      </c>
      <c r="I257" s="4">
        <v>38686</v>
      </c>
      <c r="J257" s="5">
        <f t="shared" si="6"/>
        <v>-87</v>
      </c>
      <c r="K257" s="6" t="str">
        <f t="shared" si="7"/>
        <v>A~0</v>
      </c>
      <c r="L257" t="str">
        <f>IF(J257&lt;0,"A~0",VLOOKUP(J257,[1]作法V!$B$1:$C$9,2,TRUE))</f>
        <v>A~0</v>
      </c>
    </row>
    <row r="258" spans="1:12">
      <c r="A258">
        <v>1032</v>
      </c>
      <c r="B258" t="s">
        <v>77</v>
      </c>
      <c r="C258" s="3">
        <v>38667</v>
      </c>
      <c r="D258" s="3">
        <v>38773</v>
      </c>
      <c r="E258" t="s">
        <v>17</v>
      </c>
      <c r="F258">
        <v>33.634999999999998</v>
      </c>
      <c r="G258">
        <v>70</v>
      </c>
      <c r="H258">
        <v>2354</v>
      </c>
      <c r="I258" s="4">
        <v>38686</v>
      </c>
      <c r="J258" s="5">
        <f t="shared" ref="J258:J321" si="8">I258-D258</f>
        <v>-87</v>
      </c>
      <c r="K258" s="6" t="str">
        <f t="shared" ref="K258:K321" si="9">IF(J258&lt;1,"A~0",IF(J258&lt;31,"B1~30",IF(J258&lt;61,"C31~60",IF(J258&lt;91,"D61~90",IF(J258&lt;121,"E91~120",IF(J258&lt;181,"F121~180",IF(J258&lt;361,"G181~360","H361~")))))))</f>
        <v>A~0</v>
      </c>
      <c r="L258" t="str">
        <f>IF(J258&lt;0,"A~0",VLOOKUP(J258,[1]作法V!$B$1:$C$9,2,TRUE))</f>
        <v>A~0</v>
      </c>
    </row>
    <row r="259" spans="1:12">
      <c r="A259">
        <v>1032</v>
      </c>
      <c r="B259" t="s">
        <v>77</v>
      </c>
      <c r="C259" s="3">
        <v>38667</v>
      </c>
      <c r="D259" s="3">
        <v>38773</v>
      </c>
      <c r="E259" t="s">
        <v>17</v>
      </c>
      <c r="F259">
        <v>33.634999999999998</v>
      </c>
      <c r="G259">
        <v>77</v>
      </c>
      <c r="H259">
        <v>2590</v>
      </c>
      <c r="I259" s="4">
        <v>38686</v>
      </c>
      <c r="J259" s="5">
        <f t="shared" si="8"/>
        <v>-87</v>
      </c>
      <c r="K259" s="6" t="str">
        <f t="shared" si="9"/>
        <v>A~0</v>
      </c>
      <c r="L259" t="str">
        <f>IF(J259&lt;0,"A~0",VLOOKUP(J259,[1]作法V!$B$1:$C$9,2,TRUE))</f>
        <v>A~0</v>
      </c>
    </row>
    <row r="260" spans="1:12">
      <c r="A260">
        <v>1032</v>
      </c>
      <c r="B260" t="s">
        <v>77</v>
      </c>
      <c r="C260" s="3">
        <v>38667</v>
      </c>
      <c r="D260" s="3">
        <v>38773</v>
      </c>
      <c r="E260" t="s">
        <v>17</v>
      </c>
      <c r="F260">
        <v>33.634999999999998</v>
      </c>
      <c r="G260">
        <v>35</v>
      </c>
      <c r="H260">
        <v>1177</v>
      </c>
      <c r="I260" s="4">
        <v>38686</v>
      </c>
      <c r="J260" s="5">
        <f t="shared" si="8"/>
        <v>-87</v>
      </c>
      <c r="K260" s="6" t="str">
        <f t="shared" si="9"/>
        <v>A~0</v>
      </c>
      <c r="L260" t="str">
        <f>IF(J260&lt;0,"A~0",VLOOKUP(J260,[1]作法V!$B$1:$C$9,2,TRUE))</f>
        <v>A~0</v>
      </c>
    </row>
    <row r="261" spans="1:12">
      <c r="A261">
        <v>1032</v>
      </c>
      <c r="B261" t="s">
        <v>77</v>
      </c>
      <c r="C261" s="3">
        <v>38667</v>
      </c>
      <c r="D261" s="3">
        <v>38773</v>
      </c>
      <c r="E261" t="s">
        <v>17</v>
      </c>
      <c r="F261">
        <v>33.634999999999998</v>
      </c>
      <c r="G261">
        <v>124.5</v>
      </c>
      <c r="H261">
        <v>4188</v>
      </c>
      <c r="I261" s="4">
        <v>38686</v>
      </c>
      <c r="J261" s="5">
        <f t="shared" si="8"/>
        <v>-87</v>
      </c>
      <c r="K261" s="6" t="str">
        <f t="shared" si="9"/>
        <v>A~0</v>
      </c>
      <c r="L261" t="str">
        <f>IF(J261&lt;0,"A~0",VLOOKUP(J261,[1]作法V!$B$1:$C$9,2,TRUE))</f>
        <v>A~0</v>
      </c>
    </row>
    <row r="262" spans="1:12">
      <c r="A262">
        <v>1032</v>
      </c>
      <c r="B262" t="s">
        <v>77</v>
      </c>
      <c r="C262" s="3">
        <v>38674</v>
      </c>
      <c r="D262" s="3">
        <v>38773</v>
      </c>
      <c r="E262" t="s">
        <v>17</v>
      </c>
      <c r="F262">
        <v>33.634999999999998</v>
      </c>
      <c r="G262">
        <v>1859.2</v>
      </c>
      <c r="H262">
        <v>62534</v>
      </c>
      <c r="I262" s="4">
        <v>38686</v>
      </c>
      <c r="J262" s="5">
        <f t="shared" si="8"/>
        <v>-87</v>
      </c>
      <c r="K262" s="6" t="str">
        <f t="shared" si="9"/>
        <v>A~0</v>
      </c>
      <c r="L262" t="str">
        <f>IF(J262&lt;0,"A~0",VLOOKUP(J262,[1]作法V!$B$1:$C$9,2,TRUE))</f>
        <v>A~0</v>
      </c>
    </row>
    <row r="263" spans="1:12">
      <c r="A263">
        <v>1032</v>
      </c>
      <c r="B263" t="s">
        <v>77</v>
      </c>
      <c r="C263" s="3">
        <v>38674</v>
      </c>
      <c r="D263" s="3">
        <v>38773</v>
      </c>
      <c r="E263" t="s">
        <v>17</v>
      </c>
      <c r="F263">
        <v>33.634999999999998</v>
      </c>
      <c r="G263">
        <v>73.53</v>
      </c>
      <c r="H263">
        <v>2473</v>
      </c>
      <c r="I263" s="4">
        <v>38686</v>
      </c>
      <c r="J263" s="5">
        <f t="shared" si="8"/>
        <v>-87</v>
      </c>
      <c r="K263" s="6" t="str">
        <f t="shared" si="9"/>
        <v>A~0</v>
      </c>
      <c r="L263" t="str">
        <f>IF(J263&lt;0,"A~0",VLOOKUP(J263,[1]作法V!$B$1:$C$9,2,TRUE))</f>
        <v>A~0</v>
      </c>
    </row>
    <row r="264" spans="1:12">
      <c r="A264">
        <v>1032</v>
      </c>
      <c r="B264" t="s">
        <v>77</v>
      </c>
      <c r="C264" s="3">
        <v>38678</v>
      </c>
      <c r="D264" s="3">
        <v>38773</v>
      </c>
      <c r="E264" t="s">
        <v>17</v>
      </c>
      <c r="F264">
        <v>33.409999999999997</v>
      </c>
      <c r="G264">
        <v>42</v>
      </c>
      <c r="H264">
        <v>1403</v>
      </c>
      <c r="I264" s="4">
        <v>38686</v>
      </c>
      <c r="J264" s="5">
        <f t="shared" si="8"/>
        <v>-87</v>
      </c>
      <c r="K264" s="6" t="str">
        <f t="shared" si="9"/>
        <v>A~0</v>
      </c>
      <c r="L264" t="str">
        <f>IF(J264&lt;0,"A~0",VLOOKUP(J264,[1]作法V!$B$1:$C$9,2,TRUE))</f>
        <v>A~0</v>
      </c>
    </row>
    <row r="265" spans="1:12">
      <c r="A265">
        <v>1032</v>
      </c>
      <c r="B265" t="s">
        <v>77</v>
      </c>
      <c r="C265" s="3">
        <v>38681</v>
      </c>
      <c r="D265" s="3">
        <v>38773</v>
      </c>
      <c r="E265" t="s">
        <v>17</v>
      </c>
      <c r="F265">
        <v>33.409999999999997</v>
      </c>
      <c r="G265">
        <v>50.5</v>
      </c>
      <c r="H265">
        <v>1687</v>
      </c>
      <c r="I265" s="4">
        <v>38686</v>
      </c>
      <c r="J265" s="5">
        <f t="shared" si="8"/>
        <v>-87</v>
      </c>
      <c r="K265" s="6" t="str">
        <f t="shared" si="9"/>
        <v>A~0</v>
      </c>
      <c r="L265" t="str">
        <f>IF(J265&lt;0,"A~0",VLOOKUP(J265,[1]作法V!$B$1:$C$9,2,TRUE))</f>
        <v>A~0</v>
      </c>
    </row>
    <row r="266" spans="1:12">
      <c r="A266">
        <v>1032</v>
      </c>
      <c r="B266" t="s">
        <v>77</v>
      </c>
      <c r="C266" s="3">
        <v>38684</v>
      </c>
      <c r="D266" s="3">
        <v>38773</v>
      </c>
      <c r="E266" t="s">
        <v>17</v>
      </c>
      <c r="F266">
        <v>33.409999999999997</v>
      </c>
      <c r="G266">
        <v>831.76</v>
      </c>
      <c r="H266">
        <v>27789</v>
      </c>
      <c r="I266" s="4">
        <v>38686</v>
      </c>
      <c r="J266" s="5">
        <f t="shared" si="8"/>
        <v>-87</v>
      </c>
      <c r="K266" s="6" t="str">
        <f t="shared" si="9"/>
        <v>A~0</v>
      </c>
      <c r="L266" t="str">
        <f>IF(J266&lt;0,"A~0",VLOOKUP(J266,[1]作法V!$B$1:$C$9,2,TRUE))</f>
        <v>A~0</v>
      </c>
    </row>
    <row r="267" spans="1:12">
      <c r="A267">
        <v>1032</v>
      </c>
      <c r="B267" t="s">
        <v>77</v>
      </c>
      <c r="C267" s="3">
        <v>38684</v>
      </c>
      <c r="D267" s="3">
        <v>38773</v>
      </c>
      <c r="E267" t="s">
        <v>17</v>
      </c>
      <c r="F267">
        <v>33.409999999999997</v>
      </c>
      <c r="G267">
        <v>237.63</v>
      </c>
      <c r="H267">
        <v>7939</v>
      </c>
      <c r="I267" s="4">
        <v>38686</v>
      </c>
      <c r="J267" s="5">
        <f t="shared" si="8"/>
        <v>-87</v>
      </c>
      <c r="K267" s="6" t="str">
        <f t="shared" si="9"/>
        <v>A~0</v>
      </c>
      <c r="L267" t="str">
        <f>IF(J267&lt;0,"A~0",VLOOKUP(J267,[1]作法V!$B$1:$C$9,2,TRUE))</f>
        <v>A~0</v>
      </c>
    </row>
    <row r="268" spans="1:12">
      <c r="A268">
        <v>1033</v>
      </c>
      <c r="B268" t="s">
        <v>114</v>
      </c>
      <c r="C268" s="3">
        <v>38595</v>
      </c>
      <c r="D268" s="3">
        <v>38732</v>
      </c>
      <c r="E268" t="s">
        <v>18</v>
      </c>
      <c r="F268">
        <v>1</v>
      </c>
      <c r="G268">
        <v>3120</v>
      </c>
      <c r="H268">
        <v>3120</v>
      </c>
      <c r="I268" s="4">
        <v>38686</v>
      </c>
      <c r="J268" s="5">
        <f t="shared" si="8"/>
        <v>-46</v>
      </c>
      <c r="K268" s="6" t="str">
        <f t="shared" si="9"/>
        <v>A~0</v>
      </c>
      <c r="L268" t="str">
        <f>IF(J268&lt;0,"A~0",VLOOKUP(J268,[1]作法V!$B$1:$C$9,2,TRUE))</f>
        <v>A~0</v>
      </c>
    </row>
    <row r="269" spans="1:12">
      <c r="A269">
        <v>1033</v>
      </c>
      <c r="B269" t="s">
        <v>114</v>
      </c>
      <c r="C269" s="3">
        <v>38595</v>
      </c>
      <c r="D269" s="3">
        <v>38732</v>
      </c>
      <c r="E269" t="s">
        <v>18</v>
      </c>
      <c r="F269">
        <v>1</v>
      </c>
      <c r="G269">
        <v>2280</v>
      </c>
      <c r="H269">
        <v>2280</v>
      </c>
      <c r="I269" s="4">
        <v>38686</v>
      </c>
      <c r="J269" s="5">
        <f t="shared" si="8"/>
        <v>-46</v>
      </c>
      <c r="K269" s="6" t="str">
        <f t="shared" si="9"/>
        <v>A~0</v>
      </c>
      <c r="L269" t="str">
        <f>IF(J269&lt;0,"A~0",VLOOKUP(J269,[1]作法V!$B$1:$C$9,2,TRUE))</f>
        <v>A~0</v>
      </c>
    </row>
    <row r="270" spans="1:12">
      <c r="A270">
        <v>1033</v>
      </c>
      <c r="B270" t="s">
        <v>114</v>
      </c>
      <c r="C270" s="3">
        <v>38621</v>
      </c>
      <c r="D270" s="3">
        <v>38763</v>
      </c>
      <c r="E270" t="s">
        <v>18</v>
      </c>
      <c r="F270">
        <v>1</v>
      </c>
      <c r="G270">
        <v>1560</v>
      </c>
      <c r="H270">
        <v>1560</v>
      </c>
      <c r="I270" s="4">
        <v>38686</v>
      </c>
      <c r="J270" s="5">
        <f t="shared" si="8"/>
        <v>-77</v>
      </c>
      <c r="K270" s="6" t="str">
        <f t="shared" si="9"/>
        <v>A~0</v>
      </c>
      <c r="L270" t="str">
        <f>IF(J270&lt;0,"A~0",VLOOKUP(J270,[1]作法V!$B$1:$C$9,2,TRUE))</f>
        <v>A~0</v>
      </c>
    </row>
    <row r="271" spans="1:12">
      <c r="A271">
        <v>1033</v>
      </c>
      <c r="B271" t="s">
        <v>114</v>
      </c>
      <c r="C271" s="3">
        <v>38621</v>
      </c>
      <c r="D271" s="3">
        <v>38763</v>
      </c>
      <c r="E271" t="s">
        <v>18</v>
      </c>
      <c r="F271">
        <v>1</v>
      </c>
      <c r="G271">
        <v>3120</v>
      </c>
      <c r="H271">
        <v>3120</v>
      </c>
      <c r="I271" s="4">
        <v>38686</v>
      </c>
      <c r="J271" s="5">
        <f t="shared" si="8"/>
        <v>-77</v>
      </c>
      <c r="K271" s="6" t="str">
        <f t="shared" si="9"/>
        <v>A~0</v>
      </c>
      <c r="L271" t="str">
        <f>IF(J271&lt;0,"A~0",VLOOKUP(J271,[1]作法V!$B$1:$C$9,2,TRUE))</f>
        <v>A~0</v>
      </c>
    </row>
    <row r="272" spans="1:12">
      <c r="A272">
        <v>1033</v>
      </c>
      <c r="B272" t="s">
        <v>114</v>
      </c>
      <c r="C272" s="3">
        <v>38621</v>
      </c>
      <c r="D272" s="3">
        <v>38763</v>
      </c>
      <c r="E272" t="s">
        <v>18</v>
      </c>
      <c r="F272">
        <v>1</v>
      </c>
      <c r="G272">
        <v>2795</v>
      </c>
      <c r="H272">
        <v>2795</v>
      </c>
      <c r="I272" s="4">
        <v>38686</v>
      </c>
      <c r="J272" s="5">
        <f t="shared" si="8"/>
        <v>-77</v>
      </c>
      <c r="K272" s="6" t="str">
        <f t="shared" si="9"/>
        <v>A~0</v>
      </c>
      <c r="L272" t="str">
        <f>IF(J272&lt;0,"A~0",VLOOKUP(J272,[1]作法V!$B$1:$C$9,2,TRUE))</f>
        <v>A~0</v>
      </c>
    </row>
    <row r="273" spans="1:12">
      <c r="A273">
        <v>1033</v>
      </c>
      <c r="B273" t="s">
        <v>114</v>
      </c>
      <c r="C273" s="3">
        <v>38623</v>
      </c>
      <c r="D273" s="3">
        <v>38763</v>
      </c>
      <c r="E273" t="s">
        <v>18</v>
      </c>
      <c r="F273">
        <v>1</v>
      </c>
      <c r="G273">
        <v>3120</v>
      </c>
      <c r="H273">
        <v>3120</v>
      </c>
      <c r="I273" s="4">
        <v>38686</v>
      </c>
      <c r="J273" s="5">
        <f t="shared" si="8"/>
        <v>-77</v>
      </c>
      <c r="K273" s="6" t="str">
        <f t="shared" si="9"/>
        <v>A~0</v>
      </c>
      <c r="L273" t="str">
        <f>IF(J273&lt;0,"A~0",VLOOKUP(J273,[1]作法V!$B$1:$C$9,2,TRUE))</f>
        <v>A~0</v>
      </c>
    </row>
    <row r="274" spans="1:12">
      <c r="A274">
        <v>1033</v>
      </c>
      <c r="B274" t="s">
        <v>114</v>
      </c>
      <c r="C274" s="3">
        <v>38623</v>
      </c>
      <c r="D274" s="3">
        <v>38763</v>
      </c>
      <c r="E274" t="s">
        <v>18</v>
      </c>
      <c r="F274">
        <v>1</v>
      </c>
      <c r="G274">
        <v>3120</v>
      </c>
      <c r="H274">
        <v>3120</v>
      </c>
      <c r="I274" s="4">
        <v>38686</v>
      </c>
      <c r="J274" s="5">
        <f t="shared" si="8"/>
        <v>-77</v>
      </c>
      <c r="K274" s="6" t="str">
        <f t="shared" si="9"/>
        <v>A~0</v>
      </c>
      <c r="L274" t="str">
        <f>IF(J274&lt;0,"A~0",VLOOKUP(J274,[1]作法V!$B$1:$C$9,2,TRUE))</f>
        <v>A~0</v>
      </c>
    </row>
    <row r="275" spans="1:12">
      <c r="A275">
        <v>1033</v>
      </c>
      <c r="B275" t="s">
        <v>114</v>
      </c>
      <c r="C275" s="3">
        <v>38656</v>
      </c>
      <c r="D275" s="3">
        <v>38791</v>
      </c>
      <c r="E275" t="s">
        <v>18</v>
      </c>
      <c r="F275">
        <v>1</v>
      </c>
      <c r="G275">
        <v>7119</v>
      </c>
      <c r="H275">
        <v>7119</v>
      </c>
      <c r="I275" s="4">
        <v>38686</v>
      </c>
      <c r="J275" s="5">
        <f t="shared" si="8"/>
        <v>-105</v>
      </c>
      <c r="K275" s="6" t="str">
        <f t="shared" si="9"/>
        <v>A~0</v>
      </c>
      <c r="L275" t="str">
        <f>IF(J275&lt;0,"A~0",VLOOKUP(J275,[1]作法V!$B$1:$C$9,2,TRUE))</f>
        <v>A~0</v>
      </c>
    </row>
    <row r="276" spans="1:12">
      <c r="A276">
        <v>1033</v>
      </c>
      <c r="B276" t="s">
        <v>114</v>
      </c>
      <c r="C276" s="3">
        <v>38658</v>
      </c>
      <c r="D276" s="3">
        <v>38791</v>
      </c>
      <c r="E276" t="s">
        <v>18</v>
      </c>
      <c r="F276">
        <v>1</v>
      </c>
      <c r="G276">
        <v>12600</v>
      </c>
      <c r="H276">
        <v>12600</v>
      </c>
      <c r="I276" s="4">
        <v>38686</v>
      </c>
      <c r="J276" s="5">
        <f t="shared" si="8"/>
        <v>-105</v>
      </c>
      <c r="K276" s="6" t="str">
        <f t="shared" si="9"/>
        <v>A~0</v>
      </c>
      <c r="L276" t="str">
        <f>IF(J276&lt;0,"A~0",VLOOKUP(J276,[1]作法V!$B$1:$C$9,2,TRUE))</f>
        <v>A~0</v>
      </c>
    </row>
    <row r="277" spans="1:12">
      <c r="A277">
        <v>1033</v>
      </c>
      <c r="B277" t="s">
        <v>114</v>
      </c>
      <c r="C277" s="3">
        <v>38658</v>
      </c>
      <c r="D277" s="3">
        <v>38791</v>
      </c>
      <c r="E277" t="s">
        <v>18</v>
      </c>
      <c r="F277">
        <v>1</v>
      </c>
      <c r="G277">
        <v>9800</v>
      </c>
      <c r="H277">
        <v>9800</v>
      </c>
      <c r="I277" s="4">
        <v>38686</v>
      </c>
      <c r="J277" s="5">
        <f t="shared" si="8"/>
        <v>-105</v>
      </c>
      <c r="K277" s="6" t="str">
        <f t="shared" si="9"/>
        <v>A~0</v>
      </c>
      <c r="L277" t="str">
        <f>IF(J277&lt;0,"A~0",VLOOKUP(J277,[1]作法V!$B$1:$C$9,2,TRUE))</f>
        <v>A~0</v>
      </c>
    </row>
    <row r="278" spans="1:12">
      <c r="A278">
        <v>1033</v>
      </c>
      <c r="B278" t="s">
        <v>114</v>
      </c>
      <c r="C278" s="3">
        <v>38665</v>
      </c>
      <c r="D278" s="3">
        <v>38791</v>
      </c>
      <c r="E278" t="s">
        <v>18</v>
      </c>
      <c r="F278">
        <v>1</v>
      </c>
      <c r="G278">
        <v>1400</v>
      </c>
      <c r="H278">
        <v>1400</v>
      </c>
      <c r="I278" s="4">
        <v>38686</v>
      </c>
      <c r="J278" s="5">
        <f t="shared" si="8"/>
        <v>-105</v>
      </c>
      <c r="K278" s="6" t="str">
        <f t="shared" si="9"/>
        <v>A~0</v>
      </c>
      <c r="L278" t="str">
        <f>IF(J278&lt;0,"A~0",VLOOKUP(J278,[1]作法V!$B$1:$C$9,2,TRUE))</f>
        <v>A~0</v>
      </c>
    </row>
    <row r="279" spans="1:12">
      <c r="A279">
        <v>1036</v>
      </c>
      <c r="B279" t="s">
        <v>79</v>
      </c>
      <c r="C279" s="3">
        <v>38512</v>
      </c>
      <c r="D279" s="3">
        <v>38600</v>
      </c>
      <c r="E279" t="s">
        <v>18</v>
      </c>
      <c r="F279">
        <v>1</v>
      </c>
      <c r="G279">
        <v>20000</v>
      </c>
      <c r="H279">
        <v>20000</v>
      </c>
      <c r="I279" s="4">
        <v>38686</v>
      </c>
      <c r="J279" s="5">
        <f t="shared" si="8"/>
        <v>86</v>
      </c>
      <c r="K279" s="6" t="str">
        <f t="shared" si="9"/>
        <v>D61~90</v>
      </c>
      <c r="L279" t="str">
        <f>IF(J279&lt;0,"A~0",VLOOKUP(J279,[1]作法V!$B$1:$C$9,2,TRUE))</f>
        <v>D61-90</v>
      </c>
    </row>
    <row r="280" spans="1:12">
      <c r="A280">
        <v>1036</v>
      </c>
      <c r="B280" t="s">
        <v>79</v>
      </c>
      <c r="C280" s="3">
        <v>38519</v>
      </c>
      <c r="D280" s="3">
        <v>38600</v>
      </c>
      <c r="E280" t="s">
        <v>18</v>
      </c>
      <c r="F280">
        <v>1</v>
      </c>
      <c r="G280">
        <v>2400</v>
      </c>
      <c r="H280">
        <v>2400</v>
      </c>
      <c r="I280" s="4">
        <v>38686</v>
      </c>
      <c r="J280" s="5">
        <f t="shared" si="8"/>
        <v>86</v>
      </c>
      <c r="K280" s="6" t="str">
        <f t="shared" si="9"/>
        <v>D61~90</v>
      </c>
      <c r="L280" t="str">
        <f>IF(J280&lt;0,"A~0",VLOOKUP(J280,[1]作法V!$B$1:$C$9,2,TRUE))</f>
        <v>D61-90</v>
      </c>
    </row>
    <row r="281" spans="1:12">
      <c r="A281">
        <v>1036</v>
      </c>
      <c r="B281" t="s">
        <v>79</v>
      </c>
      <c r="C281" s="3">
        <v>38519</v>
      </c>
      <c r="D281" s="3">
        <v>38600</v>
      </c>
      <c r="E281" t="s">
        <v>18</v>
      </c>
      <c r="F281">
        <v>1</v>
      </c>
      <c r="G281">
        <v>5000</v>
      </c>
      <c r="H281">
        <v>5000</v>
      </c>
      <c r="I281" s="4">
        <v>38686</v>
      </c>
      <c r="J281" s="5">
        <f t="shared" si="8"/>
        <v>86</v>
      </c>
      <c r="K281" s="6" t="str">
        <f t="shared" si="9"/>
        <v>D61~90</v>
      </c>
      <c r="L281" t="str">
        <f>IF(J281&lt;0,"A~0",VLOOKUP(J281,[1]作法V!$B$1:$C$9,2,TRUE))</f>
        <v>D61-90</v>
      </c>
    </row>
    <row r="282" spans="1:12">
      <c r="A282">
        <v>1036</v>
      </c>
      <c r="B282" t="s">
        <v>79</v>
      </c>
      <c r="C282" s="3">
        <v>38519</v>
      </c>
      <c r="D282" s="3">
        <v>38600</v>
      </c>
      <c r="E282" t="s">
        <v>18</v>
      </c>
      <c r="F282">
        <v>1</v>
      </c>
      <c r="G282">
        <v>14000</v>
      </c>
      <c r="H282">
        <v>14000</v>
      </c>
      <c r="I282" s="4">
        <v>38686</v>
      </c>
      <c r="J282" s="5">
        <f t="shared" si="8"/>
        <v>86</v>
      </c>
      <c r="K282" s="6" t="str">
        <f t="shared" si="9"/>
        <v>D61~90</v>
      </c>
      <c r="L282" t="str">
        <f>IF(J282&lt;0,"A~0",VLOOKUP(J282,[1]作法V!$B$1:$C$9,2,TRUE))</f>
        <v>D61-90</v>
      </c>
    </row>
    <row r="283" spans="1:12">
      <c r="A283">
        <v>1036</v>
      </c>
      <c r="B283" t="s">
        <v>79</v>
      </c>
      <c r="C283" s="3">
        <v>38519</v>
      </c>
      <c r="D283" s="3">
        <v>38600</v>
      </c>
      <c r="E283" t="s">
        <v>18</v>
      </c>
      <c r="F283">
        <v>1</v>
      </c>
      <c r="G283">
        <v>3300</v>
      </c>
      <c r="H283">
        <v>3300</v>
      </c>
      <c r="I283" s="4">
        <v>38686</v>
      </c>
      <c r="J283" s="5">
        <f t="shared" si="8"/>
        <v>86</v>
      </c>
      <c r="K283" s="6" t="str">
        <f t="shared" si="9"/>
        <v>D61~90</v>
      </c>
      <c r="L283" t="str">
        <f>IF(J283&lt;0,"A~0",VLOOKUP(J283,[1]作法V!$B$1:$C$9,2,TRUE))</f>
        <v>D61-90</v>
      </c>
    </row>
    <row r="284" spans="1:12">
      <c r="A284">
        <v>1036</v>
      </c>
      <c r="B284" t="s">
        <v>79</v>
      </c>
      <c r="C284" s="3">
        <v>38519</v>
      </c>
      <c r="D284" s="3">
        <v>38600</v>
      </c>
      <c r="E284" t="s">
        <v>18</v>
      </c>
      <c r="F284">
        <v>1</v>
      </c>
      <c r="G284">
        <v>21000</v>
      </c>
      <c r="H284">
        <v>21000</v>
      </c>
      <c r="I284" s="4">
        <v>38686</v>
      </c>
      <c r="J284" s="5">
        <f t="shared" si="8"/>
        <v>86</v>
      </c>
      <c r="K284" s="6" t="str">
        <f t="shared" si="9"/>
        <v>D61~90</v>
      </c>
      <c r="L284" t="str">
        <f>IF(J284&lt;0,"A~0",VLOOKUP(J284,[1]作法V!$B$1:$C$9,2,TRUE))</f>
        <v>D61-90</v>
      </c>
    </row>
    <row r="285" spans="1:12">
      <c r="A285">
        <v>1036</v>
      </c>
      <c r="B285" t="s">
        <v>79</v>
      </c>
      <c r="C285" s="3">
        <v>38525</v>
      </c>
      <c r="D285" s="3">
        <v>38600</v>
      </c>
      <c r="E285" t="s">
        <v>18</v>
      </c>
      <c r="F285">
        <v>1</v>
      </c>
      <c r="G285">
        <v>25620</v>
      </c>
      <c r="H285">
        <v>25620</v>
      </c>
      <c r="I285" s="4">
        <v>38686</v>
      </c>
      <c r="J285" s="5">
        <f t="shared" si="8"/>
        <v>86</v>
      </c>
      <c r="K285" s="6" t="str">
        <f t="shared" si="9"/>
        <v>D61~90</v>
      </c>
      <c r="L285" t="str">
        <f>IF(J285&lt;0,"A~0",VLOOKUP(J285,[1]作法V!$B$1:$C$9,2,TRUE))</f>
        <v>D61-90</v>
      </c>
    </row>
    <row r="286" spans="1:12">
      <c r="A286">
        <v>1036</v>
      </c>
      <c r="B286" t="s">
        <v>79</v>
      </c>
      <c r="C286" s="3">
        <v>38531</v>
      </c>
      <c r="D286" s="3">
        <v>38630</v>
      </c>
      <c r="E286" t="s">
        <v>18</v>
      </c>
      <c r="F286">
        <v>1</v>
      </c>
      <c r="G286">
        <v>16380</v>
      </c>
      <c r="H286">
        <v>16380</v>
      </c>
      <c r="I286" s="4">
        <v>38686</v>
      </c>
      <c r="J286" s="5">
        <f t="shared" si="8"/>
        <v>56</v>
      </c>
      <c r="K286" s="6" t="str">
        <f t="shared" si="9"/>
        <v>C31~60</v>
      </c>
      <c r="L286" t="str">
        <f>IF(J286&lt;0,"A~0",VLOOKUP(J286,[1]作法V!$B$1:$C$9,2,TRUE))</f>
        <v>C31~60</v>
      </c>
    </row>
    <row r="287" spans="1:12">
      <c r="A287">
        <v>1036</v>
      </c>
      <c r="B287" t="s">
        <v>79</v>
      </c>
      <c r="C287" s="3">
        <v>38539</v>
      </c>
      <c r="D287" s="3">
        <v>38630</v>
      </c>
      <c r="E287" t="s">
        <v>18</v>
      </c>
      <c r="F287">
        <v>1</v>
      </c>
      <c r="G287">
        <v>4500</v>
      </c>
      <c r="H287">
        <v>4500</v>
      </c>
      <c r="I287" s="4">
        <v>38686</v>
      </c>
      <c r="J287" s="5">
        <f t="shared" si="8"/>
        <v>56</v>
      </c>
      <c r="K287" s="6" t="str">
        <f t="shared" si="9"/>
        <v>C31~60</v>
      </c>
      <c r="L287" t="str">
        <f>IF(J287&lt;0,"A~0",VLOOKUP(J287,[1]作法V!$B$1:$C$9,2,TRUE))</f>
        <v>C31~60</v>
      </c>
    </row>
    <row r="288" spans="1:12">
      <c r="A288">
        <v>1036</v>
      </c>
      <c r="B288" t="s">
        <v>79</v>
      </c>
      <c r="C288" s="3">
        <v>38539</v>
      </c>
      <c r="D288" s="3">
        <v>38630</v>
      </c>
      <c r="E288" t="s">
        <v>18</v>
      </c>
      <c r="F288">
        <v>1</v>
      </c>
      <c r="G288">
        <v>6490</v>
      </c>
      <c r="H288">
        <v>6490</v>
      </c>
      <c r="I288" s="4">
        <v>38686</v>
      </c>
      <c r="J288" s="5">
        <f t="shared" si="8"/>
        <v>56</v>
      </c>
      <c r="K288" s="6" t="str">
        <f t="shared" si="9"/>
        <v>C31~60</v>
      </c>
      <c r="L288" t="str">
        <f>IF(J288&lt;0,"A~0",VLOOKUP(J288,[1]作法V!$B$1:$C$9,2,TRUE))</f>
        <v>C31~60</v>
      </c>
    </row>
    <row r="289" spans="1:12">
      <c r="A289">
        <v>1036</v>
      </c>
      <c r="B289" t="s">
        <v>79</v>
      </c>
      <c r="C289" s="3">
        <v>38539</v>
      </c>
      <c r="D289" s="3">
        <v>38630</v>
      </c>
      <c r="E289" t="s">
        <v>18</v>
      </c>
      <c r="F289">
        <v>1</v>
      </c>
      <c r="G289">
        <v>2400</v>
      </c>
      <c r="H289">
        <v>2400</v>
      </c>
      <c r="I289" s="4">
        <v>38686</v>
      </c>
      <c r="J289" s="5">
        <f t="shared" si="8"/>
        <v>56</v>
      </c>
      <c r="K289" s="6" t="str">
        <f t="shared" si="9"/>
        <v>C31~60</v>
      </c>
      <c r="L289" t="str">
        <f>IF(J289&lt;0,"A~0",VLOOKUP(J289,[1]作法V!$B$1:$C$9,2,TRUE))</f>
        <v>C31~60</v>
      </c>
    </row>
    <row r="290" spans="1:12">
      <c r="A290">
        <v>1036</v>
      </c>
      <c r="B290" t="s">
        <v>79</v>
      </c>
      <c r="C290" s="3">
        <v>38539</v>
      </c>
      <c r="D290" s="3">
        <v>38630</v>
      </c>
      <c r="E290" t="s">
        <v>18</v>
      </c>
      <c r="F290">
        <v>1</v>
      </c>
      <c r="G290">
        <v>13500</v>
      </c>
      <c r="H290">
        <v>13500</v>
      </c>
      <c r="I290" s="4">
        <v>38686</v>
      </c>
      <c r="J290" s="5">
        <f t="shared" si="8"/>
        <v>56</v>
      </c>
      <c r="K290" s="6" t="str">
        <f t="shared" si="9"/>
        <v>C31~60</v>
      </c>
      <c r="L290" t="str">
        <f>IF(J290&lt;0,"A~0",VLOOKUP(J290,[1]作法V!$B$1:$C$9,2,TRUE))</f>
        <v>C31~60</v>
      </c>
    </row>
    <row r="291" spans="1:12">
      <c r="A291">
        <v>1036</v>
      </c>
      <c r="B291" t="s">
        <v>79</v>
      </c>
      <c r="C291" s="3">
        <v>38544</v>
      </c>
      <c r="D291" s="3">
        <v>38630</v>
      </c>
      <c r="E291" t="s">
        <v>18</v>
      </c>
      <c r="F291">
        <v>1</v>
      </c>
      <c r="G291">
        <v>4500</v>
      </c>
      <c r="H291">
        <v>4500</v>
      </c>
      <c r="I291" s="4">
        <v>38686</v>
      </c>
      <c r="J291" s="5">
        <f t="shared" si="8"/>
        <v>56</v>
      </c>
      <c r="K291" s="6" t="str">
        <f t="shared" si="9"/>
        <v>C31~60</v>
      </c>
      <c r="L291" t="str">
        <f>IF(J291&lt;0,"A~0",VLOOKUP(J291,[1]作法V!$B$1:$C$9,2,TRUE))</f>
        <v>C31~60</v>
      </c>
    </row>
    <row r="292" spans="1:12">
      <c r="A292">
        <v>1036</v>
      </c>
      <c r="B292" t="s">
        <v>79</v>
      </c>
      <c r="C292" s="3">
        <v>38544</v>
      </c>
      <c r="D292" s="3">
        <v>38630</v>
      </c>
      <c r="E292" t="s">
        <v>18</v>
      </c>
      <c r="F292">
        <v>1</v>
      </c>
      <c r="G292">
        <v>6490</v>
      </c>
      <c r="H292">
        <v>6490</v>
      </c>
      <c r="I292" s="4">
        <v>38686</v>
      </c>
      <c r="J292" s="5">
        <f t="shared" si="8"/>
        <v>56</v>
      </c>
      <c r="K292" s="6" t="str">
        <f t="shared" si="9"/>
        <v>C31~60</v>
      </c>
      <c r="L292" t="str">
        <f>IF(J292&lt;0,"A~0",VLOOKUP(J292,[1]作法V!$B$1:$C$9,2,TRUE))</f>
        <v>C31~60</v>
      </c>
    </row>
    <row r="293" spans="1:12">
      <c r="A293">
        <v>1036</v>
      </c>
      <c r="B293" t="s">
        <v>79</v>
      </c>
      <c r="C293" s="3">
        <v>38544</v>
      </c>
      <c r="D293" s="3">
        <v>38630</v>
      </c>
      <c r="E293" t="s">
        <v>18</v>
      </c>
      <c r="F293">
        <v>1</v>
      </c>
      <c r="G293">
        <v>13500</v>
      </c>
      <c r="H293">
        <v>13500</v>
      </c>
      <c r="I293" s="4">
        <v>38686</v>
      </c>
      <c r="J293" s="5">
        <f t="shared" si="8"/>
        <v>56</v>
      </c>
      <c r="K293" s="6" t="str">
        <f t="shared" si="9"/>
        <v>C31~60</v>
      </c>
      <c r="L293" t="str">
        <f>IF(J293&lt;0,"A~0",VLOOKUP(J293,[1]作法V!$B$1:$C$9,2,TRUE))</f>
        <v>C31~60</v>
      </c>
    </row>
    <row r="294" spans="1:12">
      <c r="A294">
        <v>1036</v>
      </c>
      <c r="B294" t="s">
        <v>79</v>
      </c>
      <c r="C294" s="3">
        <v>38558</v>
      </c>
      <c r="D294" s="3">
        <v>38661</v>
      </c>
      <c r="E294" t="s">
        <v>18</v>
      </c>
      <c r="F294">
        <v>1</v>
      </c>
      <c r="G294">
        <v>2080</v>
      </c>
      <c r="H294">
        <v>2080</v>
      </c>
      <c r="I294" s="4">
        <v>38686</v>
      </c>
      <c r="J294" s="5">
        <f t="shared" si="8"/>
        <v>25</v>
      </c>
      <c r="K294" s="6" t="str">
        <f t="shared" si="9"/>
        <v>B1~30</v>
      </c>
      <c r="L294" t="str">
        <f>IF(J294&lt;0,"A~0",VLOOKUP(J294,[1]作法V!$B$1:$C$9,2,TRUE))</f>
        <v>B1~30</v>
      </c>
    </row>
    <row r="295" spans="1:12">
      <c r="A295">
        <v>1036</v>
      </c>
      <c r="B295" t="s">
        <v>79</v>
      </c>
      <c r="C295" s="3">
        <v>38558</v>
      </c>
      <c r="D295" s="3">
        <v>38661</v>
      </c>
      <c r="E295" t="s">
        <v>18</v>
      </c>
      <c r="F295">
        <v>1</v>
      </c>
      <c r="G295">
        <v>13500</v>
      </c>
      <c r="H295">
        <v>13500</v>
      </c>
      <c r="I295" s="4">
        <v>38686</v>
      </c>
      <c r="J295" s="5">
        <f t="shared" si="8"/>
        <v>25</v>
      </c>
      <c r="K295" s="6" t="str">
        <f t="shared" si="9"/>
        <v>B1~30</v>
      </c>
      <c r="L295" t="str">
        <f>IF(J295&lt;0,"A~0",VLOOKUP(J295,[1]作法V!$B$1:$C$9,2,TRUE))</f>
        <v>B1~30</v>
      </c>
    </row>
    <row r="296" spans="1:12">
      <c r="A296">
        <v>1036</v>
      </c>
      <c r="B296" t="s">
        <v>79</v>
      </c>
      <c r="C296" s="3">
        <v>38558</v>
      </c>
      <c r="D296" s="3">
        <v>38661</v>
      </c>
      <c r="E296" t="s">
        <v>18</v>
      </c>
      <c r="F296">
        <v>1</v>
      </c>
      <c r="G296">
        <v>4500</v>
      </c>
      <c r="H296">
        <v>4500</v>
      </c>
      <c r="I296" s="4">
        <v>38686</v>
      </c>
      <c r="J296" s="5">
        <f t="shared" si="8"/>
        <v>25</v>
      </c>
      <c r="K296" s="6" t="str">
        <f t="shared" si="9"/>
        <v>B1~30</v>
      </c>
      <c r="L296" t="str">
        <f>IF(J296&lt;0,"A~0",VLOOKUP(J296,[1]作法V!$B$1:$C$9,2,TRUE))</f>
        <v>B1~30</v>
      </c>
    </row>
    <row r="297" spans="1:12">
      <c r="A297">
        <v>1036</v>
      </c>
      <c r="B297" t="s">
        <v>79</v>
      </c>
      <c r="C297" s="3">
        <v>38558</v>
      </c>
      <c r="D297" s="3">
        <v>38661</v>
      </c>
      <c r="E297" t="s">
        <v>18</v>
      </c>
      <c r="F297">
        <v>1</v>
      </c>
      <c r="G297">
        <v>9145</v>
      </c>
      <c r="H297">
        <v>9145</v>
      </c>
      <c r="I297" s="4">
        <v>38686</v>
      </c>
      <c r="J297" s="5">
        <f t="shared" si="8"/>
        <v>25</v>
      </c>
      <c r="K297" s="6" t="str">
        <f t="shared" si="9"/>
        <v>B1~30</v>
      </c>
      <c r="L297" t="str">
        <f>IF(J297&lt;0,"A~0",VLOOKUP(J297,[1]作法V!$B$1:$C$9,2,TRUE))</f>
        <v>B1~30</v>
      </c>
    </row>
    <row r="298" spans="1:12">
      <c r="A298">
        <v>1036</v>
      </c>
      <c r="B298" t="s">
        <v>79</v>
      </c>
      <c r="C298" s="3">
        <v>38589</v>
      </c>
      <c r="D298" s="3">
        <v>38691</v>
      </c>
      <c r="E298" t="s">
        <v>18</v>
      </c>
      <c r="F298">
        <v>1</v>
      </c>
      <c r="G298">
        <v>82400</v>
      </c>
      <c r="H298">
        <v>82400</v>
      </c>
      <c r="I298" s="4">
        <v>38686</v>
      </c>
      <c r="J298" s="5">
        <f t="shared" si="8"/>
        <v>-5</v>
      </c>
      <c r="K298" s="6" t="str">
        <f t="shared" si="9"/>
        <v>A~0</v>
      </c>
      <c r="L298" t="str">
        <f>IF(J298&lt;0,"A~0",VLOOKUP(J298,[1]作法V!$B$1:$C$9,2,TRUE))</f>
        <v>A~0</v>
      </c>
    </row>
    <row r="299" spans="1:12">
      <c r="A299">
        <v>1036</v>
      </c>
      <c r="B299" t="s">
        <v>79</v>
      </c>
      <c r="C299" s="3">
        <v>38589</v>
      </c>
      <c r="D299" s="3">
        <v>38691</v>
      </c>
      <c r="E299" t="s">
        <v>18</v>
      </c>
      <c r="F299">
        <v>1</v>
      </c>
      <c r="G299">
        <v>100000</v>
      </c>
      <c r="H299">
        <v>100000</v>
      </c>
      <c r="I299" s="4">
        <v>38686</v>
      </c>
      <c r="J299" s="5">
        <f t="shared" si="8"/>
        <v>-5</v>
      </c>
      <c r="K299" s="6" t="str">
        <f t="shared" si="9"/>
        <v>A~0</v>
      </c>
      <c r="L299" t="str">
        <f>IF(J299&lt;0,"A~0",VLOOKUP(J299,[1]作法V!$B$1:$C$9,2,TRUE))</f>
        <v>A~0</v>
      </c>
    </row>
    <row r="300" spans="1:12">
      <c r="A300">
        <v>1036</v>
      </c>
      <c r="B300" t="s">
        <v>79</v>
      </c>
      <c r="C300" s="3">
        <v>38630</v>
      </c>
      <c r="D300" s="3">
        <v>38722</v>
      </c>
      <c r="E300" t="s">
        <v>18</v>
      </c>
      <c r="F300">
        <v>1</v>
      </c>
      <c r="G300">
        <v>21000</v>
      </c>
      <c r="H300">
        <v>21000</v>
      </c>
      <c r="I300" s="4">
        <v>38686</v>
      </c>
      <c r="J300" s="5">
        <f t="shared" si="8"/>
        <v>-36</v>
      </c>
      <c r="K300" s="6" t="str">
        <f t="shared" si="9"/>
        <v>A~0</v>
      </c>
      <c r="L300" t="str">
        <f>IF(J300&lt;0,"A~0",VLOOKUP(J300,[1]作法V!$B$1:$C$9,2,TRUE))</f>
        <v>A~0</v>
      </c>
    </row>
    <row r="301" spans="1:12">
      <c r="A301">
        <v>1036</v>
      </c>
      <c r="B301" t="s">
        <v>79</v>
      </c>
      <c r="C301" s="3">
        <v>38664</v>
      </c>
      <c r="D301" s="3">
        <v>38753</v>
      </c>
      <c r="E301" t="s">
        <v>18</v>
      </c>
      <c r="F301">
        <v>1</v>
      </c>
      <c r="G301">
        <v>49000</v>
      </c>
      <c r="H301">
        <v>49000</v>
      </c>
      <c r="I301" s="4">
        <v>38686</v>
      </c>
      <c r="J301" s="5">
        <f t="shared" si="8"/>
        <v>-67</v>
      </c>
      <c r="K301" s="6" t="str">
        <f t="shared" si="9"/>
        <v>A~0</v>
      </c>
      <c r="L301" t="str">
        <f>IF(J301&lt;0,"A~0",VLOOKUP(J301,[1]作法V!$B$1:$C$9,2,TRUE))</f>
        <v>A~0</v>
      </c>
    </row>
    <row r="302" spans="1:12">
      <c r="A302">
        <v>1036</v>
      </c>
      <c r="B302" t="s">
        <v>79</v>
      </c>
      <c r="C302" s="3">
        <v>38664</v>
      </c>
      <c r="D302" s="3">
        <v>38753</v>
      </c>
      <c r="E302" t="s">
        <v>18</v>
      </c>
      <c r="F302">
        <v>1</v>
      </c>
      <c r="G302">
        <v>8000</v>
      </c>
      <c r="H302">
        <v>8000</v>
      </c>
      <c r="I302" s="4">
        <v>38686</v>
      </c>
      <c r="J302" s="5">
        <f t="shared" si="8"/>
        <v>-67</v>
      </c>
      <c r="K302" s="6" t="str">
        <f t="shared" si="9"/>
        <v>A~0</v>
      </c>
      <c r="L302" t="str">
        <f>IF(J302&lt;0,"A~0",VLOOKUP(J302,[1]作法V!$B$1:$C$9,2,TRUE))</f>
        <v>A~0</v>
      </c>
    </row>
    <row r="303" spans="1:12">
      <c r="A303">
        <v>1036</v>
      </c>
      <c r="B303" t="s">
        <v>79</v>
      </c>
      <c r="C303" s="3">
        <v>38665</v>
      </c>
      <c r="D303" s="3">
        <v>38753</v>
      </c>
      <c r="E303" t="s">
        <v>18</v>
      </c>
      <c r="F303">
        <v>1</v>
      </c>
      <c r="G303">
        <v>22200</v>
      </c>
      <c r="H303">
        <v>22200</v>
      </c>
      <c r="I303" s="4">
        <v>38686</v>
      </c>
      <c r="J303" s="5">
        <f t="shared" si="8"/>
        <v>-67</v>
      </c>
      <c r="K303" s="6" t="str">
        <f t="shared" si="9"/>
        <v>A~0</v>
      </c>
      <c r="L303" t="str">
        <f>IF(J303&lt;0,"A~0",VLOOKUP(J303,[1]作法V!$B$1:$C$9,2,TRUE))</f>
        <v>A~0</v>
      </c>
    </row>
    <row r="304" spans="1:12">
      <c r="A304">
        <v>1036</v>
      </c>
      <c r="B304" t="s">
        <v>79</v>
      </c>
      <c r="C304" s="3">
        <v>38671</v>
      </c>
      <c r="D304" s="3">
        <v>38753</v>
      </c>
      <c r="E304" t="s">
        <v>18</v>
      </c>
      <c r="F304">
        <v>1</v>
      </c>
      <c r="G304">
        <v>38400</v>
      </c>
      <c r="H304">
        <v>38400</v>
      </c>
      <c r="I304" s="4">
        <v>38686</v>
      </c>
      <c r="J304" s="5">
        <f t="shared" si="8"/>
        <v>-67</v>
      </c>
      <c r="K304" s="6" t="str">
        <f t="shared" si="9"/>
        <v>A~0</v>
      </c>
      <c r="L304" t="str">
        <f>IF(J304&lt;0,"A~0",VLOOKUP(J304,[1]作法V!$B$1:$C$9,2,TRUE))</f>
        <v>A~0</v>
      </c>
    </row>
    <row r="305" spans="1:12">
      <c r="A305">
        <v>1038</v>
      </c>
      <c r="B305" t="s">
        <v>70</v>
      </c>
      <c r="C305" s="3">
        <v>38310</v>
      </c>
      <c r="D305" s="3">
        <v>38340</v>
      </c>
      <c r="E305" t="s">
        <v>17</v>
      </c>
      <c r="F305">
        <v>33.01</v>
      </c>
      <c r="G305">
        <v>1250</v>
      </c>
      <c r="H305">
        <v>41263</v>
      </c>
      <c r="I305" s="4">
        <v>38686</v>
      </c>
      <c r="J305" s="5">
        <f t="shared" si="8"/>
        <v>346</v>
      </c>
      <c r="K305" s="6" t="str">
        <f t="shared" si="9"/>
        <v>G181~360</v>
      </c>
      <c r="L305" t="str">
        <f>IF(J305&lt;0,"A~0",VLOOKUP(J305,[1]作法V!$B$1:$C$9,2,TRUE))</f>
        <v>G181~360</v>
      </c>
    </row>
    <row r="306" spans="1:12">
      <c r="A306">
        <v>1038</v>
      </c>
      <c r="B306" t="s">
        <v>70</v>
      </c>
      <c r="C306" s="3">
        <v>38540</v>
      </c>
      <c r="D306" s="3">
        <v>38594</v>
      </c>
      <c r="E306" t="s">
        <v>17</v>
      </c>
      <c r="F306">
        <v>31.31</v>
      </c>
      <c r="G306">
        <v>241.5</v>
      </c>
      <c r="H306">
        <v>7561</v>
      </c>
      <c r="I306" s="4">
        <v>38686</v>
      </c>
      <c r="J306" s="5">
        <f t="shared" si="8"/>
        <v>92</v>
      </c>
      <c r="K306" s="6" t="str">
        <f t="shared" si="9"/>
        <v>E91~120</v>
      </c>
      <c r="L306" t="str">
        <f>IF(J306&lt;0,"A~0",VLOOKUP(J306,[1]作法V!$B$1:$C$9,2,TRUE))</f>
        <v>E91~120</v>
      </c>
    </row>
    <row r="307" spans="1:12">
      <c r="A307">
        <v>1038</v>
      </c>
      <c r="B307" t="s">
        <v>70</v>
      </c>
      <c r="C307" s="3">
        <v>38560</v>
      </c>
      <c r="D307" s="3">
        <v>38594</v>
      </c>
      <c r="E307" t="s">
        <v>17</v>
      </c>
      <c r="F307">
        <v>31.89</v>
      </c>
      <c r="G307">
        <v>241.5</v>
      </c>
      <c r="H307">
        <v>7701</v>
      </c>
      <c r="I307" s="4">
        <v>38686</v>
      </c>
      <c r="J307" s="5">
        <f t="shared" si="8"/>
        <v>92</v>
      </c>
      <c r="K307" s="6" t="str">
        <f t="shared" si="9"/>
        <v>E91~120</v>
      </c>
      <c r="L307" t="str">
        <f>IF(J307&lt;0,"A~0",VLOOKUP(J307,[1]作法V!$B$1:$C$9,2,TRUE))</f>
        <v>E91~120</v>
      </c>
    </row>
    <row r="308" spans="1:12">
      <c r="A308">
        <v>1038</v>
      </c>
      <c r="B308" t="s">
        <v>70</v>
      </c>
      <c r="C308" s="3">
        <v>38651</v>
      </c>
      <c r="D308" s="3">
        <v>38686</v>
      </c>
      <c r="E308" t="s">
        <v>17</v>
      </c>
      <c r="F308">
        <v>33.4</v>
      </c>
      <c r="G308">
        <v>241.5</v>
      </c>
      <c r="H308">
        <v>8066</v>
      </c>
      <c r="I308" s="4">
        <v>38686</v>
      </c>
      <c r="J308" s="5">
        <f t="shared" si="8"/>
        <v>0</v>
      </c>
      <c r="K308" s="6" t="str">
        <f t="shared" si="9"/>
        <v>A~0</v>
      </c>
      <c r="L308" t="str">
        <f>IF(J308&lt;0,"A~0",VLOOKUP(J308,[1]作法V!$B$1:$C$9,2,TRUE))</f>
        <v>A~0</v>
      </c>
    </row>
    <row r="309" spans="1:12">
      <c r="A309">
        <v>1041</v>
      </c>
      <c r="B309" t="s">
        <v>72</v>
      </c>
      <c r="C309" s="3">
        <v>38630</v>
      </c>
      <c r="D309" s="3">
        <v>38773</v>
      </c>
      <c r="E309" t="s">
        <v>18</v>
      </c>
      <c r="F309">
        <v>1</v>
      </c>
      <c r="G309">
        <v>5250</v>
      </c>
      <c r="H309">
        <v>5250</v>
      </c>
      <c r="I309" s="4">
        <v>38686</v>
      </c>
      <c r="J309" s="5">
        <f t="shared" si="8"/>
        <v>-87</v>
      </c>
      <c r="K309" s="6" t="str">
        <f t="shared" si="9"/>
        <v>A~0</v>
      </c>
      <c r="L309" t="str">
        <f>IF(J309&lt;0,"A~0",VLOOKUP(J309,[1]作法V!$B$1:$C$9,2,TRUE))</f>
        <v>A~0</v>
      </c>
    </row>
    <row r="310" spans="1:12">
      <c r="A310">
        <v>1042</v>
      </c>
      <c r="B310" t="s">
        <v>71</v>
      </c>
      <c r="C310" s="3">
        <v>38681</v>
      </c>
      <c r="D310" s="3">
        <v>38817</v>
      </c>
      <c r="E310" t="s">
        <v>18</v>
      </c>
      <c r="F310">
        <v>1</v>
      </c>
      <c r="G310">
        <v>2048</v>
      </c>
      <c r="H310">
        <v>2048</v>
      </c>
      <c r="I310" s="4">
        <v>38686</v>
      </c>
      <c r="J310" s="5">
        <f t="shared" si="8"/>
        <v>-131</v>
      </c>
      <c r="K310" s="6" t="str">
        <f t="shared" si="9"/>
        <v>A~0</v>
      </c>
      <c r="L310" t="str">
        <f>IF(J310&lt;0,"A~0",VLOOKUP(J310,[1]作法V!$B$1:$C$9,2,TRUE))</f>
        <v>A~0</v>
      </c>
    </row>
    <row r="311" spans="1:12">
      <c r="A311">
        <v>1043</v>
      </c>
      <c r="B311" t="s">
        <v>109</v>
      </c>
      <c r="C311" s="3">
        <v>38657</v>
      </c>
      <c r="D311" s="3">
        <v>38817</v>
      </c>
      <c r="E311" t="s">
        <v>18</v>
      </c>
      <c r="F311">
        <v>1</v>
      </c>
      <c r="G311">
        <v>74970</v>
      </c>
      <c r="H311">
        <v>74970</v>
      </c>
      <c r="I311" s="4">
        <v>38686</v>
      </c>
      <c r="J311" s="5">
        <f t="shared" si="8"/>
        <v>-131</v>
      </c>
      <c r="K311" s="6" t="str">
        <f t="shared" si="9"/>
        <v>A~0</v>
      </c>
      <c r="L311" t="str">
        <f>IF(J311&lt;0,"A~0",VLOOKUP(J311,[1]作法V!$B$1:$C$9,2,TRUE))</f>
        <v>A~0</v>
      </c>
    </row>
    <row r="312" spans="1:12">
      <c r="A312">
        <v>1043</v>
      </c>
      <c r="B312" t="s">
        <v>109</v>
      </c>
      <c r="C312" s="3">
        <v>38657</v>
      </c>
      <c r="D312" s="3">
        <v>38817</v>
      </c>
      <c r="E312" t="s">
        <v>18</v>
      </c>
      <c r="F312">
        <v>1</v>
      </c>
      <c r="G312">
        <v>73080</v>
      </c>
      <c r="H312">
        <v>73080</v>
      </c>
      <c r="I312" s="4">
        <v>38686</v>
      </c>
      <c r="J312" s="5">
        <f t="shared" si="8"/>
        <v>-131</v>
      </c>
      <c r="K312" s="6" t="str">
        <f t="shared" si="9"/>
        <v>A~0</v>
      </c>
      <c r="L312" t="str">
        <f>IF(J312&lt;0,"A~0",VLOOKUP(J312,[1]作法V!$B$1:$C$9,2,TRUE))</f>
        <v>A~0</v>
      </c>
    </row>
    <row r="313" spans="1:12">
      <c r="A313">
        <v>1044</v>
      </c>
      <c r="B313" t="s">
        <v>73</v>
      </c>
      <c r="C313" s="3">
        <v>38580</v>
      </c>
      <c r="D313" s="3">
        <v>38626</v>
      </c>
      <c r="E313" t="s">
        <v>18</v>
      </c>
      <c r="F313">
        <v>1</v>
      </c>
      <c r="G313">
        <v>33600</v>
      </c>
      <c r="H313">
        <v>33600</v>
      </c>
      <c r="I313" s="4">
        <v>38686</v>
      </c>
      <c r="J313" s="5">
        <f t="shared" si="8"/>
        <v>60</v>
      </c>
      <c r="K313" s="6" t="str">
        <f t="shared" si="9"/>
        <v>C31~60</v>
      </c>
      <c r="L313" t="str">
        <f>IF(J313&lt;0,"A~0",VLOOKUP(J313,[1]作法V!$B$1:$C$9,2,TRUE))</f>
        <v>C31~60</v>
      </c>
    </row>
    <row r="314" spans="1:12">
      <c r="A314">
        <v>1044</v>
      </c>
      <c r="B314" t="s">
        <v>73</v>
      </c>
      <c r="C314" s="3">
        <v>38580</v>
      </c>
      <c r="D314" s="3">
        <v>38626</v>
      </c>
      <c r="E314" t="s">
        <v>18</v>
      </c>
      <c r="F314">
        <v>1</v>
      </c>
      <c r="G314">
        <v>33600</v>
      </c>
      <c r="H314">
        <v>33600</v>
      </c>
      <c r="I314" s="4">
        <v>38686</v>
      </c>
      <c r="J314" s="5">
        <f t="shared" si="8"/>
        <v>60</v>
      </c>
      <c r="K314" s="6" t="str">
        <f t="shared" si="9"/>
        <v>C31~60</v>
      </c>
      <c r="L314" t="str">
        <f>IF(J314&lt;0,"A~0",VLOOKUP(J314,[1]作法V!$B$1:$C$9,2,TRUE))</f>
        <v>C31~60</v>
      </c>
    </row>
    <row r="315" spans="1:12">
      <c r="A315">
        <v>1044</v>
      </c>
      <c r="B315" t="s">
        <v>73</v>
      </c>
      <c r="C315" s="3">
        <v>38615</v>
      </c>
      <c r="D315" s="3">
        <v>38722</v>
      </c>
      <c r="E315" t="s">
        <v>18</v>
      </c>
      <c r="F315">
        <v>1</v>
      </c>
      <c r="G315">
        <v>16800</v>
      </c>
      <c r="H315">
        <v>16800</v>
      </c>
      <c r="I315" s="4">
        <v>38686</v>
      </c>
      <c r="J315" s="5">
        <f t="shared" si="8"/>
        <v>-36</v>
      </c>
      <c r="K315" s="6" t="str">
        <f t="shared" si="9"/>
        <v>A~0</v>
      </c>
      <c r="L315" t="str">
        <f>IF(J315&lt;0,"A~0",VLOOKUP(J315,[1]作法V!$B$1:$C$9,2,TRUE))</f>
        <v>A~0</v>
      </c>
    </row>
    <row r="316" spans="1:12">
      <c r="A316">
        <v>1044</v>
      </c>
      <c r="B316" t="s">
        <v>73</v>
      </c>
      <c r="C316" s="3">
        <v>38656</v>
      </c>
      <c r="D316" s="3">
        <v>38718</v>
      </c>
      <c r="E316" t="s">
        <v>18</v>
      </c>
      <c r="F316">
        <v>1</v>
      </c>
      <c r="G316">
        <v>33600</v>
      </c>
      <c r="H316">
        <v>33600</v>
      </c>
      <c r="I316" s="4">
        <v>38686</v>
      </c>
      <c r="J316" s="5">
        <f t="shared" si="8"/>
        <v>-32</v>
      </c>
      <c r="K316" s="6" t="str">
        <f t="shared" si="9"/>
        <v>A~0</v>
      </c>
      <c r="L316" t="str">
        <f>IF(J316&lt;0,"A~0",VLOOKUP(J316,[1]作法V!$B$1:$C$9,2,TRUE))</f>
        <v>A~0</v>
      </c>
    </row>
    <row r="317" spans="1:12">
      <c r="A317">
        <v>1044</v>
      </c>
      <c r="B317" t="s">
        <v>73</v>
      </c>
      <c r="C317" s="3">
        <v>38679</v>
      </c>
      <c r="D317" s="3">
        <v>38749</v>
      </c>
      <c r="E317" t="s">
        <v>18</v>
      </c>
      <c r="F317">
        <v>1</v>
      </c>
      <c r="G317">
        <v>34884</v>
      </c>
      <c r="H317">
        <v>34884</v>
      </c>
      <c r="I317" s="4">
        <v>38686</v>
      </c>
      <c r="J317" s="5">
        <f t="shared" si="8"/>
        <v>-63</v>
      </c>
      <c r="K317" s="6" t="str">
        <f t="shared" si="9"/>
        <v>A~0</v>
      </c>
      <c r="L317" t="str">
        <f>IF(J317&lt;0,"A~0",VLOOKUP(J317,[1]作法V!$B$1:$C$9,2,TRUE))</f>
        <v>A~0</v>
      </c>
    </row>
    <row r="318" spans="1:12">
      <c r="A318">
        <v>1044</v>
      </c>
      <c r="B318" t="s">
        <v>73</v>
      </c>
      <c r="C318" s="3">
        <v>38680</v>
      </c>
      <c r="D318" s="3">
        <v>38781</v>
      </c>
      <c r="E318" t="s">
        <v>18</v>
      </c>
      <c r="F318">
        <v>1</v>
      </c>
      <c r="G318">
        <v>38220</v>
      </c>
      <c r="H318">
        <v>38220</v>
      </c>
      <c r="I318" s="4">
        <v>38686</v>
      </c>
      <c r="J318" s="5">
        <f t="shared" si="8"/>
        <v>-95</v>
      </c>
      <c r="K318" s="6" t="str">
        <f t="shared" si="9"/>
        <v>A~0</v>
      </c>
      <c r="L318" t="str">
        <f>IF(J318&lt;0,"A~0",VLOOKUP(J318,[1]作法V!$B$1:$C$9,2,TRUE))</f>
        <v>A~0</v>
      </c>
    </row>
    <row r="319" spans="1:12">
      <c r="A319">
        <v>1044</v>
      </c>
      <c r="B319" t="s">
        <v>73</v>
      </c>
      <c r="C319" s="3">
        <v>38681</v>
      </c>
      <c r="D319" s="3">
        <v>38749</v>
      </c>
      <c r="E319" t="s">
        <v>18</v>
      </c>
      <c r="F319">
        <v>1</v>
      </c>
      <c r="G319">
        <v>57000</v>
      </c>
      <c r="H319">
        <v>57000</v>
      </c>
      <c r="I319" s="4">
        <v>38686</v>
      </c>
      <c r="J319" s="5">
        <f t="shared" si="8"/>
        <v>-63</v>
      </c>
      <c r="K319" s="6" t="str">
        <f t="shared" si="9"/>
        <v>A~0</v>
      </c>
      <c r="L319" t="str">
        <f>IF(J319&lt;0,"A~0",VLOOKUP(J319,[1]作法V!$B$1:$C$9,2,TRUE))</f>
        <v>A~0</v>
      </c>
    </row>
    <row r="320" spans="1:12">
      <c r="A320">
        <v>1044</v>
      </c>
      <c r="B320" t="s">
        <v>73</v>
      </c>
      <c r="C320" s="3">
        <v>38681</v>
      </c>
      <c r="D320" s="3">
        <v>38749</v>
      </c>
      <c r="E320" t="s">
        <v>18</v>
      </c>
      <c r="F320">
        <v>1</v>
      </c>
      <c r="G320">
        <v>22116</v>
      </c>
      <c r="H320">
        <v>22116</v>
      </c>
      <c r="I320" s="4">
        <v>38686</v>
      </c>
      <c r="J320" s="5">
        <f t="shared" si="8"/>
        <v>-63</v>
      </c>
      <c r="K320" s="6" t="str">
        <f t="shared" si="9"/>
        <v>A~0</v>
      </c>
      <c r="L320" t="str">
        <f>IF(J320&lt;0,"A~0",VLOOKUP(J320,[1]作法V!$B$1:$C$9,2,TRUE))</f>
        <v>A~0</v>
      </c>
    </row>
    <row r="321" spans="1:12">
      <c r="A321">
        <v>1045</v>
      </c>
      <c r="B321" t="s">
        <v>59</v>
      </c>
      <c r="C321" s="3">
        <v>37291</v>
      </c>
      <c r="D321" s="3">
        <v>37340</v>
      </c>
      <c r="E321" t="s">
        <v>17</v>
      </c>
      <c r="F321">
        <v>35</v>
      </c>
      <c r="G321">
        <v>11500</v>
      </c>
      <c r="H321">
        <v>402500</v>
      </c>
      <c r="I321" s="4">
        <v>38686</v>
      </c>
      <c r="J321" s="5">
        <f t="shared" si="8"/>
        <v>1346</v>
      </c>
      <c r="K321" s="6" t="str">
        <f t="shared" si="9"/>
        <v>H361~</v>
      </c>
      <c r="L321" t="str">
        <f>IF(J321&lt;0,"A~0",VLOOKUP(J321,[1]作法V!$B$1:$C$9,2,TRUE))</f>
        <v>H361~</v>
      </c>
    </row>
    <row r="322" spans="1:12">
      <c r="A322">
        <v>1045</v>
      </c>
      <c r="B322" t="s">
        <v>59</v>
      </c>
      <c r="C322" s="3">
        <v>37294</v>
      </c>
      <c r="D322" s="3">
        <v>37340</v>
      </c>
      <c r="E322" t="s">
        <v>17</v>
      </c>
      <c r="F322">
        <v>35</v>
      </c>
      <c r="G322">
        <v>2050</v>
      </c>
      <c r="H322">
        <v>71750</v>
      </c>
      <c r="I322" s="4">
        <v>38686</v>
      </c>
      <c r="J322" s="5">
        <f t="shared" ref="J322:J385" si="10">I322-D322</f>
        <v>1346</v>
      </c>
      <c r="K322" s="6" t="str">
        <f t="shared" ref="K322:K385" si="11">IF(J322&lt;1,"A~0",IF(J322&lt;31,"B1~30",IF(J322&lt;61,"C31~60",IF(J322&lt;91,"D61~90",IF(J322&lt;121,"E91~120",IF(J322&lt;181,"F121~180",IF(J322&lt;361,"G181~360","H361~")))))))</f>
        <v>H361~</v>
      </c>
      <c r="L322" t="str">
        <f>IF(J322&lt;0,"A~0",VLOOKUP(J322,[1]作法V!$B$1:$C$9,2,TRUE))</f>
        <v>H361~</v>
      </c>
    </row>
    <row r="323" spans="1:12">
      <c r="A323">
        <v>1045</v>
      </c>
      <c r="B323" t="s">
        <v>59</v>
      </c>
      <c r="C323" s="3">
        <v>37312</v>
      </c>
      <c r="D323" s="3">
        <v>37371</v>
      </c>
      <c r="E323" t="s">
        <v>17</v>
      </c>
      <c r="F323">
        <v>35.090038</v>
      </c>
      <c r="G323">
        <v>17215</v>
      </c>
      <c r="H323">
        <v>604075</v>
      </c>
      <c r="I323" s="4">
        <v>38686</v>
      </c>
      <c r="J323" s="5">
        <f t="shared" si="10"/>
        <v>1315</v>
      </c>
      <c r="K323" s="6" t="str">
        <f t="shared" si="11"/>
        <v>H361~</v>
      </c>
      <c r="L323" t="str">
        <f>IF(J323&lt;0,"A~0",VLOOKUP(J323,[1]作法V!$B$1:$C$9,2,TRUE))</f>
        <v>H361~</v>
      </c>
    </row>
    <row r="324" spans="1:12">
      <c r="A324">
        <v>1045</v>
      </c>
      <c r="B324" t="s">
        <v>59</v>
      </c>
      <c r="C324" s="3">
        <v>37316</v>
      </c>
      <c r="D324" s="3">
        <v>37371</v>
      </c>
      <c r="E324" t="s">
        <v>17</v>
      </c>
      <c r="F324">
        <v>35.04</v>
      </c>
      <c r="G324">
        <v>9350</v>
      </c>
      <c r="H324">
        <v>327624</v>
      </c>
      <c r="I324" s="4">
        <v>38686</v>
      </c>
      <c r="J324" s="5">
        <f t="shared" si="10"/>
        <v>1315</v>
      </c>
      <c r="K324" s="6" t="str">
        <f t="shared" si="11"/>
        <v>H361~</v>
      </c>
      <c r="L324" t="str">
        <f>IF(J324&lt;0,"A~0",VLOOKUP(J324,[1]作法V!$B$1:$C$9,2,TRUE))</f>
        <v>H361~</v>
      </c>
    </row>
    <row r="325" spans="1:12">
      <c r="A325">
        <v>1045</v>
      </c>
      <c r="B325" t="s">
        <v>59</v>
      </c>
      <c r="C325" s="3">
        <v>37335</v>
      </c>
      <c r="D325" s="3">
        <v>37371</v>
      </c>
      <c r="E325" t="s">
        <v>17</v>
      </c>
      <c r="F325">
        <v>35.020009999999999</v>
      </c>
      <c r="G325">
        <v>10345</v>
      </c>
      <c r="H325">
        <v>362282</v>
      </c>
      <c r="I325" s="4">
        <v>38686</v>
      </c>
      <c r="J325" s="5">
        <f t="shared" si="10"/>
        <v>1315</v>
      </c>
      <c r="K325" s="6" t="str">
        <f t="shared" si="11"/>
        <v>H361~</v>
      </c>
      <c r="L325" t="str">
        <f>IF(J325&lt;0,"A~0",VLOOKUP(J325,[1]作法V!$B$1:$C$9,2,TRUE))</f>
        <v>H361~</v>
      </c>
    </row>
    <row r="326" spans="1:12">
      <c r="A326">
        <v>1045</v>
      </c>
      <c r="B326" t="s">
        <v>59</v>
      </c>
      <c r="C326" s="3">
        <v>37342</v>
      </c>
      <c r="D326" s="3">
        <v>37401</v>
      </c>
      <c r="E326" t="s">
        <v>17</v>
      </c>
      <c r="F326">
        <v>34.93</v>
      </c>
      <c r="G326">
        <v>4600</v>
      </c>
      <c r="H326">
        <v>160678</v>
      </c>
      <c r="I326" s="4">
        <v>38686</v>
      </c>
      <c r="J326" s="5">
        <f t="shared" si="10"/>
        <v>1285</v>
      </c>
      <c r="K326" s="6" t="str">
        <f t="shared" si="11"/>
        <v>H361~</v>
      </c>
      <c r="L326" t="str">
        <f>IF(J326&lt;0,"A~0",VLOOKUP(J326,[1]作法V!$B$1:$C$9,2,TRUE))</f>
        <v>H361~</v>
      </c>
    </row>
    <row r="327" spans="1:12">
      <c r="A327">
        <v>1045</v>
      </c>
      <c r="B327" t="s">
        <v>59</v>
      </c>
      <c r="C327" s="3">
        <v>37427</v>
      </c>
      <c r="D327" s="3">
        <v>37462</v>
      </c>
      <c r="E327" t="s">
        <v>18</v>
      </c>
      <c r="F327">
        <v>1</v>
      </c>
      <c r="G327">
        <v>45000</v>
      </c>
      <c r="H327">
        <v>45000</v>
      </c>
      <c r="I327" s="4">
        <v>38686</v>
      </c>
      <c r="J327" s="5">
        <f t="shared" si="10"/>
        <v>1224</v>
      </c>
      <c r="K327" s="6" t="str">
        <f t="shared" si="11"/>
        <v>H361~</v>
      </c>
      <c r="L327" t="str">
        <f>IF(J327&lt;0,"A~0",VLOOKUP(J327,[1]作法V!$B$1:$C$9,2,TRUE))</f>
        <v>H361~</v>
      </c>
    </row>
    <row r="328" spans="1:12">
      <c r="A328">
        <v>1045</v>
      </c>
      <c r="B328" t="s">
        <v>59</v>
      </c>
      <c r="C328" s="3">
        <v>37435</v>
      </c>
      <c r="D328" s="3">
        <v>37493</v>
      </c>
      <c r="E328" t="s">
        <v>18</v>
      </c>
      <c r="F328">
        <v>1</v>
      </c>
      <c r="G328">
        <v>105000</v>
      </c>
      <c r="H328">
        <v>105000</v>
      </c>
      <c r="I328" s="4">
        <v>38686</v>
      </c>
      <c r="J328" s="5">
        <f t="shared" si="10"/>
        <v>1193</v>
      </c>
      <c r="K328" s="6" t="str">
        <f t="shared" si="11"/>
        <v>H361~</v>
      </c>
      <c r="L328" t="str">
        <f>IF(J328&lt;0,"A~0",VLOOKUP(J328,[1]作法V!$B$1:$C$9,2,TRUE))</f>
        <v>H361~</v>
      </c>
    </row>
    <row r="329" spans="1:12">
      <c r="A329">
        <v>1050</v>
      </c>
      <c r="B329" t="s">
        <v>74</v>
      </c>
      <c r="C329" s="3">
        <v>38562</v>
      </c>
      <c r="D329" s="3">
        <v>38681</v>
      </c>
      <c r="E329" t="s">
        <v>18</v>
      </c>
      <c r="F329">
        <v>1</v>
      </c>
      <c r="G329">
        <v>510384</v>
      </c>
      <c r="H329">
        <v>510384</v>
      </c>
      <c r="I329" s="4">
        <v>38686</v>
      </c>
      <c r="J329" s="5">
        <f t="shared" si="10"/>
        <v>5</v>
      </c>
      <c r="K329" s="6" t="str">
        <f t="shared" si="11"/>
        <v>B1~30</v>
      </c>
      <c r="L329" t="str">
        <f>IF(J329&lt;0,"A~0",VLOOKUP(J329,[1]作法V!$B$1:$C$9,2,TRUE))</f>
        <v>B1~30</v>
      </c>
    </row>
    <row r="330" spans="1:12">
      <c r="A330">
        <v>1050</v>
      </c>
      <c r="B330" t="s">
        <v>74</v>
      </c>
      <c r="C330" s="3">
        <v>38581</v>
      </c>
      <c r="D330" s="3">
        <v>38681</v>
      </c>
      <c r="E330" t="s">
        <v>18</v>
      </c>
      <c r="F330">
        <v>1</v>
      </c>
      <c r="G330">
        <v>156240</v>
      </c>
      <c r="H330">
        <v>156240</v>
      </c>
      <c r="I330" s="4">
        <v>38686</v>
      </c>
      <c r="J330" s="5">
        <f t="shared" si="10"/>
        <v>5</v>
      </c>
      <c r="K330" s="6" t="str">
        <f t="shared" si="11"/>
        <v>B1~30</v>
      </c>
      <c r="L330" t="str">
        <f>IF(J330&lt;0,"A~0",VLOOKUP(J330,[1]作法V!$B$1:$C$9,2,TRUE))</f>
        <v>B1~30</v>
      </c>
    </row>
    <row r="331" spans="1:12">
      <c r="A331">
        <v>1050</v>
      </c>
      <c r="B331" t="s">
        <v>74</v>
      </c>
      <c r="C331" s="3">
        <v>38595</v>
      </c>
      <c r="D331" s="3">
        <v>38711</v>
      </c>
      <c r="E331" t="s">
        <v>18</v>
      </c>
      <c r="F331">
        <v>1</v>
      </c>
      <c r="G331">
        <v>281232</v>
      </c>
      <c r="H331">
        <v>281232</v>
      </c>
      <c r="I331" s="4">
        <v>38686</v>
      </c>
      <c r="J331" s="5">
        <f t="shared" si="10"/>
        <v>-25</v>
      </c>
      <c r="K331" s="6" t="str">
        <f t="shared" si="11"/>
        <v>A~0</v>
      </c>
      <c r="L331" t="str">
        <f>IF(J331&lt;0,"A~0",VLOOKUP(J331,[1]作法V!$B$1:$C$9,2,TRUE))</f>
        <v>A~0</v>
      </c>
    </row>
    <row r="332" spans="1:12">
      <c r="A332">
        <v>1050</v>
      </c>
      <c r="B332" t="s">
        <v>74</v>
      </c>
      <c r="C332" s="3">
        <v>38595</v>
      </c>
      <c r="D332" s="3">
        <v>38711</v>
      </c>
      <c r="E332" t="s">
        <v>18</v>
      </c>
      <c r="F332">
        <v>1</v>
      </c>
      <c r="G332">
        <v>292990</v>
      </c>
      <c r="H332">
        <v>292990</v>
      </c>
      <c r="I332" s="4">
        <v>38686</v>
      </c>
      <c r="J332" s="5">
        <f t="shared" si="10"/>
        <v>-25</v>
      </c>
      <c r="K332" s="6" t="str">
        <f t="shared" si="11"/>
        <v>A~0</v>
      </c>
      <c r="L332" t="str">
        <f>IF(J332&lt;0,"A~0",VLOOKUP(J332,[1]作法V!$B$1:$C$9,2,TRUE))</f>
        <v>A~0</v>
      </c>
    </row>
    <row r="333" spans="1:12">
      <c r="A333">
        <v>1050</v>
      </c>
      <c r="B333" t="s">
        <v>74</v>
      </c>
      <c r="C333" s="3">
        <v>38595</v>
      </c>
      <c r="D333" s="3">
        <v>38711</v>
      </c>
      <c r="E333" t="s">
        <v>18</v>
      </c>
      <c r="F333">
        <v>1</v>
      </c>
      <c r="G333">
        <v>616289</v>
      </c>
      <c r="H333">
        <v>616289</v>
      </c>
      <c r="I333" s="4">
        <v>38686</v>
      </c>
      <c r="J333" s="5">
        <f t="shared" si="10"/>
        <v>-25</v>
      </c>
      <c r="K333" s="6" t="str">
        <f t="shared" si="11"/>
        <v>A~0</v>
      </c>
      <c r="L333" t="str">
        <f>IF(J333&lt;0,"A~0",VLOOKUP(J333,[1]作法V!$B$1:$C$9,2,TRUE))</f>
        <v>A~0</v>
      </c>
    </row>
    <row r="334" spans="1:12">
      <c r="A334">
        <v>1050</v>
      </c>
      <c r="B334" t="s">
        <v>74</v>
      </c>
      <c r="C334" s="3">
        <v>38628</v>
      </c>
      <c r="D334" s="3">
        <v>38742</v>
      </c>
      <c r="E334" t="s">
        <v>18</v>
      </c>
      <c r="F334">
        <v>1</v>
      </c>
      <c r="G334">
        <v>1010310</v>
      </c>
      <c r="H334">
        <v>1010310</v>
      </c>
      <c r="I334" s="4">
        <v>38686</v>
      </c>
      <c r="J334" s="5">
        <f t="shared" si="10"/>
        <v>-56</v>
      </c>
      <c r="K334" s="6" t="str">
        <f t="shared" si="11"/>
        <v>A~0</v>
      </c>
      <c r="L334" t="str">
        <f>IF(J334&lt;0,"A~0",VLOOKUP(J334,[1]作法V!$B$1:$C$9,2,TRUE))</f>
        <v>A~0</v>
      </c>
    </row>
    <row r="335" spans="1:12">
      <c r="A335">
        <v>1050</v>
      </c>
      <c r="B335" t="s">
        <v>74</v>
      </c>
      <c r="C335" s="3">
        <v>38649</v>
      </c>
      <c r="D335" s="3">
        <v>38742</v>
      </c>
      <c r="E335" t="s">
        <v>18</v>
      </c>
      <c r="F335">
        <v>1</v>
      </c>
      <c r="G335">
        <v>323299</v>
      </c>
      <c r="H335">
        <v>323299</v>
      </c>
      <c r="I335" s="4">
        <v>38686</v>
      </c>
      <c r="J335" s="5">
        <f t="shared" si="10"/>
        <v>-56</v>
      </c>
      <c r="K335" s="6" t="str">
        <f t="shared" si="11"/>
        <v>A~0</v>
      </c>
      <c r="L335" t="str">
        <f>IF(J335&lt;0,"A~0",VLOOKUP(J335,[1]作法V!$B$1:$C$9,2,TRUE))</f>
        <v>A~0</v>
      </c>
    </row>
    <row r="336" spans="1:12">
      <c r="A336">
        <v>1050</v>
      </c>
      <c r="B336" t="s">
        <v>74</v>
      </c>
      <c r="C336" s="3">
        <v>38653</v>
      </c>
      <c r="D336" s="3">
        <v>38773</v>
      </c>
      <c r="E336" t="s">
        <v>18</v>
      </c>
      <c r="F336">
        <v>1</v>
      </c>
      <c r="G336">
        <v>111134</v>
      </c>
      <c r="H336">
        <v>111134</v>
      </c>
      <c r="I336" s="4">
        <v>38686</v>
      </c>
      <c r="J336" s="5">
        <f t="shared" si="10"/>
        <v>-87</v>
      </c>
      <c r="K336" s="6" t="str">
        <f t="shared" si="11"/>
        <v>A~0</v>
      </c>
      <c r="L336" t="str">
        <f>IF(J336&lt;0,"A~0",VLOOKUP(J336,[1]作法V!$B$1:$C$9,2,TRUE))</f>
        <v>A~0</v>
      </c>
    </row>
    <row r="337" spans="1:12">
      <c r="A337">
        <v>1050</v>
      </c>
      <c r="B337" t="s">
        <v>74</v>
      </c>
      <c r="C337" s="3">
        <v>38671</v>
      </c>
      <c r="D337" s="3">
        <v>38773</v>
      </c>
      <c r="E337" t="s">
        <v>18</v>
      </c>
      <c r="F337">
        <v>1</v>
      </c>
      <c r="G337">
        <v>29400</v>
      </c>
      <c r="H337">
        <v>29400</v>
      </c>
      <c r="I337" s="4">
        <v>38686</v>
      </c>
      <c r="J337" s="5">
        <f t="shared" si="10"/>
        <v>-87</v>
      </c>
      <c r="K337" s="6" t="str">
        <f t="shared" si="11"/>
        <v>A~0</v>
      </c>
      <c r="L337" t="str">
        <f>IF(J337&lt;0,"A~0",VLOOKUP(J337,[1]作法V!$B$1:$C$9,2,TRUE))</f>
        <v>A~0</v>
      </c>
    </row>
    <row r="338" spans="1:12">
      <c r="A338">
        <v>1050</v>
      </c>
      <c r="B338" t="s">
        <v>74</v>
      </c>
      <c r="C338" s="3">
        <v>38671</v>
      </c>
      <c r="D338" s="3">
        <v>38773</v>
      </c>
      <c r="E338" t="s">
        <v>18</v>
      </c>
      <c r="F338">
        <v>1</v>
      </c>
      <c r="G338">
        <v>10103</v>
      </c>
      <c r="H338">
        <v>10103</v>
      </c>
      <c r="I338" s="4">
        <v>38686</v>
      </c>
      <c r="J338" s="5">
        <f t="shared" si="10"/>
        <v>-87</v>
      </c>
      <c r="K338" s="6" t="str">
        <f t="shared" si="11"/>
        <v>A~0</v>
      </c>
      <c r="L338" t="str">
        <f>IF(J338&lt;0,"A~0",VLOOKUP(J338,[1]作法V!$B$1:$C$9,2,TRUE))</f>
        <v>A~0</v>
      </c>
    </row>
    <row r="339" spans="1:12">
      <c r="A339">
        <v>1050</v>
      </c>
      <c r="B339" t="s">
        <v>74</v>
      </c>
      <c r="C339" s="3">
        <v>38671</v>
      </c>
      <c r="D339" s="3">
        <v>38773</v>
      </c>
      <c r="E339" t="s">
        <v>18</v>
      </c>
      <c r="F339">
        <v>1</v>
      </c>
      <c r="G339">
        <v>676908</v>
      </c>
      <c r="H339">
        <v>676908</v>
      </c>
      <c r="I339" s="4">
        <v>38686</v>
      </c>
      <c r="J339" s="5">
        <f t="shared" si="10"/>
        <v>-87</v>
      </c>
      <c r="K339" s="6" t="str">
        <f t="shared" si="11"/>
        <v>A~0</v>
      </c>
      <c r="L339" t="str">
        <f>IF(J339&lt;0,"A~0",VLOOKUP(J339,[1]作法V!$B$1:$C$9,2,TRUE))</f>
        <v>A~0</v>
      </c>
    </row>
    <row r="340" spans="1:12">
      <c r="A340">
        <v>1051</v>
      </c>
      <c r="B340" t="s">
        <v>75</v>
      </c>
      <c r="C340" s="3">
        <v>38398</v>
      </c>
      <c r="D340" s="3">
        <v>38528</v>
      </c>
      <c r="E340" t="s">
        <v>18</v>
      </c>
      <c r="F340">
        <v>1</v>
      </c>
      <c r="G340">
        <v>93000</v>
      </c>
      <c r="H340">
        <v>93000</v>
      </c>
      <c r="I340" s="4">
        <v>38686</v>
      </c>
      <c r="J340" s="5">
        <f t="shared" si="10"/>
        <v>158</v>
      </c>
      <c r="K340" s="6" t="str">
        <f t="shared" si="11"/>
        <v>F121~180</v>
      </c>
      <c r="L340" t="str">
        <f>IF(J340&lt;0,"A~0",VLOOKUP(J340,[1]作法V!$B$1:$C$9,2,TRUE))</f>
        <v>F121~180</v>
      </c>
    </row>
    <row r="341" spans="1:12">
      <c r="A341">
        <v>1051</v>
      </c>
      <c r="B341" t="s">
        <v>75</v>
      </c>
      <c r="C341" s="3">
        <v>38399</v>
      </c>
      <c r="D341" s="3">
        <v>38528</v>
      </c>
      <c r="E341" t="s">
        <v>18</v>
      </c>
      <c r="F341">
        <v>1</v>
      </c>
      <c r="G341">
        <v>139500</v>
      </c>
      <c r="H341">
        <v>139500</v>
      </c>
      <c r="I341" s="4">
        <v>38686</v>
      </c>
      <c r="J341" s="5">
        <f t="shared" si="10"/>
        <v>158</v>
      </c>
      <c r="K341" s="6" t="str">
        <f t="shared" si="11"/>
        <v>F121~180</v>
      </c>
      <c r="L341" t="str">
        <f>IF(J341&lt;0,"A~0",VLOOKUP(J341,[1]作法V!$B$1:$C$9,2,TRUE))</f>
        <v>F121~180</v>
      </c>
    </row>
    <row r="342" spans="1:12">
      <c r="A342">
        <v>1051</v>
      </c>
      <c r="B342" t="s">
        <v>75</v>
      </c>
      <c r="C342" s="3">
        <v>38406</v>
      </c>
      <c r="D342" s="3">
        <v>38528</v>
      </c>
      <c r="E342" t="s">
        <v>18</v>
      </c>
      <c r="F342">
        <v>1</v>
      </c>
      <c r="G342">
        <v>23100</v>
      </c>
      <c r="H342">
        <v>23100</v>
      </c>
      <c r="I342" s="4">
        <v>38686</v>
      </c>
      <c r="J342" s="5">
        <f t="shared" si="10"/>
        <v>158</v>
      </c>
      <c r="K342" s="6" t="str">
        <f t="shared" si="11"/>
        <v>F121~180</v>
      </c>
      <c r="L342" t="str">
        <f>IF(J342&lt;0,"A~0",VLOOKUP(J342,[1]作法V!$B$1:$C$9,2,TRUE))</f>
        <v>F121~180</v>
      </c>
    </row>
    <row r="343" spans="1:12">
      <c r="A343">
        <v>1051</v>
      </c>
      <c r="B343" t="s">
        <v>75</v>
      </c>
      <c r="C343" s="3">
        <v>38406</v>
      </c>
      <c r="D343" s="3">
        <v>38528</v>
      </c>
      <c r="E343" t="s">
        <v>18</v>
      </c>
      <c r="F343">
        <v>1</v>
      </c>
      <c r="G343">
        <v>7300</v>
      </c>
      <c r="H343">
        <v>7300</v>
      </c>
      <c r="I343" s="4">
        <v>38686</v>
      </c>
      <c r="J343" s="5">
        <f t="shared" si="10"/>
        <v>158</v>
      </c>
      <c r="K343" s="6" t="str">
        <f t="shared" si="11"/>
        <v>F121~180</v>
      </c>
      <c r="L343" t="str">
        <f>IF(J343&lt;0,"A~0",VLOOKUP(J343,[1]作法V!$B$1:$C$9,2,TRUE))</f>
        <v>F121~180</v>
      </c>
    </row>
    <row r="344" spans="1:12">
      <c r="A344">
        <v>1051</v>
      </c>
      <c r="B344" t="s">
        <v>75</v>
      </c>
      <c r="C344" s="3">
        <v>38407</v>
      </c>
      <c r="D344" s="3">
        <v>38528</v>
      </c>
      <c r="E344" t="s">
        <v>18</v>
      </c>
      <c r="F344">
        <v>1</v>
      </c>
      <c r="G344">
        <v>33110</v>
      </c>
      <c r="H344">
        <v>33110</v>
      </c>
      <c r="I344" s="4">
        <v>38686</v>
      </c>
      <c r="J344" s="5">
        <f t="shared" si="10"/>
        <v>158</v>
      </c>
      <c r="K344" s="6" t="str">
        <f t="shared" si="11"/>
        <v>F121~180</v>
      </c>
      <c r="L344" t="str">
        <f>IF(J344&lt;0,"A~0",VLOOKUP(J344,[1]作法V!$B$1:$C$9,2,TRUE))</f>
        <v>F121~180</v>
      </c>
    </row>
    <row r="345" spans="1:12">
      <c r="A345">
        <v>1051</v>
      </c>
      <c r="B345" t="s">
        <v>75</v>
      </c>
      <c r="C345" s="3">
        <v>38407</v>
      </c>
      <c r="D345" s="3">
        <v>38528</v>
      </c>
      <c r="E345" t="s">
        <v>18</v>
      </c>
      <c r="F345">
        <v>1</v>
      </c>
      <c r="G345">
        <v>1540</v>
      </c>
      <c r="H345">
        <v>1540</v>
      </c>
      <c r="I345" s="4">
        <v>38686</v>
      </c>
      <c r="J345" s="5">
        <f t="shared" si="10"/>
        <v>158</v>
      </c>
      <c r="K345" s="6" t="str">
        <f t="shared" si="11"/>
        <v>F121~180</v>
      </c>
      <c r="L345" t="str">
        <f>IF(J345&lt;0,"A~0",VLOOKUP(J345,[1]作法V!$B$1:$C$9,2,TRUE))</f>
        <v>F121~180</v>
      </c>
    </row>
    <row r="346" spans="1:12">
      <c r="A346">
        <v>1051</v>
      </c>
      <c r="B346" t="s">
        <v>75</v>
      </c>
      <c r="C346" s="3">
        <v>38412</v>
      </c>
      <c r="D346" s="3">
        <v>38558</v>
      </c>
      <c r="E346" t="s">
        <v>18</v>
      </c>
      <c r="F346">
        <v>1</v>
      </c>
      <c r="G346">
        <v>21960</v>
      </c>
      <c r="H346">
        <v>21960</v>
      </c>
      <c r="I346" s="4">
        <v>38686</v>
      </c>
      <c r="J346" s="5">
        <f t="shared" si="10"/>
        <v>128</v>
      </c>
      <c r="K346" s="6" t="str">
        <f t="shared" si="11"/>
        <v>F121~180</v>
      </c>
      <c r="L346" t="str">
        <f>IF(J346&lt;0,"A~0",VLOOKUP(J346,[1]作法V!$B$1:$C$9,2,TRUE))</f>
        <v>F121~180</v>
      </c>
    </row>
    <row r="347" spans="1:12">
      <c r="A347">
        <v>1051</v>
      </c>
      <c r="B347" t="s">
        <v>75</v>
      </c>
      <c r="C347" s="3">
        <v>38412</v>
      </c>
      <c r="D347" s="3">
        <v>38558</v>
      </c>
      <c r="E347" t="s">
        <v>18</v>
      </c>
      <c r="F347">
        <v>1</v>
      </c>
      <c r="G347">
        <v>2310</v>
      </c>
      <c r="H347">
        <v>2310</v>
      </c>
      <c r="I347" s="4">
        <v>38686</v>
      </c>
      <c r="J347" s="5">
        <f t="shared" si="10"/>
        <v>128</v>
      </c>
      <c r="K347" s="6" t="str">
        <f t="shared" si="11"/>
        <v>F121~180</v>
      </c>
      <c r="L347" t="str">
        <f>IF(J347&lt;0,"A~0",VLOOKUP(J347,[1]作法V!$B$1:$C$9,2,TRUE))</f>
        <v>F121~180</v>
      </c>
    </row>
    <row r="348" spans="1:12">
      <c r="A348">
        <v>1052</v>
      </c>
      <c r="B348" t="s">
        <v>76</v>
      </c>
      <c r="C348" s="3">
        <v>38250</v>
      </c>
      <c r="D348" s="3">
        <v>38346</v>
      </c>
      <c r="E348" t="s">
        <v>18</v>
      </c>
      <c r="F348">
        <v>1</v>
      </c>
      <c r="G348">
        <v>2620</v>
      </c>
      <c r="H348">
        <v>2620</v>
      </c>
      <c r="I348" s="4">
        <v>38686</v>
      </c>
      <c r="J348" s="5">
        <f t="shared" si="10"/>
        <v>340</v>
      </c>
      <c r="K348" s="6" t="str">
        <f t="shared" si="11"/>
        <v>G181~360</v>
      </c>
      <c r="L348" t="str">
        <f>IF(J348&lt;0,"A~0",VLOOKUP(J348,[1]作法V!$B$1:$C$9,2,TRUE))</f>
        <v>G181~360</v>
      </c>
    </row>
    <row r="349" spans="1:12">
      <c r="A349">
        <v>1052</v>
      </c>
      <c r="B349" t="s">
        <v>76</v>
      </c>
      <c r="C349" s="3">
        <v>38421</v>
      </c>
      <c r="D349" s="3">
        <v>38528</v>
      </c>
      <c r="E349" t="s">
        <v>18</v>
      </c>
      <c r="F349">
        <v>1</v>
      </c>
      <c r="G349">
        <v>294</v>
      </c>
      <c r="H349">
        <v>294</v>
      </c>
      <c r="I349" s="4">
        <v>38686</v>
      </c>
      <c r="J349" s="5">
        <f t="shared" si="10"/>
        <v>158</v>
      </c>
      <c r="K349" s="6" t="str">
        <f t="shared" si="11"/>
        <v>F121~180</v>
      </c>
      <c r="L349" t="str">
        <f>IF(J349&lt;0,"A~0",VLOOKUP(J349,[1]作法V!$B$1:$C$9,2,TRUE))</f>
        <v>F121~180</v>
      </c>
    </row>
    <row r="350" spans="1:12">
      <c r="A350">
        <v>1052</v>
      </c>
      <c r="B350" t="s">
        <v>76</v>
      </c>
      <c r="C350" s="3">
        <v>38421</v>
      </c>
      <c r="D350" s="3">
        <v>38528</v>
      </c>
      <c r="E350" t="s">
        <v>18</v>
      </c>
      <c r="F350">
        <v>1</v>
      </c>
      <c r="G350">
        <v>13902</v>
      </c>
      <c r="H350">
        <v>13902</v>
      </c>
      <c r="I350" s="4">
        <v>38686</v>
      </c>
      <c r="J350" s="5">
        <f t="shared" si="10"/>
        <v>158</v>
      </c>
      <c r="K350" s="6" t="str">
        <f t="shared" si="11"/>
        <v>F121~180</v>
      </c>
      <c r="L350" t="str">
        <f>IF(J350&lt;0,"A~0",VLOOKUP(J350,[1]作法V!$B$1:$C$9,2,TRUE))</f>
        <v>F121~180</v>
      </c>
    </row>
    <row r="351" spans="1:12">
      <c r="A351">
        <v>1052</v>
      </c>
      <c r="B351" t="s">
        <v>76</v>
      </c>
      <c r="C351" s="3">
        <v>38421</v>
      </c>
      <c r="D351" s="3">
        <v>38528</v>
      </c>
      <c r="E351" t="s">
        <v>18</v>
      </c>
      <c r="F351">
        <v>1</v>
      </c>
      <c r="G351">
        <v>1274</v>
      </c>
      <c r="H351">
        <v>1274</v>
      </c>
      <c r="I351" s="4">
        <v>38686</v>
      </c>
      <c r="J351" s="5">
        <f t="shared" si="10"/>
        <v>158</v>
      </c>
      <c r="K351" s="6" t="str">
        <f t="shared" si="11"/>
        <v>F121~180</v>
      </c>
      <c r="L351" t="str">
        <f>IF(J351&lt;0,"A~0",VLOOKUP(J351,[1]作法V!$B$1:$C$9,2,TRUE))</f>
        <v>F121~180</v>
      </c>
    </row>
    <row r="352" spans="1:12">
      <c r="A352">
        <v>1053</v>
      </c>
      <c r="B352" t="s">
        <v>21</v>
      </c>
      <c r="C352" s="3">
        <v>37628</v>
      </c>
      <c r="D352" s="3">
        <v>37708</v>
      </c>
      <c r="E352" t="s">
        <v>18</v>
      </c>
      <c r="F352">
        <v>1</v>
      </c>
      <c r="G352">
        <v>25465</v>
      </c>
      <c r="H352">
        <v>25465</v>
      </c>
      <c r="I352" s="4">
        <v>38686</v>
      </c>
      <c r="J352" s="5">
        <f t="shared" si="10"/>
        <v>978</v>
      </c>
      <c r="K352" s="6" t="str">
        <f t="shared" si="11"/>
        <v>H361~</v>
      </c>
      <c r="L352" t="str">
        <f>IF(J352&lt;0,"A~0",VLOOKUP(J352,[1]作法V!$B$1:$C$9,2,TRUE))</f>
        <v>H361~</v>
      </c>
    </row>
    <row r="353" spans="1:12">
      <c r="A353">
        <v>1053</v>
      </c>
      <c r="B353" t="s">
        <v>21</v>
      </c>
      <c r="C353" s="3">
        <v>38153</v>
      </c>
      <c r="D353" s="3">
        <v>38258</v>
      </c>
      <c r="E353" t="s">
        <v>18</v>
      </c>
      <c r="F353">
        <v>1</v>
      </c>
      <c r="G353">
        <v>9083</v>
      </c>
      <c r="H353">
        <v>9083</v>
      </c>
      <c r="I353" s="4">
        <v>38686</v>
      </c>
      <c r="J353" s="5">
        <f t="shared" si="10"/>
        <v>428</v>
      </c>
      <c r="K353" s="6" t="str">
        <f t="shared" si="11"/>
        <v>H361~</v>
      </c>
      <c r="L353" t="str">
        <f>IF(J353&lt;0,"A~0",VLOOKUP(J353,[1]作法V!$B$1:$C$9,2,TRUE))</f>
        <v>H361~</v>
      </c>
    </row>
    <row r="354" spans="1:12">
      <c r="A354">
        <v>1053</v>
      </c>
      <c r="B354" t="s">
        <v>21</v>
      </c>
      <c r="C354" s="3">
        <v>38153</v>
      </c>
      <c r="D354" s="3">
        <v>38258</v>
      </c>
      <c r="E354" t="s">
        <v>18</v>
      </c>
      <c r="F354">
        <v>1</v>
      </c>
      <c r="G354">
        <v>5040</v>
      </c>
      <c r="H354">
        <v>5040</v>
      </c>
      <c r="I354" s="4">
        <v>38686</v>
      </c>
      <c r="J354" s="5">
        <f t="shared" si="10"/>
        <v>428</v>
      </c>
      <c r="K354" s="6" t="str">
        <f t="shared" si="11"/>
        <v>H361~</v>
      </c>
      <c r="L354" t="str">
        <f>IF(J354&lt;0,"A~0",VLOOKUP(J354,[1]作法V!$B$1:$C$9,2,TRUE))</f>
        <v>H361~</v>
      </c>
    </row>
    <row r="355" spans="1:12">
      <c r="A355">
        <v>1053</v>
      </c>
      <c r="B355" t="s">
        <v>21</v>
      </c>
      <c r="C355" s="3">
        <v>38153</v>
      </c>
      <c r="D355" s="3">
        <v>38258</v>
      </c>
      <c r="E355" t="s">
        <v>18</v>
      </c>
      <c r="F355">
        <v>1</v>
      </c>
      <c r="G355">
        <v>1764</v>
      </c>
      <c r="H355">
        <v>1764</v>
      </c>
      <c r="I355" s="4">
        <v>38686</v>
      </c>
      <c r="J355" s="5">
        <f t="shared" si="10"/>
        <v>428</v>
      </c>
      <c r="K355" s="6" t="str">
        <f t="shared" si="11"/>
        <v>H361~</v>
      </c>
      <c r="L355" t="str">
        <f>IF(J355&lt;0,"A~0",VLOOKUP(J355,[1]作法V!$B$1:$C$9,2,TRUE))</f>
        <v>H361~</v>
      </c>
    </row>
    <row r="356" spans="1:12">
      <c r="A356">
        <v>1053</v>
      </c>
      <c r="B356" t="s">
        <v>21</v>
      </c>
      <c r="C356" s="3">
        <v>38162</v>
      </c>
      <c r="D356" s="3">
        <v>38258</v>
      </c>
      <c r="E356" t="s">
        <v>18</v>
      </c>
      <c r="F356">
        <v>1</v>
      </c>
      <c r="G356">
        <v>12243</v>
      </c>
      <c r="H356">
        <v>12243</v>
      </c>
      <c r="I356" s="4">
        <v>38686</v>
      </c>
      <c r="J356" s="5">
        <f t="shared" si="10"/>
        <v>428</v>
      </c>
      <c r="K356" s="6" t="str">
        <f t="shared" si="11"/>
        <v>H361~</v>
      </c>
      <c r="L356" t="str">
        <f>IF(J356&lt;0,"A~0",VLOOKUP(J356,[1]作法V!$B$1:$C$9,2,TRUE))</f>
        <v>H361~</v>
      </c>
    </row>
    <row r="357" spans="1:12">
      <c r="A357">
        <v>1053</v>
      </c>
      <c r="B357" t="s">
        <v>21</v>
      </c>
      <c r="C357" s="3">
        <v>38184</v>
      </c>
      <c r="D357" s="3">
        <v>38288</v>
      </c>
      <c r="E357" t="s">
        <v>18</v>
      </c>
      <c r="F357">
        <v>1</v>
      </c>
      <c r="G357">
        <v>15442</v>
      </c>
      <c r="H357">
        <v>15442</v>
      </c>
      <c r="I357" s="4">
        <v>38686</v>
      </c>
      <c r="J357" s="5">
        <f t="shared" si="10"/>
        <v>398</v>
      </c>
      <c r="K357" s="6" t="str">
        <f t="shared" si="11"/>
        <v>H361~</v>
      </c>
      <c r="L357" t="str">
        <f>IF(J357&lt;0,"A~0",VLOOKUP(J357,[1]作法V!$B$1:$C$9,2,TRUE))</f>
        <v>H361~</v>
      </c>
    </row>
    <row r="358" spans="1:12">
      <c r="A358">
        <v>1053</v>
      </c>
      <c r="B358" t="s">
        <v>21</v>
      </c>
      <c r="C358" s="3">
        <v>38204</v>
      </c>
      <c r="D358" s="3">
        <v>38349</v>
      </c>
      <c r="E358" t="s">
        <v>18</v>
      </c>
      <c r="F358">
        <v>1</v>
      </c>
      <c r="G358">
        <v>6510</v>
      </c>
      <c r="H358">
        <v>6510</v>
      </c>
      <c r="I358" s="4">
        <v>38686</v>
      </c>
      <c r="J358" s="5">
        <f t="shared" si="10"/>
        <v>337</v>
      </c>
      <c r="K358" s="6" t="str">
        <f t="shared" si="11"/>
        <v>G181~360</v>
      </c>
      <c r="L358" t="str">
        <f>IF(J358&lt;0,"A~0",VLOOKUP(J358,[1]作法V!$B$1:$C$9,2,TRUE))</f>
        <v>G181~360</v>
      </c>
    </row>
    <row r="359" spans="1:12">
      <c r="A359">
        <v>1053</v>
      </c>
      <c r="B359" t="s">
        <v>21</v>
      </c>
      <c r="C359" s="3">
        <v>38215</v>
      </c>
      <c r="D359" s="3">
        <v>38319</v>
      </c>
      <c r="E359" t="s">
        <v>18</v>
      </c>
      <c r="F359">
        <v>1</v>
      </c>
      <c r="G359">
        <v>4964</v>
      </c>
      <c r="H359">
        <v>4964</v>
      </c>
      <c r="I359" s="4">
        <v>38686</v>
      </c>
      <c r="J359" s="5">
        <f t="shared" si="10"/>
        <v>367</v>
      </c>
      <c r="K359" s="6" t="str">
        <f t="shared" si="11"/>
        <v>H361~</v>
      </c>
      <c r="L359" t="str">
        <f>IF(J359&lt;0,"A~0",VLOOKUP(J359,[1]作法V!$B$1:$C$9,2,TRUE))</f>
        <v>H361~</v>
      </c>
    </row>
    <row r="360" spans="1:12">
      <c r="A360">
        <v>1053</v>
      </c>
      <c r="B360" t="s">
        <v>21</v>
      </c>
      <c r="C360" s="3">
        <v>38229</v>
      </c>
      <c r="D360" s="3">
        <v>38349</v>
      </c>
      <c r="E360" t="s">
        <v>18</v>
      </c>
      <c r="F360">
        <v>1</v>
      </c>
      <c r="G360">
        <v>29093</v>
      </c>
      <c r="H360">
        <v>29093</v>
      </c>
      <c r="I360" s="4">
        <v>38686</v>
      </c>
      <c r="J360" s="5">
        <f t="shared" si="10"/>
        <v>337</v>
      </c>
      <c r="K360" s="6" t="str">
        <f t="shared" si="11"/>
        <v>G181~360</v>
      </c>
      <c r="L360" t="str">
        <f>IF(J360&lt;0,"A~0",VLOOKUP(J360,[1]作法V!$B$1:$C$9,2,TRUE))</f>
        <v>G181~360</v>
      </c>
    </row>
    <row r="361" spans="1:12">
      <c r="A361">
        <v>1053</v>
      </c>
      <c r="B361" t="s">
        <v>21</v>
      </c>
      <c r="C361" s="3">
        <v>38229</v>
      </c>
      <c r="D361" s="3">
        <v>38349</v>
      </c>
      <c r="E361" t="s">
        <v>18</v>
      </c>
      <c r="F361">
        <v>1</v>
      </c>
      <c r="G361">
        <v>11338</v>
      </c>
      <c r="H361">
        <v>11338</v>
      </c>
      <c r="I361" s="4">
        <v>38686</v>
      </c>
      <c r="J361" s="5">
        <f t="shared" si="10"/>
        <v>337</v>
      </c>
      <c r="K361" s="6" t="str">
        <f t="shared" si="11"/>
        <v>G181~360</v>
      </c>
      <c r="L361" t="str">
        <f>IF(J361&lt;0,"A~0",VLOOKUP(J361,[1]作法V!$B$1:$C$9,2,TRUE))</f>
        <v>G181~360</v>
      </c>
    </row>
    <row r="362" spans="1:12">
      <c r="A362">
        <v>1053</v>
      </c>
      <c r="B362" t="s">
        <v>21</v>
      </c>
      <c r="C362" s="3">
        <v>38525</v>
      </c>
      <c r="D362" s="3">
        <v>38653</v>
      </c>
      <c r="E362" t="s">
        <v>17</v>
      </c>
      <c r="F362">
        <v>31.355</v>
      </c>
      <c r="G362">
        <v>2136.96</v>
      </c>
      <c r="H362">
        <v>67004</v>
      </c>
      <c r="I362" s="4">
        <v>38686</v>
      </c>
      <c r="J362" s="5">
        <f t="shared" si="10"/>
        <v>33</v>
      </c>
      <c r="K362" s="6" t="str">
        <f t="shared" si="11"/>
        <v>C31~60</v>
      </c>
      <c r="L362" t="str">
        <f>IF(J362&lt;0,"A~0",VLOOKUP(J362,[1]作法V!$B$1:$C$9,2,TRUE))</f>
        <v>C31~60</v>
      </c>
    </row>
    <row r="363" spans="1:12">
      <c r="A363">
        <v>1053</v>
      </c>
      <c r="B363" t="s">
        <v>21</v>
      </c>
      <c r="C363" s="3">
        <v>38534</v>
      </c>
      <c r="D363" s="3">
        <v>38684</v>
      </c>
      <c r="E363" t="s">
        <v>18</v>
      </c>
      <c r="F363">
        <v>1</v>
      </c>
      <c r="G363">
        <v>95861</v>
      </c>
      <c r="H363">
        <v>95861</v>
      </c>
      <c r="I363" s="4">
        <v>38686</v>
      </c>
      <c r="J363" s="5">
        <f t="shared" si="10"/>
        <v>2</v>
      </c>
      <c r="K363" s="6" t="str">
        <f t="shared" si="11"/>
        <v>B1~30</v>
      </c>
      <c r="L363" t="str">
        <f>IF(J363&lt;0,"A~0",VLOOKUP(J363,[1]作法V!$B$1:$C$9,2,TRUE))</f>
        <v>B1~30</v>
      </c>
    </row>
    <row r="364" spans="1:12">
      <c r="A364">
        <v>1053</v>
      </c>
      <c r="B364" t="s">
        <v>21</v>
      </c>
      <c r="C364" s="3">
        <v>38534</v>
      </c>
      <c r="D364" s="3">
        <v>38684</v>
      </c>
      <c r="E364" t="s">
        <v>18</v>
      </c>
      <c r="F364">
        <v>1</v>
      </c>
      <c r="G364">
        <v>524135</v>
      </c>
      <c r="H364">
        <v>524135</v>
      </c>
      <c r="I364" s="4">
        <v>38686</v>
      </c>
      <c r="J364" s="5">
        <f t="shared" si="10"/>
        <v>2</v>
      </c>
      <c r="K364" s="6" t="str">
        <f t="shared" si="11"/>
        <v>B1~30</v>
      </c>
      <c r="L364" t="str">
        <f>IF(J364&lt;0,"A~0",VLOOKUP(J364,[1]作法V!$B$1:$C$9,2,TRUE))</f>
        <v>B1~30</v>
      </c>
    </row>
    <row r="365" spans="1:12">
      <c r="A365">
        <v>1053</v>
      </c>
      <c r="B365" t="s">
        <v>21</v>
      </c>
      <c r="C365" s="3">
        <v>38534</v>
      </c>
      <c r="D365" s="3">
        <v>38684</v>
      </c>
      <c r="E365" t="s">
        <v>18</v>
      </c>
      <c r="F365">
        <v>1</v>
      </c>
      <c r="G365">
        <v>4903</v>
      </c>
      <c r="H365">
        <v>4903</v>
      </c>
      <c r="I365" s="4">
        <v>38686</v>
      </c>
      <c r="J365" s="5">
        <f t="shared" si="10"/>
        <v>2</v>
      </c>
      <c r="K365" s="6" t="str">
        <f t="shared" si="11"/>
        <v>B1~30</v>
      </c>
      <c r="L365" t="str">
        <f>IF(J365&lt;0,"A~0",VLOOKUP(J365,[1]作法V!$B$1:$C$9,2,TRUE))</f>
        <v>B1~30</v>
      </c>
    </row>
    <row r="366" spans="1:12">
      <c r="A366">
        <v>1053</v>
      </c>
      <c r="B366" t="s">
        <v>21</v>
      </c>
      <c r="C366" s="3">
        <v>38534</v>
      </c>
      <c r="D366" s="3">
        <v>38684</v>
      </c>
      <c r="E366" t="s">
        <v>18</v>
      </c>
      <c r="F366">
        <v>1</v>
      </c>
      <c r="G366">
        <v>1490389</v>
      </c>
      <c r="H366">
        <v>1490389</v>
      </c>
      <c r="I366" s="4">
        <v>38686</v>
      </c>
      <c r="J366" s="5">
        <f t="shared" si="10"/>
        <v>2</v>
      </c>
      <c r="K366" s="6" t="str">
        <f t="shared" si="11"/>
        <v>B1~30</v>
      </c>
      <c r="L366" t="str">
        <f>IF(J366&lt;0,"A~0",VLOOKUP(J366,[1]作法V!$B$1:$C$9,2,TRUE))</f>
        <v>B1~30</v>
      </c>
    </row>
    <row r="367" spans="1:12">
      <c r="A367">
        <v>1053</v>
      </c>
      <c r="B367" t="s">
        <v>21</v>
      </c>
      <c r="C367" s="3">
        <v>38534</v>
      </c>
      <c r="D367" s="3">
        <v>38684</v>
      </c>
      <c r="E367" t="s">
        <v>18</v>
      </c>
      <c r="F367">
        <v>1</v>
      </c>
      <c r="G367">
        <v>376097</v>
      </c>
      <c r="H367">
        <v>376097</v>
      </c>
      <c r="I367" s="4">
        <v>38686</v>
      </c>
      <c r="J367" s="5">
        <f t="shared" si="10"/>
        <v>2</v>
      </c>
      <c r="K367" s="6" t="str">
        <f t="shared" si="11"/>
        <v>B1~30</v>
      </c>
      <c r="L367" t="str">
        <f>IF(J367&lt;0,"A~0",VLOOKUP(J367,[1]作法V!$B$1:$C$9,2,TRUE))</f>
        <v>B1~30</v>
      </c>
    </row>
    <row r="368" spans="1:12">
      <c r="A368">
        <v>1053</v>
      </c>
      <c r="B368" t="s">
        <v>21</v>
      </c>
      <c r="C368" s="3">
        <v>38534</v>
      </c>
      <c r="D368" s="3">
        <v>38684</v>
      </c>
      <c r="E368" t="s">
        <v>18</v>
      </c>
      <c r="F368">
        <v>1</v>
      </c>
      <c r="G368">
        <v>691</v>
      </c>
      <c r="H368">
        <v>691</v>
      </c>
      <c r="I368" s="4">
        <v>38686</v>
      </c>
      <c r="J368" s="5">
        <f t="shared" si="10"/>
        <v>2</v>
      </c>
      <c r="K368" s="6" t="str">
        <f t="shared" si="11"/>
        <v>B1~30</v>
      </c>
      <c r="L368" t="str">
        <f>IF(J368&lt;0,"A~0",VLOOKUP(J368,[1]作法V!$B$1:$C$9,2,TRUE))</f>
        <v>B1~30</v>
      </c>
    </row>
    <row r="369" spans="1:12">
      <c r="A369">
        <v>1053</v>
      </c>
      <c r="B369" t="s">
        <v>21</v>
      </c>
      <c r="C369" s="3">
        <v>38534</v>
      </c>
      <c r="D369" s="3">
        <v>38684</v>
      </c>
      <c r="E369" t="s">
        <v>18</v>
      </c>
      <c r="F369">
        <v>1</v>
      </c>
      <c r="G369">
        <v>98022</v>
      </c>
      <c r="H369">
        <v>98022</v>
      </c>
      <c r="I369" s="4">
        <v>38686</v>
      </c>
      <c r="J369" s="5">
        <f t="shared" si="10"/>
        <v>2</v>
      </c>
      <c r="K369" s="6" t="str">
        <f t="shared" si="11"/>
        <v>B1~30</v>
      </c>
      <c r="L369" t="str">
        <f>IF(J369&lt;0,"A~0",VLOOKUP(J369,[1]作法V!$B$1:$C$9,2,TRUE))</f>
        <v>B1~30</v>
      </c>
    </row>
    <row r="370" spans="1:12">
      <c r="A370">
        <v>1053</v>
      </c>
      <c r="B370" t="s">
        <v>21</v>
      </c>
      <c r="C370" s="3">
        <v>38537</v>
      </c>
      <c r="D370" s="3">
        <v>38684</v>
      </c>
      <c r="E370" t="s">
        <v>18</v>
      </c>
      <c r="F370">
        <v>1</v>
      </c>
      <c r="G370">
        <v>109440</v>
      </c>
      <c r="H370">
        <v>109440</v>
      </c>
      <c r="I370" s="4">
        <v>38686</v>
      </c>
      <c r="J370" s="5">
        <f t="shared" si="10"/>
        <v>2</v>
      </c>
      <c r="K370" s="6" t="str">
        <f t="shared" si="11"/>
        <v>B1~30</v>
      </c>
      <c r="L370" t="str">
        <f>IF(J370&lt;0,"A~0",VLOOKUP(J370,[1]作法V!$B$1:$C$9,2,TRUE))</f>
        <v>B1~30</v>
      </c>
    </row>
    <row r="371" spans="1:12">
      <c r="A371">
        <v>1053</v>
      </c>
      <c r="B371" t="s">
        <v>21</v>
      </c>
      <c r="C371" s="3">
        <v>38537</v>
      </c>
      <c r="D371" s="3">
        <v>38684</v>
      </c>
      <c r="E371" t="s">
        <v>18</v>
      </c>
      <c r="F371">
        <v>1</v>
      </c>
      <c r="G371">
        <v>81581</v>
      </c>
      <c r="H371">
        <v>81581</v>
      </c>
      <c r="I371" s="4">
        <v>38686</v>
      </c>
      <c r="J371" s="5">
        <f t="shared" si="10"/>
        <v>2</v>
      </c>
      <c r="K371" s="6" t="str">
        <f t="shared" si="11"/>
        <v>B1~30</v>
      </c>
      <c r="L371" t="str">
        <f>IF(J371&lt;0,"A~0",VLOOKUP(J371,[1]作法V!$B$1:$C$9,2,TRUE))</f>
        <v>B1~30</v>
      </c>
    </row>
    <row r="372" spans="1:12">
      <c r="A372">
        <v>1053</v>
      </c>
      <c r="B372" t="s">
        <v>21</v>
      </c>
      <c r="C372" s="3">
        <v>38537</v>
      </c>
      <c r="D372" s="3">
        <v>38684</v>
      </c>
      <c r="E372" t="s">
        <v>18</v>
      </c>
      <c r="F372">
        <v>1</v>
      </c>
      <c r="G372">
        <v>54959</v>
      </c>
      <c r="H372">
        <v>54959</v>
      </c>
      <c r="I372" s="4">
        <v>38686</v>
      </c>
      <c r="J372" s="5">
        <f t="shared" si="10"/>
        <v>2</v>
      </c>
      <c r="K372" s="6" t="str">
        <f t="shared" si="11"/>
        <v>B1~30</v>
      </c>
      <c r="L372" t="str">
        <f>IF(J372&lt;0,"A~0",VLOOKUP(J372,[1]作法V!$B$1:$C$9,2,TRUE))</f>
        <v>B1~30</v>
      </c>
    </row>
    <row r="373" spans="1:12">
      <c r="A373">
        <v>1053</v>
      </c>
      <c r="B373" t="s">
        <v>21</v>
      </c>
      <c r="C373" s="3">
        <v>38537</v>
      </c>
      <c r="D373" s="3">
        <v>38684</v>
      </c>
      <c r="E373" t="s">
        <v>18</v>
      </c>
      <c r="F373">
        <v>1</v>
      </c>
      <c r="G373">
        <v>299430</v>
      </c>
      <c r="H373">
        <v>299430</v>
      </c>
      <c r="I373" s="4">
        <v>38686</v>
      </c>
      <c r="J373" s="5">
        <f t="shared" si="10"/>
        <v>2</v>
      </c>
      <c r="K373" s="6" t="str">
        <f t="shared" si="11"/>
        <v>B1~30</v>
      </c>
      <c r="L373" t="str">
        <f>IF(J373&lt;0,"A~0",VLOOKUP(J373,[1]作法V!$B$1:$C$9,2,TRUE))</f>
        <v>B1~30</v>
      </c>
    </row>
    <row r="374" spans="1:12">
      <c r="A374">
        <v>1053</v>
      </c>
      <c r="B374" t="s">
        <v>21</v>
      </c>
      <c r="C374" s="3">
        <v>38537</v>
      </c>
      <c r="D374" s="3">
        <v>38684</v>
      </c>
      <c r="E374" t="s">
        <v>18</v>
      </c>
      <c r="F374">
        <v>1</v>
      </c>
      <c r="G374">
        <v>111078</v>
      </c>
      <c r="H374">
        <v>111078</v>
      </c>
      <c r="I374" s="4">
        <v>38686</v>
      </c>
      <c r="J374" s="5">
        <f t="shared" si="10"/>
        <v>2</v>
      </c>
      <c r="K374" s="6" t="str">
        <f t="shared" si="11"/>
        <v>B1~30</v>
      </c>
      <c r="L374" t="str">
        <f>IF(J374&lt;0,"A~0",VLOOKUP(J374,[1]作法V!$B$1:$C$9,2,TRUE))</f>
        <v>B1~30</v>
      </c>
    </row>
    <row r="375" spans="1:12">
      <c r="A375">
        <v>1053</v>
      </c>
      <c r="B375" t="s">
        <v>21</v>
      </c>
      <c r="C375" s="3">
        <v>38537</v>
      </c>
      <c r="D375" s="3">
        <v>38684</v>
      </c>
      <c r="E375" t="s">
        <v>18</v>
      </c>
      <c r="F375">
        <v>1</v>
      </c>
      <c r="G375">
        <v>3876</v>
      </c>
      <c r="H375">
        <v>3876</v>
      </c>
      <c r="I375" s="4">
        <v>38686</v>
      </c>
      <c r="J375" s="5">
        <f t="shared" si="10"/>
        <v>2</v>
      </c>
      <c r="K375" s="6" t="str">
        <f t="shared" si="11"/>
        <v>B1~30</v>
      </c>
      <c r="L375" t="str">
        <f>IF(J375&lt;0,"A~0",VLOOKUP(J375,[1]作法V!$B$1:$C$9,2,TRUE))</f>
        <v>B1~30</v>
      </c>
    </row>
    <row r="376" spans="1:12">
      <c r="A376">
        <v>1053</v>
      </c>
      <c r="B376" t="s">
        <v>21</v>
      </c>
      <c r="C376" s="3">
        <v>38537</v>
      </c>
      <c r="D376" s="3">
        <v>38684</v>
      </c>
      <c r="E376" t="s">
        <v>17</v>
      </c>
      <c r="F376">
        <v>31.31</v>
      </c>
      <c r="G376">
        <v>3180</v>
      </c>
      <c r="H376">
        <v>99566</v>
      </c>
      <c r="I376" s="4">
        <v>38686</v>
      </c>
      <c r="J376" s="5">
        <f t="shared" si="10"/>
        <v>2</v>
      </c>
      <c r="K376" s="6" t="str">
        <f t="shared" si="11"/>
        <v>B1~30</v>
      </c>
      <c r="L376" t="str">
        <f>IF(J376&lt;0,"A~0",VLOOKUP(J376,[1]作法V!$B$1:$C$9,2,TRUE))</f>
        <v>B1~30</v>
      </c>
    </row>
    <row r="377" spans="1:12">
      <c r="A377">
        <v>1053</v>
      </c>
      <c r="B377" t="s">
        <v>21</v>
      </c>
      <c r="C377" s="3">
        <v>38537</v>
      </c>
      <c r="D377" s="3">
        <v>38684</v>
      </c>
      <c r="E377" t="s">
        <v>17</v>
      </c>
      <c r="F377">
        <v>31.31</v>
      </c>
      <c r="G377">
        <v>4893.28</v>
      </c>
      <c r="H377">
        <v>153209</v>
      </c>
      <c r="I377" s="4">
        <v>38686</v>
      </c>
      <c r="J377" s="5">
        <f t="shared" si="10"/>
        <v>2</v>
      </c>
      <c r="K377" s="6" t="str">
        <f t="shared" si="11"/>
        <v>B1~30</v>
      </c>
      <c r="L377" t="str">
        <f>IF(J377&lt;0,"A~0",VLOOKUP(J377,[1]作法V!$B$1:$C$9,2,TRUE))</f>
        <v>B1~30</v>
      </c>
    </row>
    <row r="378" spans="1:12">
      <c r="A378">
        <v>1053</v>
      </c>
      <c r="B378" t="s">
        <v>21</v>
      </c>
      <c r="C378" s="3">
        <v>38537</v>
      </c>
      <c r="D378" s="3">
        <v>38684</v>
      </c>
      <c r="E378" t="s">
        <v>17</v>
      </c>
      <c r="F378">
        <v>31.31</v>
      </c>
      <c r="G378">
        <v>576.22</v>
      </c>
      <c r="H378">
        <v>18041</v>
      </c>
      <c r="I378" s="4">
        <v>38686</v>
      </c>
      <c r="J378" s="5">
        <f t="shared" si="10"/>
        <v>2</v>
      </c>
      <c r="K378" s="6" t="str">
        <f t="shared" si="11"/>
        <v>B1~30</v>
      </c>
      <c r="L378" t="str">
        <f>IF(J378&lt;0,"A~0",VLOOKUP(J378,[1]作法V!$B$1:$C$9,2,TRUE))</f>
        <v>B1~30</v>
      </c>
    </row>
    <row r="379" spans="1:12">
      <c r="A379">
        <v>1053</v>
      </c>
      <c r="B379" t="s">
        <v>21</v>
      </c>
      <c r="C379" s="3">
        <v>38537</v>
      </c>
      <c r="D379" s="3">
        <v>38684</v>
      </c>
      <c r="E379" t="s">
        <v>17</v>
      </c>
      <c r="F379">
        <v>31.31</v>
      </c>
      <c r="G379">
        <v>210.03</v>
      </c>
      <c r="H379">
        <v>6576</v>
      </c>
      <c r="I379" s="4">
        <v>38686</v>
      </c>
      <c r="J379" s="5">
        <f t="shared" si="10"/>
        <v>2</v>
      </c>
      <c r="K379" s="6" t="str">
        <f t="shared" si="11"/>
        <v>B1~30</v>
      </c>
      <c r="L379" t="str">
        <f>IF(J379&lt;0,"A~0",VLOOKUP(J379,[1]作法V!$B$1:$C$9,2,TRUE))</f>
        <v>B1~30</v>
      </c>
    </row>
    <row r="380" spans="1:12">
      <c r="A380">
        <v>1053</v>
      </c>
      <c r="B380" t="s">
        <v>21</v>
      </c>
      <c r="C380" s="3">
        <v>38537</v>
      </c>
      <c r="D380" s="3">
        <v>38684</v>
      </c>
      <c r="E380" t="s">
        <v>17</v>
      </c>
      <c r="F380">
        <v>31.31</v>
      </c>
      <c r="G380">
        <v>129</v>
      </c>
      <c r="H380">
        <v>4039</v>
      </c>
      <c r="I380" s="4">
        <v>38686</v>
      </c>
      <c r="J380" s="5">
        <f t="shared" si="10"/>
        <v>2</v>
      </c>
      <c r="K380" s="6" t="str">
        <f t="shared" si="11"/>
        <v>B1~30</v>
      </c>
      <c r="L380" t="str">
        <f>IF(J380&lt;0,"A~0",VLOOKUP(J380,[1]作法V!$B$1:$C$9,2,TRUE))</f>
        <v>B1~30</v>
      </c>
    </row>
    <row r="381" spans="1:12">
      <c r="A381">
        <v>1053</v>
      </c>
      <c r="B381" t="s">
        <v>21</v>
      </c>
      <c r="C381" s="3">
        <v>38537</v>
      </c>
      <c r="D381" s="3">
        <v>38684</v>
      </c>
      <c r="E381" t="s">
        <v>17</v>
      </c>
      <c r="F381">
        <v>31.31</v>
      </c>
      <c r="G381">
        <v>129</v>
      </c>
      <c r="H381">
        <v>4039</v>
      </c>
      <c r="I381" s="4">
        <v>38686</v>
      </c>
      <c r="J381" s="5">
        <f t="shared" si="10"/>
        <v>2</v>
      </c>
      <c r="K381" s="6" t="str">
        <f t="shared" si="11"/>
        <v>B1~30</v>
      </c>
      <c r="L381" t="str">
        <f>IF(J381&lt;0,"A~0",VLOOKUP(J381,[1]作法V!$B$1:$C$9,2,TRUE))</f>
        <v>B1~30</v>
      </c>
    </row>
    <row r="382" spans="1:12">
      <c r="A382">
        <v>1053</v>
      </c>
      <c r="B382" t="s">
        <v>21</v>
      </c>
      <c r="C382" s="3">
        <v>38537</v>
      </c>
      <c r="D382" s="3">
        <v>38684</v>
      </c>
      <c r="E382" t="s">
        <v>17</v>
      </c>
      <c r="F382">
        <v>31.31</v>
      </c>
      <c r="G382">
        <v>246.9</v>
      </c>
      <c r="H382">
        <v>7730</v>
      </c>
      <c r="I382" s="4">
        <v>38686</v>
      </c>
      <c r="J382" s="5">
        <f t="shared" si="10"/>
        <v>2</v>
      </c>
      <c r="K382" s="6" t="str">
        <f t="shared" si="11"/>
        <v>B1~30</v>
      </c>
      <c r="L382" t="str">
        <f>IF(J382&lt;0,"A~0",VLOOKUP(J382,[1]作法V!$B$1:$C$9,2,TRUE))</f>
        <v>B1~30</v>
      </c>
    </row>
    <row r="383" spans="1:12">
      <c r="A383">
        <v>1053</v>
      </c>
      <c r="B383" t="s">
        <v>21</v>
      </c>
      <c r="C383" s="3">
        <v>38537</v>
      </c>
      <c r="D383" s="3">
        <v>38684</v>
      </c>
      <c r="E383" t="s">
        <v>17</v>
      </c>
      <c r="F383">
        <v>31.31</v>
      </c>
      <c r="G383">
        <v>4240</v>
      </c>
      <c r="H383">
        <v>132754</v>
      </c>
      <c r="I383" s="4">
        <v>38686</v>
      </c>
      <c r="J383" s="5">
        <f t="shared" si="10"/>
        <v>2</v>
      </c>
      <c r="K383" s="6" t="str">
        <f t="shared" si="11"/>
        <v>B1~30</v>
      </c>
      <c r="L383" t="str">
        <f>IF(J383&lt;0,"A~0",VLOOKUP(J383,[1]作法V!$B$1:$C$9,2,TRUE))</f>
        <v>B1~30</v>
      </c>
    </row>
    <row r="384" spans="1:12">
      <c r="A384">
        <v>1053</v>
      </c>
      <c r="B384" t="s">
        <v>21</v>
      </c>
      <c r="C384" s="3">
        <v>38537</v>
      </c>
      <c r="D384" s="3">
        <v>38684</v>
      </c>
      <c r="E384" t="s">
        <v>17</v>
      </c>
      <c r="F384">
        <v>31.31</v>
      </c>
      <c r="G384">
        <v>2.02</v>
      </c>
      <c r="H384">
        <v>63</v>
      </c>
      <c r="I384" s="4">
        <v>38686</v>
      </c>
      <c r="J384" s="5">
        <f t="shared" si="10"/>
        <v>2</v>
      </c>
      <c r="K384" s="6" t="str">
        <f t="shared" si="11"/>
        <v>B1~30</v>
      </c>
      <c r="L384" t="str">
        <f>IF(J384&lt;0,"A~0",VLOOKUP(J384,[1]作法V!$B$1:$C$9,2,TRUE))</f>
        <v>B1~30</v>
      </c>
    </row>
    <row r="385" spans="1:12">
      <c r="A385">
        <v>1053</v>
      </c>
      <c r="B385" t="s">
        <v>21</v>
      </c>
      <c r="C385" s="3">
        <v>38537</v>
      </c>
      <c r="D385" s="3">
        <v>38684</v>
      </c>
      <c r="E385" t="s">
        <v>17</v>
      </c>
      <c r="F385">
        <v>31.31</v>
      </c>
      <c r="G385">
        <v>188.3</v>
      </c>
      <c r="H385">
        <v>5896</v>
      </c>
      <c r="I385" s="4">
        <v>38686</v>
      </c>
      <c r="J385" s="5">
        <f t="shared" si="10"/>
        <v>2</v>
      </c>
      <c r="K385" s="6" t="str">
        <f t="shared" si="11"/>
        <v>B1~30</v>
      </c>
      <c r="L385" t="str">
        <f>IF(J385&lt;0,"A~0",VLOOKUP(J385,[1]作法V!$B$1:$C$9,2,TRUE))</f>
        <v>B1~30</v>
      </c>
    </row>
    <row r="386" spans="1:12">
      <c r="A386">
        <v>1053</v>
      </c>
      <c r="B386" t="s">
        <v>21</v>
      </c>
      <c r="C386" s="3">
        <v>38537</v>
      </c>
      <c r="D386" s="3">
        <v>38684</v>
      </c>
      <c r="E386" t="s">
        <v>17</v>
      </c>
      <c r="F386">
        <v>31.31</v>
      </c>
      <c r="G386">
        <v>3030.86</v>
      </c>
      <c r="H386">
        <v>94896</v>
      </c>
      <c r="I386" s="4">
        <v>38686</v>
      </c>
      <c r="J386" s="5">
        <f t="shared" ref="J386:J449" si="12">I386-D386</f>
        <v>2</v>
      </c>
      <c r="K386" s="6" t="str">
        <f t="shared" ref="K386:K449" si="13">IF(J386&lt;1,"A~0",IF(J386&lt;31,"B1~30",IF(J386&lt;61,"C31~60",IF(J386&lt;91,"D61~90",IF(J386&lt;121,"E91~120",IF(J386&lt;181,"F121~180",IF(J386&lt;361,"G181~360","H361~")))))))</f>
        <v>B1~30</v>
      </c>
      <c r="L386" t="str">
        <f>IF(J386&lt;0,"A~0",VLOOKUP(J386,[1]作法V!$B$1:$C$9,2,TRUE))</f>
        <v>B1~30</v>
      </c>
    </row>
    <row r="387" spans="1:12">
      <c r="A387">
        <v>1053</v>
      </c>
      <c r="B387" t="s">
        <v>21</v>
      </c>
      <c r="C387" s="3">
        <v>38537</v>
      </c>
      <c r="D387" s="3">
        <v>38684</v>
      </c>
      <c r="E387" t="s">
        <v>17</v>
      </c>
      <c r="F387">
        <v>31.31</v>
      </c>
      <c r="G387">
        <v>424.8</v>
      </c>
      <c r="H387">
        <v>13300</v>
      </c>
      <c r="I387" s="4">
        <v>38686</v>
      </c>
      <c r="J387" s="5">
        <f t="shared" si="12"/>
        <v>2</v>
      </c>
      <c r="K387" s="6" t="str">
        <f t="shared" si="13"/>
        <v>B1~30</v>
      </c>
      <c r="L387" t="str">
        <f>IF(J387&lt;0,"A~0",VLOOKUP(J387,[1]作法V!$B$1:$C$9,2,TRUE))</f>
        <v>B1~30</v>
      </c>
    </row>
    <row r="388" spans="1:12">
      <c r="A388">
        <v>1053</v>
      </c>
      <c r="B388" t="s">
        <v>21</v>
      </c>
      <c r="C388" s="3">
        <v>38537</v>
      </c>
      <c r="D388" s="3">
        <v>38684</v>
      </c>
      <c r="E388" t="s">
        <v>17</v>
      </c>
      <c r="F388">
        <v>31.31</v>
      </c>
      <c r="G388">
        <v>46.18</v>
      </c>
      <c r="H388">
        <v>1446</v>
      </c>
      <c r="I388" s="4">
        <v>38686</v>
      </c>
      <c r="J388" s="5">
        <f t="shared" si="12"/>
        <v>2</v>
      </c>
      <c r="K388" s="6" t="str">
        <f t="shared" si="13"/>
        <v>B1~30</v>
      </c>
      <c r="L388" t="str">
        <f>IF(J388&lt;0,"A~0",VLOOKUP(J388,[1]作法V!$B$1:$C$9,2,TRUE))</f>
        <v>B1~30</v>
      </c>
    </row>
    <row r="389" spans="1:12">
      <c r="A389">
        <v>1053</v>
      </c>
      <c r="B389" t="s">
        <v>21</v>
      </c>
      <c r="C389" s="3">
        <v>38537</v>
      </c>
      <c r="D389" s="3">
        <v>38684</v>
      </c>
      <c r="E389" t="s">
        <v>17</v>
      </c>
      <c r="F389">
        <v>31.31</v>
      </c>
      <c r="G389">
        <v>129</v>
      </c>
      <c r="H389">
        <v>4039</v>
      </c>
      <c r="I389" s="4">
        <v>38686</v>
      </c>
      <c r="J389" s="5">
        <f t="shared" si="12"/>
        <v>2</v>
      </c>
      <c r="K389" s="6" t="str">
        <f t="shared" si="13"/>
        <v>B1~30</v>
      </c>
      <c r="L389" t="str">
        <f>IF(J389&lt;0,"A~0",VLOOKUP(J389,[1]作法V!$B$1:$C$9,2,TRUE))</f>
        <v>B1~30</v>
      </c>
    </row>
    <row r="390" spans="1:12">
      <c r="A390">
        <v>1053</v>
      </c>
      <c r="B390" t="s">
        <v>21</v>
      </c>
      <c r="C390" s="3">
        <v>38540</v>
      </c>
      <c r="D390" s="3">
        <v>38684</v>
      </c>
      <c r="E390" t="s">
        <v>17</v>
      </c>
      <c r="F390">
        <v>31.31</v>
      </c>
      <c r="G390">
        <v>1167.98</v>
      </c>
      <c r="H390">
        <v>36569</v>
      </c>
      <c r="I390" s="4">
        <v>38686</v>
      </c>
      <c r="J390" s="5">
        <f t="shared" si="12"/>
        <v>2</v>
      </c>
      <c r="K390" s="6" t="str">
        <f t="shared" si="13"/>
        <v>B1~30</v>
      </c>
      <c r="L390" t="str">
        <f>IF(J390&lt;0,"A~0",VLOOKUP(J390,[1]作法V!$B$1:$C$9,2,TRUE))</f>
        <v>B1~30</v>
      </c>
    </row>
    <row r="391" spans="1:12">
      <c r="A391">
        <v>1053</v>
      </c>
      <c r="B391" t="s">
        <v>21</v>
      </c>
      <c r="C391" s="3">
        <v>38540</v>
      </c>
      <c r="D391" s="3">
        <v>38684</v>
      </c>
      <c r="E391" t="s">
        <v>17</v>
      </c>
      <c r="F391">
        <v>31.31</v>
      </c>
      <c r="G391">
        <v>214.5</v>
      </c>
      <c r="H391">
        <v>6716</v>
      </c>
      <c r="I391" s="4">
        <v>38686</v>
      </c>
      <c r="J391" s="5">
        <f t="shared" si="12"/>
        <v>2</v>
      </c>
      <c r="K391" s="6" t="str">
        <f t="shared" si="13"/>
        <v>B1~30</v>
      </c>
      <c r="L391" t="str">
        <f>IF(J391&lt;0,"A~0",VLOOKUP(J391,[1]作法V!$B$1:$C$9,2,TRUE))</f>
        <v>B1~30</v>
      </c>
    </row>
    <row r="392" spans="1:12">
      <c r="A392">
        <v>1053</v>
      </c>
      <c r="B392" t="s">
        <v>21</v>
      </c>
      <c r="C392" s="3">
        <v>38540</v>
      </c>
      <c r="D392" s="3">
        <v>38684</v>
      </c>
      <c r="E392" t="s">
        <v>17</v>
      </c>
      <c r="F392">
        <v>31.31</v>
      </c>
      <c r="G392">
        <v>171.6</v>
      </c>
      <c r="H392">
        <v>5373</v>
      </c>
      <c r="I392" s="4">
        <v>38686</v>
      </c>
      <c r="J392" s="5">
        <f t="shared" si="12"/>
        <v>2</v>
      </c>
      <c r="K392" s="6" t="str">
        <f t="shared" si="13"/>
        <v>B1~30</v>
      </c>
      <c r="L392" t="str">
        <f>IF(J392&lt;0,"A~0",VLOOKUP(J392,[1]作法V!$B$1:$C$9,2,TRUE))</f>
        <v>B1~30</v>
      </c>
    </row>
    <row r="393" spans="1:12">
      <c r="A393">
        <v>1053</v>
      </c>
      <c r="B393" t="s">
        <v>21</v>
      </c>
      <c r="C393" s="3">
        <v>38540</v>
      </c>
      <c r="D393" s="3">
        <v>38684</v>
      </c>
      <c r="E393" t="s">
        <v>17</v>
      </c>
      <c r="F393">
        <v>31.31</v>
      </c>
      <c r="G393">
        <v>171.6</v>
      </c>
      <c r="H393">
        <v>5373</v>
      </c>
      <c r="I393" s="4">
        <v>38686</v>
      </c>
      <c r="J393" s="5">
        <f t="shared" si="12"/>
        <v>2</v>
      </c>
      <c r="K393" s="6" t="str">
        <f t="shared" si="13"/>
        <v>B1~30</v>
      </c>
      <c r="L393" t="str">
        <f>IF(J393&lt;0,"A~0",VLOOKUP(J393,[1]作法V!$B$1:$C$9,2,TRUE))</f>
        <v>B1~30</v>
      </c>
    </row>
    <row r="394" spans="1:12">
      <c r="A394">
        <v>1053</v>
      </c>
      <c r="B394" t="s">
        <v>21</v>
      </c>
      <c r="C394" s="3">
        <v>38540</v>
      </c>
      <c r="D394" s="3">
        <v>38684</v>
      </c>
      <c r="E394" t="s">
        <v>17</v>
      </c>
      <c r="F394">
        <v>31.31</v>
      </c>
      <c r="G394">
        <v>6131.86</v>
      </c>
      <c r="H394">
        <v>191989</v>
      </c>
      <c r="I394" s="4">
        <v>38686</v>
      </c>
      <c r="J394" s="5">
        <f t="shared" si="12"/>
        <v>2</v>
      </c>
      <c r="K394" s="6" t="str">
        <f t="shared" si="13"/>
        <v>B1~30</v>
      </c>
      <c r="L394" t="str">
        <f>IF(J394&lt;0,"A~0",VLOOKUP(J394,[1]作法V!$B$1:$C$9,2,TRUE))</f>
        <v>B1~30</v>
      </c>
    </row>
    <row r="395" spans="1:12">
      <c r="A395">
        <v>1053</v>
      </c>
      <c r="B395" t="s">
        <v>21</v>
      </c>
      <c r="C395" s="3">
        <v>38540</v>
      </c>
      <c r="D395" s="3">
        <v>38684</v>
      </c>
      <c r="E395" t="s">
        <v>17</v>
      </c>
      <c r="F395">
        <v>31.31</v>
      </c>
      <c r="G395">
        <v>320</v>
      </c>
      <c r="H395">
        <v>10019</v>
      </c>
      <c r="I395" s="4">
        <v>38686</v>
      </c>
      <c r="J395" s="5">
        <f t="shared" si="12"/>
        <v>2</v>
      </c>
      <c r="K395" s="6" t="str">
        <f t="shared" si="13"/>
        <v>B1~30</v>
      </c>
      <c r="L395" t="str">
        <f>IF(J395&lt;0,"A~0",VLOOKUP(J395,[1]作法V!$B$1:$C$9,2,TRUE))</f>
        <v>B1~30</v>
      </c>
    </row>
    <row r="396" spans="1:12">
      <c r="A396">
        <v>1053</v>
      </c>
      <c r="B396" t="s">
        <v>21</v>
      </c>
      <c r="C396" s="3">
        <v>38540</v>
      </c>
      <c r="D396" s="3">
        <v>38684</v>
      </c>
      <c r="E396" t="s">
        <v>17</v>
      </c>
      <c r="F396">
        <v>31.31</v>
      </c>
      <c r="G396">
        <v>23.04</v>
      </c>
      <c r="H396">
        <v>721</v>
      </c>
      <c r="I396" s="4">
        <v>38686</v>
      </c>
      <c r="J396" s="5">
        <f t="shared" si="12"/>
        <v>2</v>
      </c>
      <c r="K396" s="6" t="str">
        <f t="shared" si="13"/>
        <v>B1~30</v>
      </c>
      <c r="L396" t="str">
        <f>IF(J396&lt;0,"A~0",VLOOKUP(J396,[1]作法V!$B$1:$C$9,2,TRUE))</f>
        <v>B1~30</v>
      </c>
    </row>
    <row r="397" spans="1:12">
      <c r="A397">
        <v>1053</v>
      </c>
      <c r="B397" t="s">
        <v>21</v>
      </c>
      <c r="C397" s="3">
        <v>38540</v>
      </c>
      <c r="D397" s="3">
        <v>38684</v>
      </c>
      <c r="E397" t="s">
        <v>17</v>
      </c>
      <c r="F397">
        <v>31.31</v>
      </c>
      <c r="G397">
        <v>169.58</v>
      </c>
      <c r="H397">
        <v>5310</v>
      </c>
      <c r="I397" s="4">
        <v>38686</v>
      </c>
      <c r="J397" s="5">
        <f t="shared" si="12"/>
        <v>2</v>
      </c>
      <c r="K397" s="6" t="str">
        <f t="shared" si="13"/>
        <v>B1~30</v>
      </c>
      <c r="L397" t="str">
        <f>IF(J397&lt;0,"A~0",VLOOKUP(J397,[1]作法V!$B$1:$C$9,2,TRUE))</f>
        <v>B1~30</v>
      </c>
    </row>
    <row r="398" spans="1:12">
      <c r="A398">
        <v>1053</v>
      </c>
      <c r="B398" t="s">
        <v>21</v>
      </c>
      <c r="C398" s="3">
        <v>38540</v>
      </c>
      <c r="D398" s="3">
        <v>38684</v>
      </c>
      <c r="E398" t="s">
        <v>17</v>
      </c>
      <c r="F398">
        <v>31.31</v>
      </c>
      <c r="G398">
        <v>591.36</v>
      </c>
      <c r="H398">
        <v>18515</v>
      </c>
      <c r="I398" s="4">
        <v>38686</v>
      </c>
      <c r="J398" s="5">
        <f t="shared" si="12"/>
        <v>2</v>
      </c>
      <c r="K398" s="6" t="str">
        <f t="shared" si="13"/>
        <v>B1~30</v>
      </c>
      <c r="L398" t="str">
        <f>IF(J398&lt;0,"A~0",VLOOKUP(J398,[1]作法V!$B$1:$C$9,2,TRUE))</f>
        <v>B1~30</v>
      </c>
    </row>
    <row r="399" spans="1:12">
      <c r="A399">
        <v>1053</v>
      </c>
      <c r="B399" t="s">
        <v>21</v>
      </c>
      <c r="C399" s="3">
        <v>38540</v>
      </c>
      <c r="D399" s="3">
        <v>38684</v>
      </c>
      <c r="E399" t="s">
        <v>17</v>
      </c>
      <c r="F399">
        <v>31.31</v>
      </c>
      <c r="G399">
        <v>100.6</v>
      </c>
      <c r="H399">
        <v>3150</v>
      </c>
      <c r="I399" s="4">
        <v>38686</v>
      </c>
      <c r="J399" s="5">
        <f t="shared" si="12"/>
        <v>2</v>
      </c>
      <c r="K399" s="6" t="str">
        <f t="shared" si="13"/>
        <v>B1~30</v>
      </c>
      <c r="L399" t="str">
        <f>IF(J399&lt;0,"A~0",VLOOKUP(J399,[1]作法V!$B$1:$C$9,2,TRUE))</f>
        <v>B1~30</v>
      </c>
    </row>
    <row r="400" spans="1:12">
      <c r="A400">
        <v>1053</v>
      </c>
      <c r="B400" t="s">
        <v>21</v>
      </c>
      <c r="C400" s="3">
        <v>38540</v>
      </c>
      <c r="D400" s="3">
        <v>38684</v>
      </c>
      <c r="E400" t="s">
        <v>17</v>
      </c>
      <c r="F400">
        <v>31.31</v>
      </c>
      <c r="G400">
        <v>30.12</v>
      </c>
      <c r="H400">
        <v>943</v>
      </c>
      <c r="I400" s="4">
        <v>38686</v>
      </c>
      <c r="J400" s="5">
        <f t="shared" si="12"/>
        <v>2</v>
      </c>
      <c r="K400" s="6" t="str">
        <f t="shared" si="13"/>
        <v>B1~30</v>
      </c>
      <c r="L400" t="str">
        <f>IF(J400&lt;0,"A~0",VLOOKUP(J400,[1]作法V!$B$1:$C$9,2,TRUE))</f>
        <v>B1~30</v>
      </c>
    </row>
    <row r="401" spans="1:12">
      <c r="A401">
        <v>1053</v>
      </c>
      <c r="B401" t="s">
        <v>21</v>
      </c>
      <c r="C401" s="3">
        <v>38540</v>
      </c>
      <c r="D401" s="3">
        <v>38684</v>
      </c>
      <c r="E401" t="s">
        <v>17</v>
      </c>
      <c r="F401">
        <v>31.31</v>
      </c>
      <c r="G401">
        <v>320</v>
      </c>
      <c r="H401">
        <v>10019</v>
      </c>
      <c r="I401" s="4">
        <v>38686</v>
      </c>
      <c r="J401" s="5">
        <f t="shared" si="12"/>
        <v>2</v>
      </c>
      <c r="K401" s="6" t="str">
        <f t="shared" si="13"/>
        <v>B1~30</v>
      </c>
      <c r="L401" t="str">
        <f>IF(J401&lt;0,"A~0",VLOOKUP(J401,[1]作法V!$B$1:$C$9,2,TRUE))</f>
        <v>B1~30</v>
      </c>
    </row>
    <row r="402" spans="1:12">
      <c r="A402">
        <v>1053</v>
      </c>
      <c r="B402" t="s">
        <v>21</v>
      </c>
      <c r="C402" s="3">
        <v>38541</v>
      </c>
      <c r="D402" s="3">
        <v>38684</v>
      </c>
      <c r="E402" t="s">
        <v>18</v>
      </c>
      <c r="F402">
        <v>1</v>
      </c>
      <c r="G402">
        <v>128681</v>
      </c>
      <c r="H402">
        <v>128681</v>
      </c>
      <c r="I402" s="4">
        <v>38686</v>
      </c>
      <c r="J402" s="5">
        <f t="shared" si="12"/>
        <v>2</v>
      </c>
      <c r="K402" s="6" t="str">
        <f t="shared" si="13"/>
        <v>B1~30</v>
      </c>
      <c r="L402" t="str">
        <f>IF(J402&lt;0,"A~0",VLOOKUP(J402,[1]作法V!$B$1:$C$9,2,TRUE))</f>
        <v>B1~30</v>
      </c>
    </row>
    <row r="403" spans="1:12">
      <c r="A403">
        <v>1053</v>
      </c>
      <c r="B403" t="s">
        <v>21</v>
      </c>
      <c r="C403" s="3">
        <v>38541</v>
      </c>
      <c r="D403" s="3">
        <v>38684</v>
      </c>
      <c r="E403" t="s">
        <v>18</v>
      </c>
      <c r="F403">
        <v>1</v>
      </c>
      <c r="G403">
        <v>110719</v>
      </c>
      <c r="H403">
        <v>110719</v>
      </c>
      <c r="I403" s="4">
        <v>38686</v>
      </c>
      <c r="J403" s="5">
        <f t="shared" si="12"/>
        <v>2</v>
      </c>
      <c r="K403" s="6" t="str">
        <f t="shared" si="13"/>
        <v>B1~30</v>
      </c>
      <c r="L403" t="str">
        <f>IF(J403&lt;0,"A~0",VLOOKUP(J403,[1]作法V!$B$1:$C$9,2,TRUE))</f>
        <v>B1~30</v>
      </c>
    </row>
    <row r="404" spans="1:12">
      <c r="A404">
        <v>1053</v>
      </c>
      <c r="B404" t="s">
        <v>21</v>
      </c>
      <c r="C404" s="3">
        <v>38541</v>
      </c>
      <c r="D404" s="3">
        <v>38684</v>
      </c>
      <c r="E404" t="s">
        <v>18</v>
      </c>
      <c r="F404">
        <v>1</v>
      </c>
      <c r="G404">
        <v>20804</v>
      </c>
      <c r="H404">
        <v>20804</v>
      </c>
      <c r="I404" s="4">
        <v>38686</v>
      </c>
      <c r="J404" s="5">
        <f t="shared" si="12"/>
        <v>2</v>
      </c>
      <c r="K404" s="6" t="str">
        <f t="shared" si="13"/>
        <v>B1~30</v>
      </c>
      <c r="L404" t="str">
        <f>IF(J404&lt;0,"A~0",VLOOKUP(J404,[1]作法V!$B$1:$C$9,2,TRUE))</f>
        <v>B1~30</v>
      </c>
    </row>
    <row r="405" spans="1:12">
      <c r="A405">
        <v>1053</v>
      </c>
      <c r="B405" t="s">
        <v>21</v>
      </c>
      <c r="C405" s="3">
        <v>38541</v>
      </c>
      <c r="D405" s="3">
        <v>38684</v>
      </c>
      <c r="E405" t="s">
        <v>18</v>
      </c>
      <c r="F405">
        <v>1</v>
      </c>
      <c r="G405">
        <v>113050</v>
      </c>
      <c r="H405">
        <v>113050</v>
      </c>
      <c r="I405" s="4">
        <v>38686</v>
      </c>
      <c r="J405" s="5">
        <f t="shared" si="12"/>
        <v>2</v>
      </c>
      <c r="K405" s="6" t="str">
        <f t="shared" si="13"/>
        <v>B1~30</v>
      </c>
      <c r="L405" t="str">
        <f>IF(J405&lt;0,"A~0",VLOOKUP(J405,[1]作法V!$B$1:$C$9,2,TRUE))</f>
        <v>B1~30</v>
      </c>
    </row>
    <row r="406" spans="1:12">
      <c r="A406">
        <v>1053</v>
      </c>
      <c r="B406" t="s">
        <v>21</v>
      </c>
      <c r="C406" s="3">
        <v>38541</v>
      </c>
      <c r="D406" s="3">
        <v>38684</v>
      </c>
      <c r="E406" t="s">
        <v>18</v>
      </c>
      <c r="F406">
        <v>1</v>
      </c>
      <c r="G406">
        <v>37077</v>
      </c>
      <c r="H406">
        <v>37077</v>
      </c>
      <c r="I406" s="4">
        <v>38686</v>
      </c>
      <c r="J406" s="5">
        <f t="shared" si="12"/>
        <v>2</v>
      </c>
      <c r="K406" s="6" t="str">
        <f t="shared" si="13"/>
        <v>B1~30</v>
      </c>
      <c r="L406" t="str">
        <f>IF(J406&lt;0,"A~0",VLOOKUP(J406,[1]作法V!$B$1:$C$9,2,TRUE))</f>
        <v>B1~30</v>
      </c>
    </row>
    <row r="407" spans="1:12">
      <c r="A407">
        <v>1053</v>
      </c>
      <c r="B407" t="s">
        <v>21</v>
      </c>
      <c r="C407" s="3">
        <v>38544</v>
      </c>
      <c r="D407" s="3">
        <v>38684</v>
      </c>
      <c r="E407" t="s">
        <v>18</v>
      </c>
      <c r="F407">
        <v>1</v>
      </c>
      <c r="G407">
        <v>215580</v>
      </c>
      <c r="H407">
        <v>215580</v>
      </c>
      <c r="I407" s="4">
        <v>38686</v>
      </c>
      <c r="J407" s="5">
        <f t="shared" si="12"/>
        <v>2</v>
      </c>
      <c r="K407" s="6" t="str">
        <f t="shared" si="13"/>
        <v>B1~30</v>
      </c>
      <c r="L407" t="str">
        <f>IF(J407&lt;0,"A~0",VLOOKUP(J407,[1]作法V!$B$1:$C$9,2,TRUE))</f>
        <v>B1~30</v>
      </c>
    </row>
    <row r="408" spans="1:12">
      <c r="A408">
        <v>1053</v>
      </c>
      <c r="B408" t="s">
        <v>21</v>
      </c>
      <c r="C408" s="3">
        <v>38544</v>
      </c>
      <c r="D408" s="3">
        <v>38684</v>
      </c>
      <c r="E408" t="s">
        <v>18</v>
      </c>
      <c r="F408">
        <v>1</v>
      </c>
      <c r="G408">
        <v>28608</v>
      </c>
      <c r="H408">
        <v>28608</v>
      </c>
      <c r="I408" s="4">
        <v>38686</v>
      </c>
      <c r="J408" s="5">
        <f t="shared" si="12"/>
        <v>2</v>
      </c>
      <c r="K408" s="6" t="str">
        <f t="shared" si="13"/>
        <v>B1~30</v>
      </c>
      <c r="L408" t="str">
        <f>IF(J408&lt;0,"A~0",VLOOKUP(J408,[1]作法V!$B$1:$C$9,2,TRUE))</f>
        <v>B1~30</v>
      </c>
    </row>
    <row r="409" spans="1:12">
      <c r="A409">
        <v>1053</v>
      </c>
      <c r="B409" t="s">
        <v>21</v>
      </c>
      <c r="C409" s="3">
        <v>38547</v>
      </c>
      <c r="D409" s="3">
        <v>38684</v>
      </c>
      <c r="E409" t="s">
        <v>17</v>
      </c>
      <c r="F409">
        <v>31.95</v>
      </c>
      <c r="G409">
        <v>480</v>
      </c>
      <c r="H409">
        <v>15336</v>
      </c>
      <c r="I409" s="4">
        <v>38686</v>
      </c>
      <c r="J409" s="5">
        <f t="shared" si="12"/>
        <v>2</v>
      </c>
      <c r="K409" s="6" t="str">
        <f t="shared" si="13"/>
        <v>B1~30</v>
      </c>
      <c r="L409" t="str">
        <f>IF(J409&lt;0,"A~0",VLOOKUP(J409,[1]作法V!$B$1:$C$9,2,TRUE))</f>
        <v>B1~30</v>
      </c>
    </row>
    <row r="410" spans="1:12">
      <c r="A410">
        <v>1053</v>
      </c>
      <c r="B410" t="s">
        <v>21</v>
      </c>
      <c r="C410" s="3">
        <v>38547</v>
      </c>
      <c r="D410" s="3">
        <v>38684</v>
      </c>
      <c r="E410" t="s">
        <v>17</v>
      </c>
      <c r="F410">
        <v>31.95</v>
      </c>
      <c r="G410">
        <v>268.42</v>
      </c>
      <c r="H410">
        <v>8576</v>
      </c>
      <c r="I410" s="4">
        <v>38686</v>
      </c>
      <c r="J410" s="5">
        <f t="shared" si="12"/>
        <v>2</v>
      </c>
      <c r="K410" s="6" t="str">
        <f t="shared" si="13"/>
        <v>B1~30</v>
      </c>
      <c r="L410" t="str">
        <f>IF(J410&lt;0,"A~0",VLOOKUP(J410,[1]作法V!$B$1:$C$9,2,TRUE))</f>
        <v>B1~30</v>
      </c>
    </row>
    <row r="411" spans="1:12">
      <c r="A411">
        <v>1053</v>
      </c>
      <c r="B411" t="s">
        <v>21</v>
      </c>
      <c r="C411" s="3">
        <v>38547</v>
      </c>
      <c r="D411" s="3">
        <v>38684</v>
      </c>
      <c r="E411" t="s">
        <v>17</v>
      </c>
      <c r="F411">
        <v>31.95</v>
      </c>
      <c r="G411">
        <v>71</v>
      </c>
      <c r="H411">
        <v>2268</v>
      </c>
      <c r="I411" s="4">
        <v>38686</v>
      </c>
      <c r="J411" s="5">
        <f t="shared" si="12"/>
        <v>2</v>
      </c>
      <c r="K411" s="6" t="str">
        <f t="shared" si="13"/>
        <v>B1~30</v>
      </c>
      <c r="L411" t="str">
        <f>IF(J411&lt;0,"A~0",VLOOKUP(J411,[1]作法V!$B$1:$C$9,2,TRUE))</f>
        <v>B1~30</v>
      </c>
    </row>
    <row r="412" spans="1:12">
      <c r="A412">
        <v>1053</v>
      </c>
      <c r="B412" t="s">
        <v>21</v>
      </c>
      <c r="C412" s="3">
        <v>38547</v>
      </c>
      <c r="D412" s="3">
        <v>38684</v>
      </c>
      <c r="E412" t="s">
        <v>17</v>
      </c>
      <c r="F412">
        <v>31.95</v>
      </c>
      <c r="G412">
        <v>60.72</v>
      </c>
      <c r="H412">
        <v>1940</v>
      </c>
      <c r="I412" s="4">
        <v>38686</v>
      </c>
      <c r="J412" s="5">
        <f t="shared" si="12"/>
        <v>2</v>
      </c>
      <c r="K412" s="6" t="str">
        <f t="shared" si="13"/>
        <v>B1~30</v>
      </c>
      <c r="L412" t="str">
        <f>IF(J412&lt;0,"A~0",VLOOKUP(J412,[1]作法V!$B$1:$C$9,2,TRUE))</f>
        <v>B1~30</v>
      </c>
    </row>
    <row r="413" spans="1:12">
      <c r="A413">
        <v>1053</v>
      </c>
      <c r="B413" t="s">
        <v>21</v>
      </c>
      <c r="C413" s="3">
        <v>38547</v>
      </c>
      <c r="D413" s="3">
        <v>38684</v>
      </c>
      <c r="E413" t="s">
        <v>17</v>
      </c>
      <c r="F413">
        <v>31.95</v>
      </c>
      <c r="G413">
        <v>376.96</v>
      </c>
      <c r="H413">
        <v>12044</v>
      </c>
      <c r="I413" s="4">
        <v>38686</v>
      </c>
      <c r="J413" s="5">
        <f t="shared" si="12"/>
        <v>2</v>
      </c>
      <c r="K413" s="6" t="str">
        <f t="shared" si="13"/>
        <v>B1~30</v>
      </c>
      <c r="L413" t="str">
        <f>IF(J413&lt;0,"A~0",VLOOKUP(J413,[1]作法V!$B$1:$C$9,2,TRUE))</f>
        <v>B1~30</v>
      </c>
    </row>
    <row r="414" spans="1:12">
      <c r="A414">
        <v>1053</v>
      </c>
      <c r="B414" t="s">
        <v>21</v>
      </c>
      <c r="C414" s="3">
        <v>38547</v>
      </c>
      <c r="D414" s="3">
        <v>38684</v>
      </c>
      <c r="E414" t="s">
        <v>17</v>
      </c>
      <c r="F414">
        <v>31.95</v>
      </c>
      <c r="G414">
        <v>330.32</v>
      </c>
      <c r="H414">
        <v>10554</v>
      </c>
      <c r="I414" s="4">
        <v>38686</v>
      </c>
      <c r="J414" s="5">
        <f t="shared" si="12"/>
        <v>2</v>
      </c>
      <c r="K414" s="6" t="str">
        <f t="shared" si="13"/>
        <v>B1~30</v>
      </c>
      <c r="L414" t="str">
        <f>IF(J414&lt;0,"A~0",VLOOKUP(J414,[1]作法V!$B$1:$C$9,2,TRUE))</f>
        <v>B1~30</v>
      </c>
    </row>
    <row r="415" spans="1:12">
      <c r="A415">
        <v>1053</v>
      </c>
      <c r="B415" t="s">
        <v>21</v>
      </c>
      <c r="C415" s="3">
        <v>38547</v>
      </c>
      <c r="D415" s="3">
        <v>38684</v>
      </c>
      <c r="E415" t="s">
        <v>17</v>
      </c>
      <c r="F415">
        <v>31.95</v>
      </c>
      <c r="G415">
        <v>320</v>
      </c>
      <c r="H415">
        <v>10224</v>
      </c>
      <c r="I415" s="4">
        <v>38686</v>
      </c>
      <c r="J415" s="5">
        <f t="shared" si="12"/>
        <v>2</v>
      </c>
      <c r="K415" s="6" t="str">
        <f t="shared" si="13"/>
        <v>B1~30</v>
      </c>
      <c r="L415" t="str">
        <f>IF(J415&lt;0,"A~0",VLOOKUP(J415,[1]作法V!$B$1:$C$9,2,TRUE))</f>
        <v>B1~30</v>
      </c>
    </row>
    <row r="416" spans="1:12">
      <c r="A416">
        <v>1053</v>
      </c>
      <c r="B416" t="s">
        <v>21</v>
      </c>
      <c r="C416" s="3">
        <v>38547</v>
      </c>
      <c r="D416" s="3">
        <v>38684</v>
      </c>
      <c r="E416" t="s">
        <v>17</v>
      </c>
      <c r="F416">
        <v>31.95</v>
      </c>
      <c r="G416">
        <v>7241.48</v>
      </c>
      <c r="H416">
        <v>231365</v>
      </c>
      <c r="I416" s="4">
        <v>38686</v>
      </c>
      <c r="J416" s="5">
        <f t="shared" si="12"/>
        <v>2</v>
      </c>
      <c r="K416" s="6" t="str">
        <f t="shared" si="13"/>
        <v>B1~30</v>
      </c>
      <c r="L416" t="str">
        <f>IF(J416&lt;0,"A~0",VLOOKUP(J416,[1]作法V!$B$1:$C$9,2,TRUE))</f>
        <v>B1~30</v>
      </c>
    </row>
    <row r="417" spans="1:12">
      <c r="A417">
        <v>1053</v>
      </c>
      <c r="B417" t="s">
        <v>21</v>
      </c>
      <c r="C417" s="3">
        <v>38547</v>
      </c>
      <c r="D417" s="3">
        <v>38684</v>
      </c>
      <c r="E417" t="s">
        <v>17</v>
      </c>
      <c r="F417">
        <v>31.95</v>
      </c>
      <c r="G417">
        <v>787</v>
      </c>
      <c r="H417">
        <v>25145</v>
      </c>
      <c r="I417" s="4">
        <v>38686</v>
      </c>
      <c r="J417" s="5">
        <f t="shared" si="12"/>
        <v>2</v>
      </c>
      <c r="K417" s="6" t="str">
        <f t="shared" si="13"/>
        <v>B1~30</v>
      </c>
      <c r="L417" t="str">
        <f>IF(J417&lt;0,"A~0",VLOOKUP(J417,[1]作法V!$B$1:$C$9,2,TRUE))</f>
        <v>B1~30</v>
      </c>
    </row>
    <row r="418" spans="1:12">
      <c r="A418">
        <v>1053</v>
      </c>
      <c r="B418" t="s">
        <v>21</v>
      </c>
      <c r="C418" s="3">
        <v>38553</v>
      </c>
      <c r="D418" s="3">
        <v>38684</v>
      </c>
      <c r="E418" t="s">
        <v>17</v>
      </c>
      <c r="F418">
        <v>31.95</v>
      </c>
      <c r="G418">
        <v>5572.62</v>
      </c>
      <c r="H418">
        <v>178045</v>
      </c>
      <c r="I418" s="4">
        <v>38686</v>
      </c>
      <c r="J418" s="5">
        <f t="shared" si="12"/>
        <v>2</v>
      </c>
      <c r="K418" s="6" t="str">
        <f t="shared" si="13"/>
        <v>B1~30</v>
      </c>
      <c r="L418" t="str">
        <f>IF(J418&lt;0,"A~0",VLOOKUP(J418,[1]作法V!$B$1:$C$9,2,TRUE))</f>
        <v>B1~30</v>
      </c>
    </row>
    <row r="419" spans="1:12">
      <c r="A419">
        <v>1053</v>
      </c>
      <c r="B419" t="s">
        <v>21</v>
      </c>
      <c r="C419" s="3">
        <v>38553</v>
      </c>
      <c r="D419" s="3">
        <v>38684</v>
      </c>
      <c r="E419" t="s">
        <v>17</v>
      </c>
      <c r="F419">
        <v>31.95</v>
      </c>
      <c r="G419">
        <v>3113.81</v>
      </c>
      <c r="H419">
        <v>99486</v>
      </c>
      <c r="I419" s="4">
        <v>38686</v>
      </c>
      <c r="J419" s="5">
        <f t="shared" si="12"/>
        <v>2</v>
      </c>
      <c r="K419" s="6" t="str">
        <f t="shared" si="13"/>
        <v>B1~30</v>
      </c>
      <c r="L419" t="str">
        <f>IF(J419&lt;0,"A~0",VLOOKUP(J419,[1]作法V!$B$1:$C$9,2,TRUE))</f>
        <v>B1~30</v>
      </c>
    </row>
    <row r="420" spans="1:12">
      <c r="A420">
        <v>1053</v>
      </c>
      <c r="B420" t="s">
        <v>21</v>
      </c>
      <c r="C420" s="3">
        <v>38553</v>
      </c>
      <c r="D420" s="3">
        <v>38684</v>
      </c>
      <c r="E420" t="s">
        <v>17</v>
      </c>
      <c r="F420">
        <v>31.95</v>
      </c>
      <c r="G420">
        <v>766.6</v>
      </c>
      <c r="H420">
        <v>24493</v>
      </c>
      <c r="I420" s="4">
        <v>38686</v>
      </c>
      <c r="J420" s="5">
        <f t="shared" si="12"/>
        <v>2</v>
      </c>
      <c r="K420" s="6" t="str">
        <f t="shared" si="13"/>
        <v>B1~30</v>
      </c>
      <c r="L420" t="str">
        <f>IF(J420&lt;0,"A~0",VLOOKUP(J420,[1]作法V!$B$1:$C$9,2,TRUE))</f>
        <v>B1~30</v>
      </c>
    </row>
    <row r="421" spans="1:12">
      <c r="A421">
        <v>1053</v>
      </c>
      <c r="B421" t="s">
        <v>21</v>
      </c>
      <c r="C421" s="3">
        <v>38554</v>
      </c>
      <c r="D421" s="3">
        <v>38684</v>
      </c>
      <c r="E421" t="s">
        <v>18</v>
      </c>
      <c r="F421">
        <v>1</v>
      </c>
      <c r="G421">
        <v>159600</v>
      </c>
      <c r="H421">
        <v>159600</v>
      </c>
      <c r="I421" s="4">
        <v>38686</v>
      </c>
      <c r="J421" s="5">
        <f t="shared" si="12"/>
        <v>2</v>
      </c>
      <c r="K421" s="6" t="str">
        <f t="shared" si="13"/>
        <v>B1~30</v>
      </c>
      <c r="L421" t="str">
        <f>IF(J421&lt;0,"A~0",VLOOKUP(J421,[1]作法V!$B$1:$C$9,2,TRUE))</f>
        <v>B1~30</v>
      </c>
    </row>
    <row r="422" spans="1:12">
      <c r="A422">
        <v>1053</v>
      </c>
      <c r="B422" t="s">
        <v>21</v>
      </c>
      <c r="C422" s="3">
        <v>38554</v>
      </c>
      <c r="D422" s="3">
        <v>38684</v>
      </c>
      <c r="E422" t="s">
        <v>18</v>
      </c>
      <c r="F422">
        <v>1</v>
      </c>
      <c r="G422">
        <v>390197</v>
      </c>
      <c r="H422">
        <v>390197</v>
      </c>
      <c r="I422" s="4">
        <v>38686</v>
      </c>
      <c r="J422" s="5">
        <f t="shared" si="12"/>
        <v>2</v>
      </c>
      <c r="K422" s="6" t="str">
        <f t="shared" si="13"/>
        <v>B1~30</v>
      </c>
      <c r="L422" t="str">
        <f>IF(J422&lt;0,"A~0",VLOOKUP(J422,[1]作法V!$B$1:$C$9,2,TRUE))</f>
        <v>B1~30</v>
      </c>
    </row>
    <row r="423" spans="1:12">
      <c r="A423">
        <v>1053</v>
      </c>
      <c r="B423" t="s">
        <v>21</v>
      </c>
      <c r="C423" s="3">
        <v>38554</v>
      </c>
      <c r="D423" s="3">
        <v>38684</v>
      </c>
      <c r="E423" t="s">
        <v>18</v>
      </c>
      <c r="F423">
        <v>1</v>
      </c>
      <c r="G423">
        <v>151843</v>
      </c>
      <c r="H423">
        <v>151843</v>
      </c>
      <c r="I423" s="4">
        <v>38686</v>
      </c>
      <c r="J423" s="5">
        <f t="shared" si="12"/>
        <v>2</v>
      </c>
      <c r="K423" s="6" t="str">
        <f t="shared" si="13"/>
        <v>B1~30</v>
      </c>
      <c r="L423" t="str">
        <f>IF(J423&lt;0,"A~0",VLOOKUP(J423,[1]作法V!$B$1:$C$9,2,TRUE))</f>
        <v>B1~30</v>
      </c>
    </row>
    <row r="424" spans="1:12">
      <c r="A424">
        <v>1053</v>
      </c>
      <c r="B424" t="s">
        <v>21</v>
      </c>
      <c r="C424" s="3">
        <v>38554</v>
      </c>
      <c r="D424" s="3">
        <v>38684</v>
      </c>
      <c r="E424" t="s">
        <v>18</v>
      </c>
      <c r="F424">
        <v>1</v>
      </c>
      <c r="G424">
        <v>1174</v>
      </c>
      <c r="H424">
        <v>1174</v>
      </c>
      <c r="I424" s="4">
        <v>38686</v>
      </c>
      <c r="J424" s="5">
        <f t="shared" si="12"/>
        <v>2</v>
      </c>
      <c r="K424" s="6" t="str">
        <f t="shared" si="13"/>
        <v>B1~30</v>
      </c>
      <c r="L424" t="str">
        <f>IF(J424&lt;0,"A~0",VLOOKUP(J424,[1]作法V!$B$1:$C$9,2,TRUE))</f>
        <v>B1~30</v>
      </c>
    </row>
    <row r="425" spans="1:12">
      <c r="A425">
        <v>1053</v>
      </c>
      <c r="B425" t="s">
        <v>21</v>
      </c>
      <c r="C425" s="3">
        <v>38554</v>
      </c>
      <c r="D425" s="3">
        <v>38684</v>
      </c>
      <c r="E425" t="s">
        <v>18</v>
      </c>
      <c r="F425">
        <v>1</v>
      </c>
      <c r="G425">
        <v>3020</v>
      </c>
      <c r="H425">
        <v>3020</v>
      </c>
      <c r="I425" s="4">
        <v>38686</v>
      </c>
      <c r="J425" s="5">
        <f t="shared" si="12"/>
        <v>2</v>
      </c>
      <c r="K425" s="6" t="str">
        <f t="shared" si="13"/>
        <v>B1~30</v>
      </c>
      <c r="L425" t="str">
        <f>IF(J425&lt;0,"A~0",VLOOKUP(J425,[1]作法V!$B$1:$C$9,2,TRUE))</f>
        <v>B1~30</v>
      </c>
    </row>
    <row r="426" spans="1:12">
      <c r="A426">
        <v>1053</v>
      </c>
      <c r="B426" t="s">
        <v>21</v>
      </c>
      <c r="C426" s="3">
        <v>38554</v>
      </c>
      <c r="D426" s="3">
        <v>38684</v>
      </c>
      <c r="E426" t="s">
        <v>18</v>
      </c>
      <c r="F426">
        <v>1</v>
      </c>
      <c r="G426">
        <v>118919</v>
      </c>
      <c r="H426">
        <v>118919</v>
      </c>
      <c r="I426" s="4">
        <v>38686</v>
      </c>
      <c r="J426" s="5">
        <f t="shared" si="12"/>
        <v>2</v>
      </c>
      <c r="K426" s="6" t="str">
        <f t="shared" si="13"/>
        <v>B1~30</v>
      </c>
      <c r="L426" t="str">
        <f>IF(J426&lt;0,"A~0",VLOOKUP(J426,[1]作法V!$B$1:$C$9,2,TRUE))</f>
        <v>B1~30</v>
      </c>
    </row>
    <row r="427" spans="1:12">
      <c r="A427">
        <v>1053</v>
      </c>
      <c r="B427" t="s">
        <v>21</v>
      </c>
      <c r="C427" s="3">
        <v>38554</v>
      </c>
      <c r="D427" s="3">
        <v>38684</v>
      </c>
      <c r="E427" t="s">
        <v>18</v>
      </c>
      <c r="F427">
        <v>1</v>
      </c>
      <c r="G427">
        <v>68292</v>
      </c>
      <c r="H427">
        <v>68292</v>
      </c>
      <c r="I427" s="4">
        <v>38686</v>
      </c>
      <c r="J427" s="5">
        <f t="shared" si="12"/>
        <v>2</v>
      </c>
      <c r="K427" s="6" t="str">
        <f t="shared" si="13"/>
        <v>B1~30</v>
      </c>
      <c r="L427" t="str">
        <f>IF(J427&lt;0,"A~0",VLOOKUP(J427,[1]作法V!$B$1:$C$9,2,TRUE))</f>
        <v>B1~30</v>
      </c>
    </row>
    <row r="428" spans="1:12">
      <c r="A428">
        <v>1053</v>
      </c>
      <c r="B428" t="s">
        <v>21</v>
      </c>
      <c r="C428" s="3">
        <v>38558</v>
      </c>
      <c r="D428" s="3">
        <v>38714</v>
      </c>
      <c r="E428" t="s">
        <v>18</v>
      </c>
      <c r="F428">
        <v>1</v>
      </c>
      <c r="G428">
        <v>160406</v>
      </c>
      <c r="H428">
        <v>160406</v>
      </c>
      <c r="I428" s="4">
        <v>38686</v>
      </c>
      <c r="J428" s="5">
        <f t="shared" si="12"/>
        <v>-28</v>
      </c>
      <c r="K428" s="6" t="str">
        <f t="shared" si="13"/>
        <v>A~0</v>
      </c>
      <c r="L428" t="str">
        <f>IF(J428&lt;0,"A~0",VLOOKUP(J428,[1]作法V!$B$1:$C$9,2,TRUE))</f>
        <v>A~0</v>
      </c>
    </row>
    <row r="429" spans="1:12">
      <c r="A429">
        <v>1053</v>
      </c>
      <c r="B429" t="s">
        <v>21</v>
      </c>
      <c r="C429" s="3">
        <v>38558</v>
      </c>
      <c r="D429" s="3">
        <v>38714</v>
      </c>
      <c r="E429" t="s">
        <v>18</v>
      </c>
      <c r="F429">
        <v>1</v>
      </c>
      <c r="G429">
        <v>34965</v>
      </c>
      <c r="H429">
        <v>34965</v>
      </c>
      <c r="I429" s="4">
        <v>38686</v>
      </c>
      <c r="J429" s="5">
        <f t="shared" si="12"/>
        <v>-28</v>
      </c>
      <c r="K429" s="6" t="str">
        <f t="shared" si="13"/>
        <v>A~0</v>
      </c>
      <c r="L429" t="str">
        <f>IF(J429&lt;0,"A~0",VLOOKUP(J429,[1]作法V!$B$1:$C$9,2,TRUE))</f>
        <v>A~0</v>
      </c>
    </row>
    <row r="430" spans="1:12">
      <c r="A430">
        <v>1053</v>
      </c>
      <c r="B430" t="s">
        <v>21</v>
      </c>
      <c r="C430" s="3">
        <v>38558</v>
      </c>
      <c r="D430" s="3">
        <v>38714</v>
      </c>
      <c r="E430" t="s">
        <v>18</v>
      </c>
      <c r="F430">
        <v>1</v>
      </c>
      <c r="G430">
        <v>171781</v>
      </c>
      <c r="H430">
        <v>171781</v>
      </c>
      <c r="I430" s="4">
        <v>38686</v>
      </c>
      <c r="J430" s="5">
        <f t="shared" si="12"/>
        <v>-28</v>
      </c>
      <c r="K430" s="6" t="str">
        <f t="shared" si="13"/>
        <v>A~0</v>
      </c>
      <c r="L430" t="str">
        <f>IF(J430&lt;0,"A~0",VLOOKUP(J430,[1]作法V!$B$1:$C$9,2,TRUE))</f>
        <v>A~0</v>
      </c>
    </row>
    <row r="431" spans="1:12">
      <c r="A431">
        <v>1053</v>
      </c>
      <c r="B431" t="s">
        <v>21</v>
      </c>
      <c r="C431" s="3">
        <v>38559</v>
      </c>
      <c r="D431" s="3">
        <v>38714</v>
      </c>
      <c r="E431" t="s">
        <v>17</v>
      </c>
      <c r="F431">
        <v>31.89</v>
      </c>
      <c r="G431">
        <v>315.10000000000002</v>
      </c>
      <c r="H431">
        <v>10049</v>
      </c>
      <c r="I431" s="4">
        <v>38686</v>
      </c>
      <c r="J431" s="5">
        <f t="shared" si="12"/>
        <v>-28</v>
      </c>
      <c r="K431" s="6" t="str">
        <f t="shared" si="13"/>
        <v>A~0</v>
      </c>
      <c r="L431" t="str">
        <f>IF(J431&lt;0,"A~0",VLOOKUP(J431,[1]作法V!$B$1:$C$9,2,TRUE))</f>
        <v>A~0</v>
      </c>
    </row>
    <row r="432" spans="1:12">
      <c r="A432">
        <v>1053</v>
      </c>
      <c r="B432" t="s">
        <v>21</v>
      </c>
      <c r="C432" s="3">
        <v>38559</v>
      </c>
      <c r="D432" s="3">
        <v>38714</v>
      </c>
      <c r="E432" t="s">
        <v>17</v>
      </c>
      <c r="F432">
        <v>31.89</v>
      </c>
      <c r="G432">
        <v>149.68</v>
      </c>
      <c r="H432">
        <v>4773</v>
      </c>
      <c r="I432" s="4">
        <v>38686</v>
      </c>
      <c r="J432" s="5">
        <f t="shared" si="12"/>
        <v>-28</v>
      </c>
      <c r="K432" s="6" t="str">
        <f t="shared" si="13"/>
        <v>A~0</v>
      </c>
      <c r="L432" t="str">
        <f>IF(J432&lt;0,"A~0",VLOOKUP(J432,[1]作法V!$B$1:$C$9,2,TRUE))</f>
        <v>A~0</v>
      </c>
    </row>
    <row r="433" spans="1:12">
      <c r="A433">
        <v>1053</v>
      </c>
      <c r="B433" t="s">
        <v>21</v>
      </c>
      <c r="C433" s="3">
        <v>38559</v>
      </c>
      <c r="D433" s="3">
        <v>38714</v>
      </c>
      <c r="E433" t="s">
        <v>17</v>
      </c>
      <c r="F433">
        <v>31.89</v>
      </c>
      <c r="G433">
        <v>69.010000000000005</v>
      </c>
      <c r="H433">
        <v>2201</v>
      </c>
      <c r="I433" s="4">
        <v>38686</v>
      </c>
      <c r="J433" s="5">
        <f t="shared" si="12"/>
        <v>-28</v>
      </c>
      <c r="K433" s="6" t="str">
        <f t="shared" si="13"/>
        <v>A~0</v>
      </c>
      <c r="L433" t="str">
        <f>IF(J433&lt;0,"A~0",VLOOKUP(J433,[1]作法V!$B$1:$C$9,2,TRUE))</f>
        <v>A~0</v>
      </c>
    </row>
    <row r="434" spans="1:12">
      <c r="A434">
        <v>1053</v>
      </c>
      <c r="B434" t="s">
        <v>21</v>
      </c>
      <c r="C434" s="3">
        <v>38559</v>
      </c>
      <c r="D434" s="3">
        <v>38714</v>
      </c>
      <c r="E434" t="s">
        <v>17</v>
      </c>
      <c r="F434">
        <v>31.89</v>
      </c>
      <c r="G434">
        <v>6103.72</v>
      </c>
      <c r="H434">
        <v>194648</v>
      </c>
      <c r="I434" s="4">
        <v>38686</v>
      </c>
      <c r="J434" s="5">
        <f t="shared" si="12"/>
        <v>-28</v>
      </c>
      <c r="K434" s="6" t="str">
        <f t="shared" si="13"/>
        <v>A~0</v>
      </c>
      <c r="L434" t="str">
        <f>IF(J434&lt;0,"A~0",VLOOKUP(J434,[1]作法V!$B$1:$C$9,2,TRUE))</f>
        <v>A~0</v>
      </c>
    </row>
    <row r="435" spans="1:12">
      <c r="A435">
        <v>1053</v>
      </c>
      <c r="B435" t="s">
        <v>21</v>
      </c>
      <c r="C435" s="3">
        <v>38559</v>
      </c>
      <c r="D435" s="3">
        <v>38714</v>
      </c>
      <c r="E435" t="s">
        <v>17</v>
      </c>
      <c r="F435">
        <v>31.89</v>
      </c>
      <c r="G435">
        <v>1353.66</v>
      </c>
      <c r="H435">
        <v>43168</v>
      </c>
      <c r="I435" s="4">
        <v>38686</v>
      </c>
      <c r="J435" s="5">
        <f t="shared" si="12"/>
        <v>-28</v>
      </c>
      <c r="K435" s="6" t="str">
        <f t="shared" si="13"/>
        <v>A~0</v>
      </c>
      <c r="L435" t="str">
        <f>IF(J435&lt;0,"A~0",VLOOKUP(J435,[1]作法V!$B$1:$C$9,2,TRUE))</f>
        <v>A~0</v>
      </c>
    </row>
    <row r="436" spans="1:12">
      <c r="A436">
        <v>1053</v>
      </c>
      <c r="B436" t="s">
        <v>21</v>
      </c>
      <c r="C436" s="3">
        <v>38559</v>
      </c>
      <c r="D436" s="3">
        <v>38714</v>
      </c>
      <c r="E436" t="s">
        <v>17</v>
      </c>
      <c r="F436">
        <v>31.89</v>
      </c>
      <c r="G436">
        <v>376.96</v>
      </c>
      <c r="H436">
        <v>12021</v>
      </c>
      <c r="I436" s="4">
        <v>38686</v>
      </c>
      <c r="J436" s="5">
        <f t="shared" si="12"/>
        <v>-28</v>
      </c>
      <c r="K436" s="6" t="str">
        <f t="shared" si="13"/>
        <v>A~0</v>
      </c>
      <c r="L436" t="str">
        <f>IF(J436&lt;0,"A~0",VLOOKUP(J436,[1]作法V!$B$1:$C$9,2,TRUE))</f>
        <v>A~0</v>
      </c>
    </row>
    <row r="437" spans="1:12">
      <c r="A437">
        <v>1053</v>
      </c>
      <c r="B437" t="s">
        <v>21</v>
      </c>
      <c r="C437" s="3">
        <v>38559</v>
      </c>
      <c r="D437" s="3">
        <v>38714</v>
      </c>
      <c r="E437" t="s">
        <v>17</v>
      </c>
      <c r="F437">
        <v>31.89</v>
      </c>
      <c r="G437">
        <v>7137.55</v>
      </c>
      <c r="H437">
        <v>227616</v>
      </c>
      <c r="I437" s="4">
        <v>38686</v>
      </c>
      <c r="J437" s="5">
        <f t="shared" si="12"/>
        <v>-28</v>
      </c>
      <c r="K437" s="6" t="str">
        <f t="shared" si="13"/>
        <v>A~0</v>
      </c>
      <c r="L437" t="str">
        <f>IF(J437&lt;0,"A~0",VLOOKUP(J437,[1]作法V!$B$1:$C$9,2,TRUE))</f>
        <v>A~0</v>
      </c>
    </row>
    <row r="438" spans="1:12">
      <c r="A438">
        <v>1053</v>
      </c>
      <c r="B438" t="s">
        <v>21</v>
      </c>
      <c r="C438" s="3">
        <v>38560</v>
      </c>
      <c r="D438" s="3">
        <v>38714</v>
      </c>
      <c r="E438" t="s">
        <v>18</v>
      </c>
      <c r="F438">
        <v>1</v>
      </c>
      <c r="G438">
        <v>14500</v>
      </c>
      <c r="H438">
        <v>14500</v>
      </c>
      <c r="I438" s="4">
        <v>38686</v>
      </c>
      <c r="J438" s="5">
        <f t="shared" si="12"/>
        <v>-28</v>
      </c>
      <c r="K438" s="6" t="str">
        <f t="shared" si="13"/>
        <v>A~0</v>
      </c>
      <c r="L438" t="str">
        <f>IF(J438&lt;0,"A~0",VLOOKUP(J438,[1]作法V!$B$1:$C$9,2,TRUE))</f>
        <v>A~0</v>
      </c>
    </row>
    <row r="439" spans="1:12">
      <c r="A439">
        <v>1053</v>
      </c>
      <c r="B439" t="s">
        <v>21</v>
      </c>
      <c r="C439" s="3">
        <v>38560</v>
      </c>
      <c r="D439" s="3">
        <v>38714</v>
      </c>
      <c r="E439" t="s">
        <v>18</v>
      </c>
      <c r="F439">
        <v>1</v>
      </c>
      <c r="G439">
        <v>311170</v>
      </c>
      <c r="H439">
        <v>311170</v>
      </c>
      <c r="I439" s="4">
        <v>38686</v>
      </c>
      <c r="J439" s="5">
        <f t="shared" si="12"/>
        <v>-28</v>
      </c>
      <c r="K439" s="6" t="str">
        <f t="shared" si="13"/>
        <v>A~0</v>
      </c>
      <c r="L439" t="str">
        <f>IF(J439&lt;0,"A~0",VLOOKUP(J439,[1]作法V!$B$1:$C$9,2,TRUE))</f>
        <v>A~0</v>
      </c>
    </row>
    <row r="440" spans="1:12">
      <c r="A440">
        <v>1053</v>
      </c>
      <c r="B440" t="s">
        <v>21</v>
      </c>
      <c r="C440" s="3">
        <v>38560</v>
      </c>
      <c r="D440" s="3">
        <v>38714</v>
      </c>
      <c r="E440" t="s">
        <v>18</v>
      </c>
      <c r="F440">
        <v>1</v>
      </c>
      <c r="G440">
        <v>246960</v>
      </c>
      <c r="H440">
        <v>246960</v>
      </c>
      <c r="I440" s="4">
        <v>38686</v>
      </c>
      <c r="J440" s="5">
        <f t="shared" si="12"/>
        <v>-28</v>
      </c>
      <c r="K440" s="6" t="str">
        <f t="shared" si="13"/>
        <v>A~0</v>
      </c>
      <c r="L440" t="str">
        <f>IF(J440&lt;0,"A~0",VLOOKUP(J440,[1]作法V!$B$1:$C$9,2,TRUE))</f>
        <v>A~0</v>
      </c>
    </row>
    <row r="441" spans="1:12">
      <c r="A441">
        <v>1053</v>
      </c>
      <c r="B441" t="s">
        <v>21</v>
      </c>
      <c r="C441" s="3">
        <v>38560</v>
      </c>
      <c r="D441" s="3">
        <v>38714</v>
      </c>
      <c r="E441" t="s">
        <v>18</v>
      </c>
      <c r="F441">
        <v>1</v>
      </c>
      <c r="G441">
        <v>1933</v>
      </c>
      <c r="H441">
        <v>1933</v>
      </c>
      <c r="I441" s="4">
        <v>38686</v>
      </c>
      <c r="J441" s="5">
        <f t="shared" si="12"/>
        <v>-28</v>
      </c>
      <c r="K441" s="6" t="str">
        <f t="shared" si="13"/>
        <v>A~0</v>
      </c>
      <c r="L441" t="str">
        <f>IF(J441&lt;0,"A~0",VLOOKUP(J441,[1]作法V!$B$1:$C$9,2,TRUE))</f>
        <v>A~0</v>
      </c>
    </row>
    <row r="442" spans="1:12">
      <c r="A442">
        <v>1053</v>
      </c>
      <c r="B442" t="s">
        <v>21</v>
      </c>
      <c r="C442" s="3">
        <v>38561</v>
      </c>
      <c r="D442" s="3">
        <v>38714</v>
      </c>
      <c r="E442" t="s">
        <v>18</v>
      </c>
      <c r="F442">
        <v>1</v>
      </c>
      <c r="G442">
        <v>1556024</v>
      </c>
      <c r="H442">
        <v>1556024</v>
      </c>
      <c r="I442" s="4">
        <v>38686</v>
      </c>
      <c r="J442" s="5">
        <f t="shared" si="12"/>
        <v>-28</v>
      </c>
      <c r="K442" s="6" t="str">
        <f t="shared" si="13"/>
        <v>A~0</v>
      </c>
      <c r="L442" t="str">
        <f>IF(J442&lt;0,"A~0",VLOOKUP(J442,[1]作法V!$B$1:$C$9,2,TRUE))</f>
        <v>A~0</v>
      </c>
    </row>
    <row r="443" spans="1:12">
      <c r="A443">
        <v>1053</v>
      </c>
      <c r="B443" t="s">
        <v>21</v>
      </c>
      <c r="C443" s="3">
        <v>38561</v>
      </c>
      <c r="D443" s="3">
        <v>38714</v>
      </c>
      <c r="E443" t="s">
        <v>18</v>
      </c>
      <c r="F443">
        <v>1</v>
      </c>
      <c r="G443">
        <v>223597</v>
      </c>
      <c r="H443">
        <v>223597</v>
      </c>
      <c r="I443" s="4">
        <v>38686</v>
      </c>
      <c r="J443" s="5">
        <f t="shared" si="12"/>
        <v>-28</v>
      </c>
      <c r="K443" s="6" t="str">
        <f t="shared" si="13"/>
        <v>A~0</v>
      </c>
      <c r="L443" t="str">
        <f>IF(J443&lt;0,"A~0",VLOOKUP(J443,[1]作法V!$B$1:$C$9,2,TRUE))</f>
        <v>A~0</v>
      </c>
    </row>
    <row r="444" spans="1:12">
      <c r="A444">
        <v>1053</v>
      </c>
      <c r="B444" t="s">
        <v>21</v>
      </c>
      <c r="C444" s="3">
        <v>38562</v>
      </c>
      <c r="D444" s="3">
        <v>38714</v>
      </c>
      <c r="E444" t="s">
        <v>18</v>
      </c>
      <c r="F444">
        <v>1</v>
      </c>
      <c r="G444">
        <v>2985</v>
      </c>
      <c r="H444">
        <v>2985</v>
      </c>
      <c r="I444" s="4">
        <v>38686</v>
      </c>
      <c r="J444" s="5">
        <f t="shared" si="12"/>
        <v>-28</v>
      </c>
      <c r="K444" s="6" t="str">
        <f t="shared" si="13"/>
        <v>A~0</v>
      </c>
      <c r="L444" t="str">
        <f>IF(J444&lt;0,"A~0",VLOOKUP(J444,[1]作法V!$B$1:$C$9,2,TRUE))</f>
        <v>A~0</v>
      </c>
    </row>
    <row r="445" spans="1:12">
      <c r="A445">
        <v>1053</v>
      </c>
      <c r="B445" t="s">
        <v>21</v>
      </c>
      <c r="C445" s="3">
        <v>38562</v>
      </c>
      <c r="D445" s="3">
        <v>38714</v>
      </c>
      <c r="E445" t="s">
        <v>18</v>
      </c>
      <c r="F445">
        <v>1</v>
      </c>
      <c r="G445">
        <v>24399</v>
      </c>
      <c r="H445">
        <v>24399</v>
      </c>
      <c r="I445" s="4">
        <v>38686</v>
      </c>
      <c r="J445" s="5">
        <f t="shared" si="12"/>
        <v>-28</v>
      </c>
      <c r="K445" s="6" t="str">
        <f t="shared" si="13"/>
        <v>A~0</v>
      </c>
      <c r="L445" t="str">
        <f>IF(J445&lt;0,"A~0",VLOOKUP(J445,[1]作法V!$B$1:$C$9,2,TRUE))</f>
        <v>A~0</v>
      </c>
    </row>
    <row r="446" spans="1:12">
      <c r="A446">
        <v>1053</v>
      </c>
      <c r="B446" t="s">
        <v>21</v>
      </c>
      <c r="C446" s="3">
        <v>38562</v>
      </c>
      <c r="D446" s="3">
        <v>38714</v>
      </c>
      <c r="E446" t="s">
        <v>18</v>
      </c>
      <c r="F446">
        <v>1</v>
      </c>
      <c r="G446">
        <v>108601</v>
      </c>
      <c r="H446">
        <v>108601</v>
      </c>
      <c r="I446" s="4">
        <v>38686</v>
      </c>
      <c r="J446" s="5">
        <f t="shared" si="12"/>
        <v>-28</v>
      </c>
      <c r="K446" s="6" t="str">
        <f t="shared" si="13"/>
        <v>A~0</v>
      </c>
      <c r="L446" t="str">
        <f>IF(J446&lt;0,"A~0",VLOOKUP(J446,[1]作法V!$B$1:$C$9,2,TRUE))</f>
        <v>A~0</v>
      </c>
    </row>
    <row r="447" spans="1:12">
      <c r="A447">
        <v>1053</v>
      </c>
      <c r="B447" t="s">
        <v>21</v>
      </c>
      <c r="C447" s="3">
        <v>38562</v>
      </c>
      <c r="D447" s="3">
        <v>38714</v>
      </c>
      <c r="E447" t="s">
        <v>18</v>
      </c>
      <c r="F447">
        <v>1</v>
      </c>
      <c r="G447">
        <v>115766</v>
      </c>
      <c r="H447">
        <v>115766</v>
      </c>
      <c r="I447" s="4">
        <v>38686</v>
      </c>
      <c r="J447" s="5">
        <f t="shared" si="12"/>
        <v>-28</v>
      </c>
      <c r="K447" s="6" t="str">
        <f t="shared" si="13"/>
        <v>A~0</v>
      </c>
      <c r="L447" t="str">
        <f>IF(J447&lt;0,"A~0",VLOOKUP(J447,[1]作法V!$B$1:$C$9,2,TRUE))</f>
        <v>A~0</v>
      </c>
    </row>
    <row r="448" spans="1:12">
      <c r="A448">
        <v>1053</v>
      </c>
      <c r="B448" t="s">
        <v>21</v>
      </c>
      <c r="C448" s="3">
        <v>38562</v>
      </c>
      <c r="D448" s="3">
        <v>38714</v>
      </c>
      <c r="E448" t="s">
        <v>18</v>
      </c>
      <c r="F448">
        <v>1</v>
      </c>
      <c r="G448">
        <v>94235</v>
      </c>
      <c r="H448">
        <v>94235</v>
      </c>
      <c r="I448" s="4">
        <v>38686</v>
      </c>
      <c r="J448" s="5">
        <f t="shared" si="12"/>
        <v>-28</v>
      </c>
      <c r="K448" s="6" t="str">
        <f t="shared" si="13"/>
        <v>A~0</v>
      </c>
      <c r="L448" t="str">
        <f>IF(J448&lt;0,"A~0",VLOOKUP(J448,[1]作法V!$B$1:$C$9,2,TRUE))</f>
        <v>A~0</v>
      </c>
    </row>
    <row r="449" spans="1:12">
      <c r="A449">
        <v>1053</v>
      </c>
      <c r="B449" t="s">
        <v>21</v>
      </c>
      <c r="C449" s="3">
        <v>38562</v>
      </c>
      <c r="D449" s="3">
        <v>38714</v>
      </c>
      <c r="E449" t="s">
        <v>18</v>
      </c>
      <c r="F449">
        <v>1</v>
      </c>
      <c r="G449">
        <v>597643</v>
      </c>
      <c r="H449">
        <v>597643</v>
      </c>
      <c r="I449" s="4">
        <v>38686</v>
      </c>
      <c r="J449" s="5">
        <f t="shared" si="12"/>
        <v>-28</v>
      </c>
      <c r="K449" s="6" t="str">
        <f t="shared" si="13"/>
        <v>A~0</v>
      </c>
      <c r="L449" t="str">
        <f>IF(J449&lt;0,"A~0",VLOOKUP(J449,[1]作法V!$B$1:$C$9,2,TRUE))</f>
        <v>A~0</v>
      </c>
    </row>
    <row r="450" spans="1:12">
      <c r="A450">
        <v>1053</v>
      </c>
      <c r="B450" t="s">
        <v>21</v>
      </c>
      <c r="C450" s="3">
        <v>38562</v>
      </c>
      <c r="D450" s="3">
        <v>38714</v>
      </c>
      <c r="E450" t="s">
        <v>17</v>
      </c>
      <c r="F450">
        <v>31.89</v>
      </c>
      <c r="G450">
        <v>1159.33</v>
      </c>
      <c r="H450">
        <v>36971</v>
      </c>
      <c r="I450" s="4">
        <v>38686</v>
      </c>
      <c r="J450" s="5">
        <f t="shared" ref="J450:J513" si="14">I450-D450</f>
        <v>-28</v>
      </c>
      <c r="K450" s="6" t="str">
        <f t="shared" ref="K450:K513" si="15">IF(J450&lt;1,"A~0",IF(J450&lt;31,"B1~30",IF(J450&lt;61,"C31~60",IF(J450&lt;91,"D61~90",IF(J450&lt;121,"E91~120",IF(J450&lt;181,"F121~180",IF(J450&lt;361,"G181~360","H361~")))))))</f>
        <v>A~0</v>
      </c>
      <c r="L450" t="str">
        <f>IF(J450&lt;0,"A~0",VLOOKUP(J450,[1]作法V!$B$1:$C$9,2,TRUE))</f>
        <v>A~0</v>
      </c>
    </row>
    <row r="451" spans="1:12">
      <c r="A451">
        <v>1053</v>
      </c>
      <c r="B451" t="s">
        <v>21</v>
      </c>
      <c r="C451" s="3">
        <v>38562</v>
      </c>
      <c r="D451" s="3">
        <v>38714</v>
      </c>
      <c r="E451" t="s">
        <v>17</v>
      </c>
      <c r="F451">
        <v>31.89</v>
      </c>
      <c r="G451">
        <v>9344.0300000000007</v>
      </c>
      <c r="H451">
        <v>297981</v>
      </c>
      <c r="I451" s="4">
        <v>38686</v>
      </c>
      <c r="J451" s="5">
        <f t="shared" si="14"/>
        <v>-28</v>
      </c>
      <c r="K451" s="6" t="str">
        <f t="shared" si="15"/>
        <v>A~0</v>
      </c>
      <c r="L451" t="str">
        <f>IF(J451&lt;0,"A~0",VLOOKUP(J451,[1]作法V!$B$1:$C$9,2,TRUE))</f>
        <v>A~0</v>
      </c>
    </row>
    <row r="452" spans="1:12">
      <c r="A452">
        <v>1053</v>
      </c>
      <c r="B452" t="s">
        <v>21</v>
      </c>
      <c r="C452" s="3">
        <v>38562</v>
      </c>
      <c r="D452" s="3">
        <v>38714</v>
      </c>
      <c r="E452" t="s">
        <v>17</v>
      </c>
      <c r="F452">
        <v>31.89</v>
      </c>
      <c r="G452">
        <v>5638</v>
      </c>
      <c r="H452">
        <v>179796</v>
      </c>
      <c r="I452" s="4">
        <v>38686</v>
      </c>
      <c r="J452" s="5">
        <f t="shared" si="14"/>
        <v>-28</v>
      </c>
      <c r="K452" s="6" t="str">
        <f t="shared" si="15"/>
        <v>A~0</v>
      </c>
      <c r="L452" t="str">
        <f>IF(J452&lt;0,"A~0",VLOOKUP(J452,[1]作法V!$B$1:$C$9,2,TRUE))</f>
        <v>A~0</v>
      </c>
    </row>
    <row r="453" spans="1:12">
      <c r="A453">
        <v>1053</v>
      </c>
      <c r="B453" t="s">
        <v>21</v>
      </c>
      <c r="C453" s="3">
        <v>38566</v>
      </c>
      <c r="D453" s="3">
        <v>38714</v>
      </c>
      <c r="E453" t="s">
        <v>18</v>
      </c>
      <c r="F453">
        <v>1</v>
      </c>
      <c r="G453">
        <v>24399</v>
      </c>
      <c r="H453">
        <v>24399</v>
      </c>
      <c r="I453" s="4">
        <v>38686</v>
      </c>
      <c r="J453" s="5">
        <f t="shared" si="14"/>
        <v>-28</v>
      </c>
      <c r="K453" s="6" t="str">
        <f t="shared" si="15"/>
        <v>A~0</v>
      </c>
      <c r="L453" t="str">
        <f>IF(J453&lt;0,"A~0",VLOOKUP(J453,[1]作法V!$B$1:$C$9,2,TRUE))</f>
        <v>A~0</v>
      </c>
    </row>
    <row r="454" spans="1:12">
      <c r="A454">
        <v>1053</v>
      </c>
      <c r="B454" t="s">
        <v>21</v>
      </c>
      <c r="C454" s="3">
        <v>38566</v>
      </c>
      <c r="D454" s="3">
        <v>38714</v>
      </c>
      <c r="E454" t="s">
        <v>18</v>
      </c>
      <c r="F454">
        <v>1</v>
      </c>
      <c r="G454">
        <v>94022</v>
      </c>
      <c r="H454">
        <v>94022</v>
      </c>
      <c r="I454" s="4">
        <v>38686</v>
      </c>
      <c r="J454" s="5">
        <f t="shared" si="14"/>
        <v>-28</v>
      </c>
      <c r="K454" s="6" t="str">
        <f t="shared" si="15"/>
        <v>A~0</v>
      </c>
      <c r="L454" t="str">
        <f>IF(J454&lt;0,"A~0",VLOOKUP(J454,[1]作法V!$B$1:$C$9,2,TRUE))</f>
        <v>A~0</v>
      </c>
    </row>
    <row r="455" spans="1:12">
      <c r="A455">
        <v>1053</v>
      </c>
      <c r="B455" t="s">
        <v>21</v>
      </c>
      <c r="C455" s="3">
        <v>38566</v>
      </c>
      <c r="D455" s="3">
        <v>38714</v>
      </c>
      <c r="E455" t="s">
        <v>18</v>
      </c>
      <c r="F455">
        <v>1</v>
      </c>
      <c r="G455">
        <v>120064</v>
      </c>
      <c r="H455">
        <v>120064</v>
      </c>
      <c r="I455" s="4">
        <v>38686</v>
      </c>
      <c r="J455" s="5">
        <f t="shared" si="14"/>
        <v>-28</v>
      </c>
      <c r="K455" s="6" t="str">
        <f t="shared" si="15"/>
        <v>A~0</v>
      </c>
      <c r="L455" t="str">
        <f>IF(J455&lt;0,"A~0",VLOOKUP(J455,[1]作法V!$B$1:$C$9,2,TRUE))</f>
        <v>A~0</v>
      </c>
    </row>
    <row r="456" spans="1:12">
      <c r="A456">
        <v>1053</v>
      </c>
      <c r="B456" t="s">
        <v>21</v>
      </c>
      <c r="C456" s="3">
        <v>38566</v>
      </c>
      <c r="D456" s="3">
        <v>38714</v>
      </c>
      <c r="E456" t="s">
        <v>18</v>
      </c>
      <c r="F456">
        <v>1</v>
      </c>
      <c r="G456">
        <v>76880</v>
      </c>
      <c r="H456">
        <v>76880</v>
      </c>
      <c r="I456" s="4">
        <v>38686</v>
      </c>
      <c r="J456" s="5">
        <f t="shared" si="14"/>
        <v>-28</v>
      </c>
      <c r="K456" s="6" t="str">
        <f t="shared" si="15"/>
        <v>A~0</v>
      </c>
      <c r="L456" t="str">
        <f>IF(J456&lt;0,"A~0",VLOOKUP(J456,[1]作法V!$B$1:$C$9,2,TRUE))</f>
        <v>A~0</v>
      </c>
    </row>
    <row r="457" spans="1:12">
      <c r="A457">
        <v>1053</v>
      </c>
      <c r="B457" t="s">
        <v>21</v>
      </c>
      <c r="C457" s="3">
        <v>38566</v>
      </c>
      <c r="D457" s="3">
        <v>38714</v>
      </c>
      <c r="E457" t="s">
        <v>18</v>
      </c>
      <c r="F457">
        <v>1</v>
      </c>
      <c r="G457">
        <v>26653</v>
      </c>
      <c r="H457">
        <v>26653</v>
      </c>
      <c r="I457" s="4">
        <v>38686</v>
      </c>
      <c r="J457" s="5">
        <f t="shared" si="14"/>
        <v>-28</v>
      </c>
      <c r="K457" s="6" t="str">
        <f t="shared" si="15"/>
        <v>A~0</v>
      </c>
      <c r="L457" t="str">
        <f>IF(J457&lt;0,"A~0",VLOOKUP(J457,[1]作法V!$B$1:$C$9,2,TRUE))</f>
        <v>A~0</v>
      </c>
    </row>
    <row r="458" spans="1:12">
      <c r="A458">
        <v>1053</v>
      </c>
      <c r="B458" t="s">
        <v>21</v>
      </c>
      <c r="C458" s="3">
        <v>38567</v>
      </c>
      <c r="D458" s="3">
        <v>38714</v>
      </c>
      <c r="E458" t="s">
        <v>17</v>
      </c>
      <c r="F458">
        <v>31.684999999999999</v>
      </c>
      <c r="G458">
        <v>140.66999999999999</v>
      </c>
      <c r="H458">
        <v>4457</v>
      </c>
      <c r="I458" s="4">
        <v>38686</v>
      </c>
      <c r="J458" s="5">
        <f t="shared" si="14"/>
        <v>-28</v>
      </c>
      <c r="K458" s="6" t="str">
        <f t="shared" si="15"/>
        <v>A~0</v>
      </c>
      <c r="L458" t="str">
        <f>IF(J458&lt;0,"A~0",VLOOKUP(J458,[1]作法V!$B$1:$C$9,2,TRUE))</f>
        <v>A~0</v>
      </c>
    </row>
    <row r="459" spans="1:12">
      <c r="A459">
        <v>1053</v>
      </c>
      <c r="B459" t="s">
        <v>21</v>
      </c>
      <c r="C459" s="3">
        <v>38567</v>
      </c>
      <c r="D459" s="3">
        <v>38714</v>
      </c>
      <c r="E459" t="s">
        <v>17</v>
      </c>
      <c r="F459">
        <v>31.684999999999999</v>
      </c>
      <c r="G459">
        <v>199.18</v>
      </c>
      <c r="H459">
        <v>6311</v>
      </c>
      <c r="I459" s="4">
        <v>38686</v>
      </c>
      <c r="J459" s="5">
        <f t="shared" si="14"/>
        <v>-28</v>
      </c>
      <c r="K459" s="6" t="str">
        <f t="shared" si="15"/>
        <v>A~0</v>
      </c>
      <c r="L459" t="str">
        <f>IF(J459&lt;0,"A~0",VLOOKUP(J459,[1]作法V!$B$1:$C$9,2,TRUE))</f>
        <v>A~0</v>
      </c>
    </row>
    <row r="460" spans="1:12">
      <c r="A460">
        <v>1053</v>
      </c>
      <c r="B460" t="s">
        <v>21</v>
      </c>
      <c r="C460" s="3">
        <v>38567</v>
      </c>
      <c r="D460" s="3">
        <v>38714</v>
      </c>
      <c r="E460" t="s">
        <v>17</v>
      </c>
      <c r="F460">
        <v>31.684999999999999</v>
      </c>
      <c r="G460">
        <v>721.7</v>
      </c>
      <c r="H460">
        <v>22867</v>
      </c>
      <c r="I460" s="4">
        <v>38686</v>
      </c>
      <c r="J460" s="5">
        <f t="shared" si="14"/>
        <v>-28</v>
      </c>
      <c r="K460" s="6" t="str">
        <f t="shared" si="15"/>
        <v>A~0</v>
      </c>
      <c r="L460" t="str">
        <f>IF(J460&lt;0,"A~0",VLOOKUP(J460,[1]作法V!$B$1:$C$9,2,TRUE))</f>
        <v>A~0</v>
      </c>
    </row>
    <row r="461" spans="1:12">
      <c r="A461">
        <v>1053</v>
      </c>
      <c r="B461" t="s">
        <v>21</v>
      </c>
      <c r="C461" s="3">
        <v>38567</v>
      </c>
      <c r="D461" s="3">
        <v>38714</v>
      </c>
      <c r="E461" t="s">
        <v>17</v>
      </c>
      <c r="F461">
        <v>31.684999999999999</v>
      </c>
      <c r="G461">
        <v>5139.7700000000004</v>
      </c>
      <c r="H461">
        <v>162854</v>
      </c>
      <c r="I461" s="4">
        <v>38686</v>
      </c>
      <c r="J461" s="5">
        <f t="shared" si="14"/>
        <v>-28</v>
      </c>
      <c r="K461" s="6" t="str">
        <f t="shared" si="15"/>
        <v>A~0</v>
      </c>
      <c r="L461" t="str">
        <f>IF(J461&lt;0,"A~0",VLOOKUP(J461,[1]作法V!$B$1:$C$9,2,TRUE))</f>
        <v>A~0</v>
      </c>
    </row>
    <row r="462" spans="1:12">
      <c r="A462">
        <v>1053</v>
      </c>
      <c r="B462" t="s">
        <v>21</v>
      </c>
      <c r="C462" s="3">
        <v>38567</v>
      </c>
      <c r="D462" s="3">
        <v>38714</v>
      </c>
      <c r="E462" t="s">
        <v>17</v>
      </c>
      <c r="F462">
        <v>31.684999999999999</v>
      </c>
      <c r="G462">
        <v>36.96</v>
      </c>
      <c r="H462">
        <v>1171</v>
      </c>
      <c r="I462" s="4">
        <v>38686</v>
      </c>
      <c r="J462" s="5">
        <f t="shared" si="14"/>
        <v>-28</v>
      </c>
      <c r="K462" s="6" t="str">
        <f t="shared" si="15"/>
        <v>A~0</v>
      </c>
      <c r="L462" t="str">
        <f>IF(J462&lt;0,"A~0",VLOOKUP(J462,[1]作法V!$B$1:$C$9,2,TRUE))</f>
        <v>A~0</v>
      </c>
    </row>
    <row r="463" spans="1:12">
      <c r="A463">
        <v>1053</v>
      </c>
      <c r="B463" t="s">
        <v>21</v>
      </c>
      <c r="C463" s="3">
        <v>38567</v>
      </c>
      <c r="D463" s="3">
        <v>38714</v>
      </c>
      <c r="E463" t="s">
        <v>17</v>
      </c>
      <c r="F463">
        <v>31.684999999999999</v>
      </c>
      <c r="G463">
        <v>653.4</v>
      </c>
      <c r="H463">
        <v>20703</v>
      </c>
      <c r="I463" s="4">
        <v>38686</v>
      </c>
      <c r="J463" s="5">
        <f t="shared" si="14"/>
        <v>-28</v>
      </c>
      <c r="K463" s="6" t="str">
        <f t="shared" si="15"/>
        <v>A~0</v>
      </c>
      <c r="L463" t="str">
        <f>IF(J463&lt;0,"A~0",VLOOKUP(J463,[1]作法V!$B$1:$C$9,2,TRUE))</f>
        <v>A~0</v>
      </c>
    </row>
    <row r="464" spans="1:12">
      <c r="A464">
        <v>1053</v>
      </c>
      <c r="B464" t="s">
        <v>21</v>
      </c>
      <c r="C464" s="3">
        <v>38567</v>
      </c>
      <c r="D464" s="3">
        <v>38714</v>
      </c>
      <c r="E464" t="s">
        <v>17</v>
      </c>
      <c r="F464">
        <v>31.684999999999999</v>
      </c>
      <c r="G464">
        <v>1600.96</v>
      </c>
      <c r="H464">
        <v>50726</v>
      </c>
      <c r="I464" s="4">
        <v>38686</v>
      </c>
      <c r="J464" s="5">
        <f t="shared" si="14"/>
        <v>-28</v>
      </c>
      <c r="K464" s="6" t="str">
        <f t="shared" si="15"/>
        <v>A~0</v>
      </c>
      <c r="L464" t="str">
        <f>IF(J464&lt;0,"A~0",VLOOKUP(J464,[1]作法V!$B$1:$C$9,2,TRUE))</f>
        <v>A~0</v>
      </c>
    </row>
    <row r="465" spans="1:12">
      <c r="A465">
        <v>1053</v>
      </c>
      <c r="B465" t="s">
        <v>21</v>
      </c>
      <c r="C465" s="3">
        <v>38567</v>
      </c>
      <c r="D465" s="3">
        <v>38714</v>
      </c>
      <c r="E465" t="s">
        <v>17</v>
      </c>
      <c r="F465">
        <v>31.684999999999999</v>
      </c>
      <c r="G465">
        <v>332.43</v>
      </c>
      <c r="H465">
        <v>10533</v>
      </c>
      <c r="I465" s="4">
        <v>38686</v>
      </c>
      <c r="J465" s="5">
        <f t="shared" si="14"/>
        <v>-28</v>
      </c>
      <c r="K465" s="6" t="str">
        <f t="shared" si="15"/>
        <v>A~0</v>
      </c>
      <c r="L465" t="str">
        <f>IF(J465&lt;0,"A~0",VLOOKUP(J465,[1]作法V!$B$1:$C$9,2,TRUE))</f>
        <v>A~0</v>
      </c>
    </row>
    <row r="466" spans="1:12">
      <c r="A466">
        <v>1053</v>
      </c>
      <c r="B466" t="s">
        <v>21</v>
      </c>
      <c r="C466" s="3">
        <v>38567</v>
      </c>
      <c r="D466" s="3">
        <v>38714</v>
      </c>
      <c r="E466" t="s">
        <v>17</v>
      </c>
      <c r="F466">
        <v>31.684999999999999</v>
      </c>
      <c r="G466">
        <v>932.52</v>
      </c>
      <c r="H466">
        <v>29547</v>
      </c>
      <c r="I466" s="4">
        <v>38686</v>
      </c>
      <c r="J466" s="5">
        <f t="shared" si="14"/>
        <v>-28</v>
      </c>
      <c r="K466" s="6" t="str">
        <f t="shared" si="15"/>
        <v>A~0</v>
      </c>
      <c r="L466" t="str">
        <f>IF(J466&lt;0,"A~0",VLOOKUP(J466,[1]作法V!$B$1:$C$9,2,TRUE))</f>
        <v>A~0</v>
      </c>
    </row>
    <row r="467" spans="1:12">
      <c r="A467">
        <v>1053</v>
      </c>
      <c r="B467" t="s">
        <v>21</v>
      </c>
      <c r="C467" s="3">
        <v>38567</v>
      </c>
      <c r="D467" s="3">
        <v>38714</v>
      </c>
      <c r="E467" t="s">
        <v>17</v>
      </c>
      <c r="F467">
        <v>31.684999999999999</v>
      </c>
      <c r="G467">
        <v>1668</v>
      </c>
      <c r="H467">
        <v>52851</v>
      </c>
      <c r="I467" s="4">
        <v>38686</v>
      </c>
      <c r="J467" s="5">
        <f t="shared" si="14"/>
        <v>-28</v>
      </c>
      <c r="K467" s="6" t="str">
        <f t="shared" si="15"/>
        <v>A~0</v>
      </c>
      <c r="L467" t="str">
        <f>IF(J467&lt;0,"A~0",VLOOKUP(J467,[1]作法V!$B$1:$C$9,2,TRUE))</f>
        <v>A~0</v>
      </c>
    </row>
    <row r="468" spans="1:12">
      <c r="A468">
        <v>1053</v>
      </c>
      <c r="B468" t="s">
        <v>21</v>
      </c>
      <c r="C468" s="3">
        <v>38567</v>
      </c>
      <c r="D468" s="3">
        <v>38714</v>
      </c>
      <c r="E468" t="s">
        <v>17</v>
      </c>
      <c r="F468">
        <v>31.684999999999999</v>
      </c>
      <c r="G468">
        <v>304</v>
      </c>
      <c r="H468">
        <v>9632</v>
      </c>
      <c r="I468" s="4">
        <v>38686</v>
      </c>
      <c r="J468" s="5">
        <f t="shared" si="14"/>
        <v>-28</v>
      </c>
      <c r="K468" s="6" t="str">
        <f t="shared" si="15"/>
        <v>A~0</v>
      </c>
      <c r="L468" t="str">
        <f>IF(J468&lt;0,"A~0",VLOOKUP(J468,[1]作法V!$B$1:$C$9,2,TRUE))</f>
        <v>A~0</v>
      </c>
    </row>
    <row r="469" spans="1:12">
      <c r="A469">
        <v>1053</v>
      </c>
      <c r="B469" t="s">
        <v>21</v>
      </c>
      <c r="C469" s="3">
        <v>38567</v>
      </c>
      <c r="D469" s="3">
        <v>38714</v>
      </c>
      <c r="E469" t="s">
        <v>17</v>
      </c>
      <c r="F469">
        <v>31.684999999999999</v>
      </c>
      <c r="G469">
        <v>653.4</v>
      </c>
      <c r="H469">
        <v>20703</v>
      </c>
      <c r="I469" s="4">
        <v>38686</v>
      </c>
      <c r="J469" s="5">
        <f t="shared" si="14"/>
        <v>-28</v>
      </c>
      <c r="K469" s="6" t="str">
        <f t="shared" si="15"/>
        <v>A~0</v>
      </c>
      <c r="L469" t="str">
        <f>IF(J469&lt;0,"A~0",VLOOKUP(J469,[1]作法V!$B$1:$C$9,2,TRUE))</f>
        <v>A~0</v>
      </c>
    </row>
    <row r="470" spans="1:12">
      <c r="A470">
        <v>1053</v>
      </c>
      <c r="B470" t="s">
        <v>21</v>
      </c>
      <c r="C470" s="3">
        <v>38567</v>
      </c>
      <c r="D470" s="3">
        <v>38714</v>
      </c>
      <c r="E470" t="s">
        <v>17</v>
      </c>
      <c r="F470">
        <v>31.684999999999999</v>
      </c>
      <c r="G470">
        <v>52.68</v>
      </c>
      <c r="H470">
        <v>1669</v>
      </c>
      <c r="I470" s="4">
        <v>38686</v>
      </c>
      <c r="J470" s="5">
        <f t="shared" si="14"/>
        <v>-28</v>
      </c>
      <c r="K470" s="6" t="str">
        <f t="shared" si="15"/>
        <v>A~0</v>
      </c>
      <c r="L470" t="str">
        <f>IF(J470&lt;0,"A~0",VLOOKUP(J470,[1]作法V!$B$1:$C$9,2,TRUE))</f>
        <v>A~0</v>
      </c>
    </row>
    <row r="471" spans="1:12">
      <c r="A471">
        <v>1053</v>
      </c>
      <c r="B471" t="s">
        <v>21</v>
      </c>
      <c r="C471" s="3">
        <v>38567</v>
      </c>
      <c r="D471" s="3">
        <v>38714</v>
      </c>
      <c r="E471" t="s">
        <v>17</v>
      </c>
      <c r="F471">
        <v>31.684999999999999</v>
      </c>
      <c r="G471">
        <v>579.48</v>
      </c>
      <c r="H471">
        <v>18361</v>
      </c>
      <c r="I471" s="4">
        <v>38686</v>
      </c>
      <c r="J471" s="5">
        <f t="shared" si="14"/>
        <v>-28</v>
      </c>
      <c r="K471" s="6" t="str">
        <f t="shared" si="15"/>
        <v>A~0</v>
      </c>
      <c r="L471" t="str">
        <f>IF(J471&lt;0,"A~0",VLOOKUP(J471,[1]作法V!$B$1:$C$9,2,TRUE))</f>
        <v>A~0</v>
      </c>
    </row>
    <row r="472" spans="1:12">
      <c r="A472">
        <v>1053</v>
      </c>
      <c r="B472" t="s">
        <v>21</v>
      </c>
      <c r="C472" s="3">
        <v>38567</v>
      </c>
      <c r="D472" s="3">
        <v>38714</v>
      </c>
      <c r="E472" t="s">
        <v>17</v>
      </c>
      <c r="F472">
        <v>31.684999999999999</v>
      </c>
      <c r="G472">
        <v>5888.76</v>
      </c>
      <c r="H472">
        <v>186585</v>
      </c>
      <c r="I472" s="4">
        <v>38686</v>
      </c>
      <c r="J472" s="5">
        <f t="shared" si="14"/>
        <v>-28</v>
      </c>
      <c r="K472" s="6" t="str">
        <f t="shared" si="15"/>
        <v>A~0</v>
      </c>
      <c r="L472" t="str">
        <f>IF(J472&lt;0,"A~0",VLOOKUP(J472,[1]作法V!$B$1:$C$9,2,TRUE))</f>
        <v>A~0</v>
      </c>
    </row>
    <row r="473" spans="1:12">
      <c r="A473">
        <v>1053</v>
      </c>
      <c r="B473" t="s">
        <v>21</v>
      </c>
      <c r="C473" s="3">
        <v>38567</v>
      </c>
      <c r="D473" s="3">
        <v>38714</v>
      </c>
      <c r="E473" t="s">
        <v>17</v>
      </c>
      <c r="F473">
        <v>31.684999999999999</v>
      </c>
      <c r="G473">
        <v>17.48</v>
      </c>
      <c r="H473">
        <v>554</v>
      </c>
      <c r="I473" s="4">
        <v>38686</v>
      </c>
      <c r="J473" s="5">
        <f t="shared" si="14"/>
        <v>-28</v>
      </c>
      <c r="K473" s="6" t="str">
        <f t="shared" si="15"/>
        <v>A~0</v>
      </c>
      <c r="L473" t="str">
        <f>IF(J473&lt;0,"A~0",VLOOKUP(J473,[1]作法V!$B$1:$C$9,2,TRUE))</f>
        <v>A~0</v>
      </c>
    </row>
    <row r="474" spans="1:12">
      <c r="A474">
        <v>1053</v>
      </c>
      <c r="B474" t="s">
        <v>21</v>
      </c>
      <c r="C474" s="3">
        <v>38567</v>
      </c>
      <c r="D474" s="3">
        <v>38714</v>
      </c>
      <c r="E474" t="s">
        <v>17</v>
      </c>
      <c r="F474">
        <v>31.684999999999999</v>
      </c>
      <c r="G474">
        <v>711.18</v>
      </c>
      <c r="H474">
        <v>22534</v>
      </c>
      <c r="I474" s="4">
        <v>38686</v>
      </c>
      <c r="J474" s="5">
        <f t="shared" si="14"/>
        <v>-28</v>
      </c>
      <c r="K474" s="6" t="str">
        <f t="shared" si="15"/>
        <v>A~0</v>
      </c>
      <c r="L474" t="str">
        <f>IF(J474&lt;0,"A~0",VLOOKUP(J474,[1]作法V!$B$1:$C$9,2,TRUE))</f>
        <v>A~0</v>
      </c>
    </row>
    <row r="475" spans="1:12">
      <c r="A475">
        <v>1053</v>
      </c>
      <c r="B475" t="s">
        <v>21</v>
      </c>
      <c r="C475" s="3">
        <v>38567</v>
      </c>
      <c r="D475" s="3">
        <v>38714</v>
      </c>
      <c r="E475" t="s">
        <v>17</v>
      </c>
      <c r="F475">
        <v>31.684999999999999</v>
      </c>
      <c r="G475">
        <v>1026</v>
      </c>
      <c r="H475">
        <v>32509</v>
      </c>
      <c r="I475" s="4">
        <v>38686</v>
      </c>
      <c r="J475" s="5">
        <f t="shared" si="14"/>
        <v>-28</v>
      </c>
      <c r="K475" s="6" t="str">
        <f t="shared" si="15"/>
        <v>A~0</v>
      </c>
      <c r="L475" t="str">
        <f>IF(J475&lt;0,"A~0",VLOOKUP(J475,[1]作法V!$B$1:$C$9,2,TRUE))</f>
        <v>A~0</v>
      </c>
    </row>
    <row r="476" spans="1:12">
      <c r="A476">
        <v>1053</v>
      </c>
      <c r="B476" t="s">
        <v>21</v>
      </c>
      <c r="C476" s="3">
        <v>38568</v>
      </c>
      <c r="D476" s="3">
        <v>38714</v>
      </c>
      <c r="E476" t="s">
        <v>18</v>
      </c>
      <c r="F476">
        <v>1</v>
      </c>
      <c r="G476">
        <v>203987</v>
      </c>
      <c r="H476">
        <v>203987</v>
      </c>
      <c r="I476" s="4">
        <v>38686</v>
      </c>
      <c r="J476" s="5">
        <f t="shared" si="14"/>
        <v>-28</v>
      </c>
      <c r="K476" s="6" t="str">
        <f t="shared" si="15"/>
        <v>A~0</v>
      </c>
      <c r="L476" t="str">
        <f>IF(J476&lt;0,"A~0",VLOOKUP(J476,[1]作法V!$B$1:$C$9,2,TRUE))</f>
        <v>A~0</v>
      </c>
    </row>
    <row r="477" spans="1:12">
      <c r="A477">
        <v>1053</v>
      </c>
      <c r="B477" t="s">
        <v>21</v>
      </c>
      <c r="C477" s="3">
        <v>38568</v>
      </c>
      <c r="D477" s="3">
        <v>38714</v>
      </c>
      <c r="E477" t="s">
        <v>18</v>
      </c>
      <c r="F477">
        <v>1</v>
      </c>
      <c r="G477">
        <v>34192</v>
      </c>
      <c r="H477">
        <v>34192</v>
      </c>
      <c r="I477" s="4">
        <v>38686</v>
      </c>
      <c r="J477" s="5">
        <f t="shared" si="14"/>
        <v>-28</v>
      </c>
      <c r="K477" s="6" t="str">
        <f t="shared" si="15"/>
        <v>A~0</v>
      </c>
      <c r="L477" t="str">
        <f>IF(J477&lt;0,"A~0",VLOOKUP(J477,[1]作法V!$B$1:$C$9,2,TRUE))</f>
        <v>A~0</v>
      </c>
    </row>
    <row r="478" spans="1:12">
      <c r="A478">
        <v>1053</v>
      </c>
      <c r="B478" t="s">
        <v>21</v>
      </c>
      <c r="C478" s="3">
        <v>38568</v>
      </c>
      <c r="D478" s="3">
        <v>38714</v>
      </c>
      <c r="E478" t="s">
        <v>18</v>
      </c>
      <c r="F478">
        <v>1</v>
      </c>
      <c r="G478">
        <v>23018</v>
      </c>
      <c r="H478">
        <v>23018</v>
      </c>
      <c r="I478" s="4">
        <v>38686</v>
      </c>
      <c r="J478" s="5">
        <f t="shared" si="14"/>
        <v>-28</v>
      </c>
      <c r="K478" s="6" t="str">
        <f t="shared" si="15"/>
        <v>A~0</v>
      </c>
      <c r="L478" t="str">
        <f>IF(J478&lt;0,"A~0",VLOOKUP(J478,[1]作法V!$B$1:$C$9,2,TRUE))</f>
        <v>A~0</v>
      </c>
    </row>
    <row r="479" spans="1:12">
      <c r="A479">
        <v>1053</v>
      </c>
      <c r="B479" t="s">
        <v>21</v>
      </c>
      <c r="C479" s="3">
        <v>38568</v>
      </c>
      <c r="D479" s="3">
        <v>38714</v>
      </c>
      <c r="E479" t="s">
        <v>18</v>
      </c>
      <c r="F479">
        <v>1</v>
      </c>
      <c r="G479">
        <v>56782</v>
      </c>
      <c r="H479">
        <v>56782</v>
      </c>
      <c r="I479" s="4">
        <v>38686</v>
      </c>
      <c r="J479" s="5">
        <f t="shared" si="14"/>
        <v>-28</v>
      </c>
      <c r="K479" s="6" t="str">
        <f t="shared" si="15"/>
        <v>A~0</v>
      </c>
      <c r="L479" t="str">
        <f>IF(J479&lt;0,"A~0",VLOOKUP(J479,[1]作法V!$B$1:$C$9,2,TRUE))</f>
        <v>A~0</v>
      </c>
    </row>
    <row r="480" spans="1:12">
      <c r="A480">
        <v>1053</v>
      </c>
      <c r="B480" t="s">
        <v>21</v>
      </c>
      <c r="C480" s="3">
        <v>38572</v>
      </c>
      <c r="D480" s="3">
        <v>38714</v>
      </c>
      <c r="E480" t="s">
        <v>18</v>
      </c>
      <c r="F480">
        <v>1</v>
      </c>
      <c r="G480">
        <v>159600</v>
      </c>
      <c r="H480">
        <v>159600</v>
      </c>
      <c r="I480" s="4">
        <v>38686</v>
      </c>
      <c r="J480" s="5">
        <f t="shared" si="14"/>
        <v>-28</v>
      </c>
      <c r="K480" s="6" t="str">
        <f t="shared" si="15"/>
        <v>A~0</v>
      </c>
      <c r="L480" t="str">
        <f>IF(J480&lt;0,"A~0",VLOOKUP(J480,[1]作法V!$B$1:$C$9,2,TRUE))</f>
        <v>A~0</v>
      </c>
    </row>
    <row r="481" spans="1:12">
      <c r="A481">
        <v>1053</v>
      </c>
      <c r="B481" t="s">
        <v>21</v>
      </c>
      <c r="C481" s="3">
        <v>38572</v>
      </c>
      <c r="D481" s="3">
        <v>38714</v>
      </c>
      <c r="E481" t="s">
        <v>18</v>
      </c>
      <c r="F481">
        <v>1</v>
      </c>
      <c r="G481">
        <v>281926</v>
      </c>
      <c r="H481">
        <v>281926</v>
      </c>
      <c r="I481" s="4">
        <v>38686</v>
      </c>
      <c r="J481" s="5">
        <f t="shared" si="14"/>
        <v>-28</v>
      </c>
      <c r="K481" s="6" t="str">
        <f t="shared" si="15"/>
        <v>A~0</v>
      </c>
      <c r="L481" t="str">
        <f>IF(J481&lt;0,"A~0",VLOOKUP(J481,[1]作法V!$B$1:$C$9,2,TRUE))</f>
        <v>A~0</v>
      </c>
    </row>
    <row r="482" spans="1:12">
      <c r="A482">
        <v>1053</v>
      </c>
      <c r="B482" t="s">
        <v>21</v>
      </c>
      <c r="C482" s="3">
        <v>38573</v>
      </c>
      <c r="D482" s="3">
        <v>38714</v>
      </c>
      <c r="E482" t="s">
        <v>17</v>
      </c>
      <c r="F482">
        <v>31.684999999999999</v>
      </c>
      <c r="G482">
        <v>7657.24</v>
      </c>
      <c r="H482">
        <v>242620</v>
      </c>
      <c r="I482" s="4">
        <v>38686</v>
      </c>
      <c r="J482" s="5">
        <f t="shared" si="14"/>
        <v>-28</v>
      </c>
      <c r="K482" s="6" t="str">
        <f t="shared" si="15"/>
        <v>A~0</v>
      </c>
      <c r="L482" t="str">
        <f>IF(J482&lt;0,"A~0",VLOOKUP(J482,[1]作法V!$B$1:$C$9,2,TRUE))</f>
        <v>A~0</v>
      </c>
    </row>
    <row r="483" spans="1:12">
      <c r="A483">
        <v>1053</v>
      </c>
      <c r="B483" t="s">
        <v>21</v>
      </c>
      <c r="C483" s="3">
        <v>38573</v>
      </c>
      <c r="D483" s="3">
        <v>38714</v>
      </c>
      <c r="E483" t="s">
        <v>17</v>
      </c>
      <c r="F483">
        <v>31.684999999999999</v>
      </c>
      <c r="G483">
        <v>5734.54</v>
      </c>
      <c r="H483">
        <v>181699</v>
      </c>
      <c r="I483" s="4">
        <v>38686</v>
      </c>
      <c r="J483" s="5">
        <f t="shared" si="14"/>
        <v>-28</v>
      </c>
      <c r="K483" s="6" t="str">
        <f t="shared" si="15"/>
        <v>A~0</v>
      </c>
      <c r="L483" t="str">
        <f>IF(J483&lt;0,"A~0",VLOOKUP(J483,[1]作法V!$B$1:$C$9,2,TRUE))</f>
        <v>A~0</v>
      </c>
    </row>
    <row r="484" spans="1:12">
      <c r="A484">
        <v>1053</v>
      </c>
      <c r="B484" t="s">
        <v>21</v>
      </c>
      <c r="C484" s="3">
        <v>38574</v>
      </c>
      <c r="D484" s="3">
        <v>38714</v>
      </c>
      <c r="E484" t="s">
        <v>18</v>
      </c>
      <c r="F484">
        <v>1</v>
      </c>
      <c r="G484">
        <v>165267</v>
      </c>
      <c r="H484">
        <v>165267</v>
      </c>
      <c r="I484" s="4">
        <v>38686</v>
      </c>
      <c r="J484" s="5">
        <f t="shared" si="14"/>
        <v>-28</v>
      </c>
      <c r="K484" s="6" t="str">
        <f t="shared" si="15"/>
        <v>A~0</v>
      </c>
      <c r="L484" t="str">
        <f>IF(J484&lt;0,"A~0",VLOOKUP(J484,[1]作法V!$B$1:$C$9,2,TRUE))</f>
        <v>A~0</v>
      </c>
    </row>
    <row r="485" spans="1:12">
      <c r="A485">
        <v>1053</v>
      </c>
      <c r="B485" t="s">
        <v>21</v>
      </c>
      <c r="C485" s="3">
        <v>38574</v>
      </c>
      <c r="D485" s="3">
        <v>38714</v>
      </c>
      <c r="E485" t="s">
        <v>18</v>
      </c>
      <c r="F485">
        <v>1</v>
      </c>
      <c r="G485">
        <v>114610</v>
      </c>
      <c r="H485">
        <v>114610</v>
      </c>
      <c r="I485" s="4">
        <v>38686</v>
      </c>
      <c r="J485" s="5">
        <f t="shared" si="14"/>
        <v>-28</v>
      </c>
      <c r="K485" s="6" t="str">
        <f t="shared" si="15"/>
        <v>A~0</v>
      </c>
      <c r="L485" t="str">
        <f>IF(J485&lt;0,"A~0",VLOOKUP(J485,[1]作法V!$B$1:$C$9,2,TRUE))</f>
        <v>A~0</v>
      </c>
    </row>
    <row r="486" spans="1:12">
      <c r="A486">
        <v>1053</v>
      </c>
      <c r="B486" t="s">
        <v>21</v>
      </c>
      <c r="C486" s="3">
        <v>38574</v>
      </c>
      <c r="D486" s="3">
        <v>38714</v>
      </c>
      <c r="E486" t="s">
        <v>18</v>
      </c>
      <c r="F486">
        <v>1</v>
      </c>
      <c r="G486">
        <v>25270</v>
      </c>
      <c r="H486">
        <v>25270</v>
      </c>
      <c r="I486" s="4">
        <v>38686</v>
      </c>
      <c r="J486" s="5">
        <f t="shared" si="14"/>
        <v>-28</v>
      </c>
      <c r="K486" s="6" t="str">
        <f t="shared" si="15"/>
        <v>A~0</v>
      </c>
      <c r="L486" t="str">
        <f>IF(J486&lt;0,"A~0",VLOOKUP(J486,[1]作法V!$B$1:$C$9,2,TRUE))</f>
        <v>A~0</v>
      </c>
    </row>
    <row r="487" spans="1:12">
      <c r="A487">
        <v>1053</v>
      </c>
      <c r="B487" t="s">
        <v>21</v>
      </c>
      <c r="C487" s="3">
        <v>38574</v>
      </c>
      <c r="D487" s="3">
        <v>38714</v>
      </c>
      <c r="E487" t="s">
        <v>18</v>
      </c>
      <c r="F487">
        <v>1</v>
      </c>
      <c r="G487">
        <v>102818</v>
      </c>
      <c r="H487">
        <v>102818</v>
      </c>
      <c r="I487" s="4">
        <v>38686</v>
      </c>
      <c r="J487" s="5">
        <f t="shared" si="14"/>
        <v>-28</v>
      </c>
      <c r="K487" s="6" t="str">
        <f t="shared" si="15"/>
        <v>A~0</v>
      </c>
      <c r="L487" t="str">
        <f>IF(J487&lt;0,"A~0",VLOOKUP(J487,[1]作法V!$B$1:$C$9,2,TRUE))</f>
        <v>A~0</v>
      </c>
    </row>
    <row r="488" spans="1:12">
      <c r="A488">
        <v>1053</v>
      </c>
      <c r="B488" t="s">
        <v>21</v>
      </c>
      <c r="C488" s="3">
        <v>38574</v>
      </c>
      <c r="D488" s="3">
        <v>38714</v>
      </c>
      <c r="E488" t="s">
        <v>18</v>
      </c>
      <c r="F488">
        <v>1</v>
      </c>
      <c r="G488">
        <v>4912</v>
      </c>
      <c r="H488">
        <v>4912</v>
      </c>
      <c r="I488" s="4">
        <v>38686</v>
      </c>
      <c r="J488" s="5">
        <f t="shared" si="14"/>
        <v>-28</v>
      </c>
      <c r="K488" s="6" t="str">
        <f t="shared" si="15"/>
        <v>A~0</v>
      </c>
      <c r="L488" t="str">
        <f>IF(J488&lt;0,"A~0",VLOOKUP(J488,[1]作法V!$B$1:$C$9,2,TRUE))</f>
        <v>A~0</v>
      </c>
    </row>
    <row r="489" spans="1:12">
      <c r="A489">
        <v>1053</v>
      </c>
      <c r="B489" t="s">
        <v>21</v>
      </c>
      <c r="C489" s="3">
        <v>38574</v>
      </c>
      <c r="D489" s="3">
        <v>38714</v>
      </c>
      <c r="E489" t="s">
        <v>18</v>
      </c>
      <c r="F489">
        <v>1</v>
      </c>
      <c r="G489">
        <v>97675</v>
      </c>
      <c r="H489">
        <v>97675</v>
      </c>
      <c r="I489" s="4">
        <v>38686</v>
      </c>
      <c r="J489" s="5">
        <f t="shared" si="14"/>
        <v>-28</v>
      </c>
      <c r="K489" s="6" t="str">
        <f t="shared" si="15"/>
        <v>A~0</v>
      </c>
      <c r="L489" t="str">
        <f>IF(J489&lt;0,"A~0",VLOOKUP(J489,[1]作法V!$B$1:$C$9,2,TRUE))</f>
        <v>A~0</v>
      </c>
    </row>
    <row r="490" spans="1:12">
      <c r="A490">
        <v>1053</v>
      </c>
      <c r="B490" t="s">
        <v>21</v>
      </c>
      <c r="C490" s="3">
        <v>38575</v>
      </c>
      <c r="D490" s="3">
        <v>38714</v>
      </c>
      <c r="E490" t="s">
        <v>18</v>
      </c>
      <c r="F490">
        <v>1</v>
      </c>
      <c r="G490">
        <v>111798</v>
      </c>
      <c r="H490">
        <v>111798</v>
      </c>
      <c r="I490" s="4">
        <v>38686</v>
      </c>
      <c r="J490" s="5">
        <f t="shared" si="14"/>
        <v>-28</v>
      </c>
      <c r="K490" s="6" t="str">
        <f t="shared" si="15"/>
        <v>A~0</v>
      </c>
      <c r="L490" t="str">
        <f>IF(J490&lt;0,"A~0",VLOOKUP(J490,[1]作法V!$B$1:$C$9,2,TRUE))</f>
        <v>A~0</v>
      </c>
    </row>
    <row r="491" spans="1:12">
      <c r="A491">
        <v>1053</v>
      </c>
      <c r="B491" t="s">
        <v>21</v>
      </c>
      <c r="C491" s="3">
        <v>38575</v>
      </c>
      <c r="D491" s="3">
        <v>38714</v>
      </c>
      <c r="E491" t="s">
        <v>18</v>
      </c>
      <c r="F491">
        <v>1</v>
      </c>
      <c r="G491">
        <v>53200</v>
      </c>
      <c r="H491">
        <v>53200</v>
      </c>
      <c r="I491" s="4">
        <v>38686</v>
      </c>
      <c r="J491" s="5">
        <f t="shared" si="14"/>
        <v>-28</v>
      </c>
      <c r="K491" s="6" t="str">
        <f t="shared" si="15"/>
        <v>A~0</v>
      </c>
      <c r="L491" t="str">
        <f>IF(J491&lt;0,"A~0",VLOOKUP(J491,[1]作法V!$B$1:$C$9,2,TRUE))</f>
        <v>A~0</v>
      </c>
    </row>
    <row r="492" spans="1:12">
      <c r="A492">
        <v>1053</v>
      </c>
      <c r="B492" t="s">
        <v>21</v>
      </c>
      <c r="C492" s="3">
        <v>38575</v>
      </c>
      <c r="D492" s="3">
        <v>38714</v>
      </c>
      <c r="E492" t="s">
        <v>18</v>
      </c>
      <c r="F492">
        <v>1</v>
      </c>
      <c r="G492">
        <v>474163</v>
      </c>
      <c r="H492">
        <v>474163</v>
      </c>
      <c r="I492" s="4">
        <v>38686</v>
      </c>
      <c r="J492" s="5">
        <f t="shared" si="14"/>
        <v>-28</v>
      </c>
      <c r="K492" s="6" t="str">
        <f t="shared" si="15"/>
        <v>A~0</v>
      </c>
      <c r="L492" t="str">
        <f>IF(J492&lt;0,"A~0",VLOOKUP(J492,[1]作法V!$B$1:$C$9,2,TRUE))</f>
        <v>A~0</v>
      </c>
    </row>
    <row r="493" spans="1:12">
      <c r="A493">
        <v>1053</v>
      </c>
      <c r="B493" t="s">
        <v>21</v>
      </c>
      <c r="C493" s="3">
        <v>38575</v>
      </c>
      <c r="D493" s="3">
        <v>38714</v>
      </c>
      <c r="E493" t="s">
        <v>18</v>
      </c>
      <c r="F493">
        <v>1</v>
      </c>
      <c r="G493">
        <v>44958</v>
      </c>
      <c r="H493">
        <v>44958</v>
      </c>
      <c r="I493" s="4">
        <v>38686</v>
      </c>
      <c r="J493" s="5">
        <f t="shared" si="14"/>
        <v>-28</v>
      </c>
      <c r="K493" s="6" t="str">
        <f t="shared" si="15"/>
        <v>A~0</v>
      </c>
      <c r="L493" t="str">
        <f>IF(J493&lt;0,"A~0",VLOOKUP(J493,[1]作法V!$B$1:$C$9,2,TRUE))</f>
        <v>A~0</v>
      </c>
    </row>
    <row r="494" spans="1:12">
      <c r="A494">
        <v>1053</v>
      </c>
      <c r="B494" t="s">
        <v>21</v>
      </c>
      <c r="C494" s="3">
        <v>38575</v>
      </c>
      <c r="D494" s="3">
        <v>38714</v>
      </c>
      <c r="E494" t="s">
        <v>18</v>
      </c>
      <c r="F494">
        <v>1</v>
      </c>
      <c r="G494">
        <v>21192</v>
      </c>
      <c r="H494">
        <v>21192</v>
      </c>
      <c r="I494" s="4">
        <v>38686</v>
      </c>
      <c r="J494" s="5">
        <f t="shared" si="14"/>
        <v>-28</v>
      </c>
      <c r="K494" s="6" t="str">
        <f t="shared" si="15"/>
        <v>A~0</v>
      </c>
      <c r="L494" t="str">
        <f>IF(J494&lt;0,"A~0",VLOOKUP(J494,[1]作法V!$B$1:$C$9,2,TRUE))</f>
        <v>A~0</v>
      </c>
    </row>
    <row r="495" spans="1:12">
      <c r="A495">
        <v>1053</v>
      </c>
      <c r="B495" t="s">
        <v>21</v>
      </c>
      <c r="C495" s="3">
        <v>38575</v>
      </c>
      <c r="D495" s="3">
        <v>38714</v>
      </c>
      <c r="E495" t="s">
        <v>18</v>
      </c>
      <c r="F495">
        <v>1</v>
      </c>
      <c r="G495">
        <v>129200</v>
      </c>
      <c r="H495">
        <v>129200</v>
      </c>
      <c r="I495" s="4">
        <v>38686</v>
      </c>
      <c r="J495" s="5">
        <f t="shared" si="14"/>
        <v>-28</v>
      </c>
      <c r="K495" s="6" t="str">
        <f t="shared" si="15"/>
        <v>A~0</v>
      </c>
      <c r="L495" t="str">
        <f>IF(J495&lt;0,"A~0",VLOOKUP(J495,[1]作法V!$B$1:$C$9,2,TRUE))</f>
        <v>A~0</v>
      </c>
    </row>
    <row r="496" spans="1:12">
      <c r="A496">
        <v>1053</v>
      </c>
      <c r="B496" t="s">
        <v>21</v>
      </c>
      <c r="C496" s="3">
        <v>38576</v>
      </c>
      <c r="D496" s="3">
        <v>38714</v>
      </c>
      <c r="E496" t="s">
        <v>18</v>
      </c>
      <c r="F496">
        <v>1</v>
      </c>
      <c r="G496">
        <v>106400</v>
      </c>
      <c r="H496">
        <v>106400</v>
      </c>
      <c r="I496" s="4">
        <v>38686</v>
      </c>
      <c r="J496" s="5">
        <f t="shared" si="14"/>
        <v>-28</v>
      </c>
      <c r="K496" s="6" t="str">
        <f t="shared" si="15"/>
        <v>A~0</v>
      </c>
      <c r="L496" t="str">
        <f>IF(J496&lt;0,"A~0",VLOOKUP(J496,[1]作法V!$B$1:$C$9,2,TRUE))</f>
        <v>A~0</v>
      </c>
    </row>
    <row r="497" spans="1:12">
      <c r="A497">
        <v>1053</v>
      </c>
      <c r="B497" t="s">
        <v>21</v>
      </c>
      <c r="C497" s="3">
        <v>38576</v>
      </c>
      <c r="D497" s="3">
        <v>38714</v>
      </c>
      <c r="E497" t="s">
        <v>18</v>
      </c>
      <c r="F497">
        <v>1</v>
      </c>
      <c r="G497">
        <v>184710</v>
      </c>
      <c r="H497">
        <v>184710</v>
      </c>
      <c r="I497" s="4">
        <v>38686</v>
      </c>
      <c r="J497" s="5">
        <f t="shared" si="14"/>
        <v>-28</v>
      </c>
      <c r="K497" s="6" t="str">
        <f t="shared" si="15"/>
        <v>A~0</v>
      </c>
      <c r="L497" t="str">
        <f>IF(J497&lt;0,"A~0",VLOOKUP(J497,[1]作法V!$B$1:$C$9,2,TRUE))</f>
        <v>A~0</v>
      </c>
    </row>
    <row r="498" spans="1:12">
      <c r="A498">
        <v>1053</v>
      </c>
      <c r="B498" t="s">
        <v>21</v>
      </c>
      <c r="C498" s="3">
        <v>38579</v>
      </c>
      <c r="D498" s="3">
        <v>38714</v>
      </c>
      <c r="E498" t="s">
        <v>18</v>
      </c>
      <c r="F498">
        <v>1</v>
      </c>
      <c r="G498">
        <v>133000</v>
      </c>
      <c r="H498">
        <v>133000</v>
      </c>
      <c r="I498" s="4">
        <v>38686</v>
      </c>
      <c r="J498" s="5">
        <f t="shared" si="14"/>
        <v>-28</v>
      </c>
      <c r="K498" s="6" t="str">
        <f t="shared" si="15"/>
        <v>A~0</v>
      </c>
      <c r="L498" t="str">
        <f>IF(J498&lt;0,"A~0",VLOOKUP(J498,[1]作法V!$B$1:$C$9,2,TRUE))</f>
        <v>A~0</v>
      </c>
    </row>
    <row r="499" spans="1:12">
      <c r="A499">
        <v>1053</v>
      </c>
      <c r="B499" t="s">
        <v>21</v>
      </c>
      <c r="C499" s="3">
        <v>38579</v>
      </c>
      <c r="D499" s="3">
        <v>38714</v>
      </c>
      <c r="E499" t="s">
        <v>18</v>
      </c>
      <c r="F499">
        <v>1</v>
      </c>
      <c r="G499">
        <v>112631</v>
      </c>
      <c r="H499">
        <v>112631</v>
      </c>
      <c r="I499" s="4">
        <v>38686</v>
      </c>
      <c r="J499" s="5">
        <f t="shared" si="14"/>
        <v>-28</v>
      </c>
      <c r="K499" s="6" t="str">
        <f t="shared" si="15"/>
        <v>A~0</v>
      </c>
      <c r="L499" t="str">
        <f>IF(J499&lt;0,"A~0",VLOOKUP(J499,[1]作法V!$B$1:$C$9,2,TRUE))</f>
        <v>A~0</v>
      </c>
    </row>
    <row r="500" spans="1:12">
      <c r="A500">
        <v>1053</v>
      </c>
      <c r="B500" t="s">
        <v>21</v>
      </c>
      <c r="C500" s="3">
        <v>38579</v>
      </c>
      <c r="D500" s="3">
        <v>38714</v>
      </c>
      <c r="E500" t="s">
        <v>18</v>
      </c>
      <c r="F500">
        <v>1</v>
      </c>
      <c r="G500">
        <v>110858</v>
      </c>
      <c r="H500">
        <v>110858</v>
      </c>
      <c r="I500" s="4">
        <v>38686</v>
      </c>
      <c r="J500" s="5">
        <f t="shared" si="14"/>
        <v>-28</v>
      </c>
      <c r="K500" s="6" t="str">
        <f t="shared" si="15"/>
        <v>A~0</v>
      </c>
      <c r="L500" t="str">
        <f>IF(J500&lt;0,"A~0",VLOOKUP(J500,[1]作法V!$B$1:$C$9,2,TRUE))</f>
        <v>A~0</v>
      </c>
    </row>
    <row r="501" spans="1:12">
      <c r="A501">
        <v>1053</v>
      </c>
      <c r="B501" t="s">
        <v>21</v>
      </c>
      <c r="C501" s="3">
        <v>38579</v>
      </c>
      <c r="D501" s="3">
        <v>38714</v>
      </c>
      <c r="E501" t="s">
        <v>18</v>
      </c>
      <c r="F501">
        <v>1</v>
      </c>
      <c r="G501">
        <v>120030</v>
      </c>
      <c r="H501">
        <v>120030</v>
      </c>
      <c r="I501" s="4">
        <v>38686</v>
      </c>
      <c r="J501" s="5">
        <f t="shared" si="14"/>
        <v>-28</v>
      </c>
      <c r="K501" s="6" t="str">
        <f t="shared" si="15"/>
        <v>A~0</v>
      </c>
      <c r="L501" t="str">
        <f>IF(J501&lt;0,"A~0",VLOOKUP(J501,[1]作法V!$B$1:$C$9,2,TRUE))</f>
        <v>A~0</v>
      </c>
    </row>
    <row r="502" spans="1:12">
      <c r="A502">
        <v>1053</v>
      </c>
      <c r="B502" t="s">
        <v>21</v>
      </c>
      <c r="C502" s="3">
        <v>38579</v>
      </c>
      <c r="D502" s="3">
        <v>38714</v>
      </c>
      <c r="E502" t="s">
        <v>18</v>
      </c>
      <c r="F502">
        <v>1</v>
      </c>
      <c r="G502">
        <v>349194</v>
      </c>
      <c r="H502">
        <v>349194</v>
      </c>
      <c r="I502" s="4">
        <v>38686</v>
      </c>
      <c r="J502" s="5">
        <f t="shared" si="14"/>
        <v>-28</v>
      </c>
      <c r="K502" s="6" t="str">
        <f t="shared" si="15"/>
        <v>A~0</v>
      </c>
      <c r="L502" t="str">
        <f>IF(J502&lt;0,"A~0",VLOOKUP(J502,[1]作法V!$B$1:$C$9,2,TRUE))</f>
        <v>A~0</v>
      </c>
    </row>
    <row r="503" spans="1:12">
      <c r="A503">
        <v>1053</v>
      </c>
      <c r="B503" t="s">
        <v>21</v>
      </c>
      <c r="C503" s="3">
        <v>38579</v>
      </c>
      <c r="D503" s="3">
        <v>38714</v>
      </c>
      <c r="E503" t="s">
        <v>18</v>
      </c>
      <c r="F503">
        <v>1</v>
      </c>
      <c r="G503">
        <v>34093</v>
      </c>
      <c r="H503">
        <v>34093</v>
      </c>
      <c r="I503" s="4">
        <v>38686</v>
      </c>
      <c r="J503" s="5">
        <f t="shared" si="14"/>
        <v>-28</v>
      </c>
      <c r="K503" s="6" t="str">
        <f t="shared" si="15"/>
        <v>A~0</v>
      </c>
      <c r="L503" t="str">
        <f>IF(J503&lt;0,"A~0",VLOOKUP(J503,[1]作法V!$B$1:$C$9,2,TRUE))</f>
        <v>A~0</v>
      </c>
    </row>
    <row r="504" spans="1:12">
      <c r="A504">
        <v>1053</v>
      </c>
      <c r="B504" t="s">
        <v>21</v>
      </c>
      <c r="C504" s="3">
        <v>38579</v>
      </c>
      <c r="D504" s="3">
        <v>38714</v>
      </c>
      <c r="E504" t="s">
        <v>18</v>
      </c>
      <c r="F504">
        <v>1</v>
      </c>
      <c r="G504">
        <v>77706</v>
      </c>
      <c r="H504">
        <v>77706</v>
      </c>
      <c r="I504" s="4">
        <v>38686</v>
      </c>
      <c r="J504" s="5">
        <f t="shared" si="14"/>
        <v>-28</v>
      </c>
      <c r="K504" s="6" t="str">
        <f t="shared" si="15"/>
        <v>A~0</v>
      </c>
      <c r="L504" t="str">
        <f>IF(J504&lt;0,"A~0",VLOOKUP(J504,[1]作法V!$B$1:$C$9,2,TRUE))</f>
        <v>A~0</v>
      </c>
    </row>
    <row r="505" spans="1:12">
      <c r="A505">
        <v>1053</v>
      </c>
      <c r="B505" t="s">
        <v>21</v>
      </c>
      <c r="C505" s="3">
        <v>38579</v>
      </c>
      <c r="D505" s="3">
        <v>38714</v>
      </c>
      <c r="E505" t="s">
        <v>17</v>
      </c>
      <c r="F505">
        <v>31.875</v>
      </c>
      <c r="G505">
        <v>3963.04</v>
      </c>
      <c r="H505">
        <v>126322</v>
      </c>
      <c r="I505" s="4">
        <v>38686</v>
      </c>
      <c r="J505" s="5">
        <f t="shared" si="14"/>
        <v>-28</v>
      </c>
      <c r="K505" s="6" t="str">
        <f t="shared" si="15"/>
        <v>A~0</v>
      </c>
      <c r="L505" t="str">
        <f>IF(J505&lt;0,"A~0",VLOOKUP(J505,[1]作法V!$B$1:$C$9,2,TRUE))</f>
        <v>A~0</v>
      </c>
    </row>
    <row r="506" spans="1:12">
      <c r="A506">
        <v>1053</v>
      </c>
      <c r="B506" t="s">
        <v>21</v>
      </c>
      <c r="C506" s="3">
        <v>38579</v>
      </c>
      <c r="D506" s="3">
        <v>38714</v>
      </c>
      <c r="E506" t="s">
        <v>17</v>
      </c>
      <c r="F506">
        <v>31.875</v>
      </c>
      <c r="G506">
        <v>205.59</v>
      </c>
      <c r="H506">
        <v>6553</v>
      </c>
      <c r="I506" s="4">
        <v>38686</v>
      </c>
      <c r="J506" s="5">
        <f t="shared" si="14"/>
        <v>-28</v>
      </c>
      <c r="K506" s="6" t="str">
        <f t="shared" si="15"/>
        <v>A~0</v>
      </c>
      <c r="L506" t="str">
        <f>IF(J506&lt;0,"A~0",VLOOKUP(J506,[1]作法V!$B$1:$C$9,2,TRUE))</f>
        <v>A~0</v>
      </c>
    </row>
    <row r="507" spans="1:12">
      <c r="A507">
        <v>1053</v>
      </c>
      <c r="B507" t="s">
        <v>21</v>
      </c>
      <c r="C507" s="3">
        <v>38579</v>
      </c>
      <c r="D507" s="3">
        <v>38714</v>
      </c>
      <c r="E507" t="s">
        <v>17</v>
      </c>
      <c r="F507">
        <v>31.875</v>
      </c>
      <c r="G507">
        <v>3647</v>
      </c>
      <c r="H507">
        <v>116248</v>
      </c>
      <c r="I507" s="4">
        <v>38686</v>
      </c>
      <c r="J507" s="5">
        <f t="shared" si="14"/>
        <v>-28</v>
      </c>
      <c r="K507" s="6" t="str">
        <f t="shared" si="15"/>
        <v>A~0</v>
      </c>
      <c r="L507" t="str">
        <f>IF(J507&lt;0,"A~0",VLOOKUP(J507,[1]作法V!$B$1:$C$9,2,TRUE))</f>
        <v>A~0</v>
      </c>
    </row>
    <row r="508" spans="1:12">
      <c r="A508">
        <v>1053</v>
      </c>
      <c r="B508" t="s">
        <v>21</v>
      </c>
      <c r="C508" s="3">
        <v>38579</v>
      </c>
      <c r="D508" s="3">
        <v>38714</v>
      </c>
      <c r="E508" t="s">
        <v>17</v>
      </c>
      <c r="F508">
        <v>31.875</v>
      </c>
      <c r="G508">
        <v>113.76</v>
      </c>
      <c r="H508">
        <v>3626</v>
      </c>
      <c r="I508" s="4">
        <v>38686</v>
      </c>
      <c r="J508" s="5">
        <f t="shared" si="14"/>
        <v>-28</v>
      </c>
      <c r="K508" s="6" t="str">
        <f t="shared" si="15"/>
        <v>A~0</v>
      </c>
      <c r="L508" t="str">
        <f>IF(J508&lt;0,"A~0",VLOOKUP(J508,[1]作法V!$B$1:$C$9,2,TRUE))</f>
        <v>A~0</v>
      </c>
    </row>
    <row r="509" spans="1:12">
      <c r="A509">
        <v>1053</v>
      </c>
      <c r="B509" t="s">
        <v>21</v>
      </c>
      <c r="C509" s="3">
        <v>38579</v>
      </c>
      <c r="D509" s="3">
        <v>38714</v>
      </c>
      <c r="E509" t="s">
        <v>17</v>
      </c>
      <c r="F509">
        <v>31.875</v>
      </c>
      <c r="G509">
        <v>20.010000000000002</v>
      </c>
      <c r="H509">
        <v>638</v>
      </c>
      <c r="I509" s="4">
        <v>38686</v>
      </c>
      <c r="J509" s="5">
        <f t="shared" si="14"/>
        <v>-28</v>
      </c>
      <c r="K509" s="6" t="str">
        <f t="shared" si="15"/>
        <v>A~0</v>
      </c>
      <c r="L509" t="str">
        <f>IF(J509&lt;0,"A~0",VLOOKUP(J509,[1]作法V!$B$1:$C$9,2,TRUE))</f>
        <v>A~0</v>
      </c>
    </row>
    <row r="510" spans="1:12">
      <c r="A510">
        <v>1053</v>
      </c>
      <c r="B510" t="s">
        <v>21</v>
      </c>
      <c r="C510" s="3">
        <v>38579</v>
      </c>
      <c r="D510" s="3">
        <v>38714</v>
      </c>
      <c r="E510" t="s">
        <v>17</v>
      </c>
      <c r="F510">
        <v>31.875</v>
      </c>
      <c r="G510">
        <v>3495.81</v>
      </c>
      <c r="H510">
        <v>111429</v>
      </c>
      <c r="I510" s="4">
        <v>38686</v>
      </c>
      <c r="J510" s="5">
        <f t="shared" si="14"/>
        <v>-28</v>
      </c>
      <c r="K510" s="6" t="str">
        <f t="shared" si="15"/>
        <v>A~0</v>
      </c>
      <c r="L510" t="str">
        <f>IF(J510&lt;0,"A~0",VLOOKUP(J510,[1]作法V!$B$1:$C$9,2,TRUE))</f>
        <v>A~0</v>
      </c>
    </row>
    <row r="511" spans="1:12">
      <c r="A511">
        <v>1053</v>
      </c>
      <c r="B511" t="s">
        <v>21</v>
      </c>
      <c r="C511" s="3">
        <v>38579</v>
      </c>
      <c r="D511" s="3">
        <v>38714</v>
      </c>
      <c r="E511" t="s">
        <v>17</v>
      </c>
      <c r="F511">
        <v>31.875</v>
      </c>
      <c r="G511">
        <v>1559.46</v>
      </c>
      <c r="H511">
        <v>49708</v>
      </c>
      <c r="I511" s="4">
        <v>38686</v>
      </c>
      <c r="J511" s="5">
        <f t="shared" si="14"/>
        <v>-28</v>
      </c>
      <c r="K511" s="6" t="str">
        <f t="shared" si="15"/>
        <v>A~0</v>
      </c>
      <c r="L511" t="str">
        <f>IF(J511&lt;0,"A~0",VLOOKUP(J511,[1]作法V!$B$1:$C$9,2,TRUE))</f>
        <v>A~0</v>
      </c>
    </row>
    <row r="512" spans="1:12">
      <c r="A512">
        <v>1053</v>
      </c>
      <c r="B512" t="s">
        <v>21</v>
      </c>
      <c r="C512" s="3">
        <v>38579</v>
      </c>
      <c r="D512" s="3">
        <v>38714</v>
      </c>
      <c r="E512" t="s">
        <v>17</v>
      </c>
      <c r="F512">
        <v>31.875</v>
      </c>
      <c r="G512">
        <v>834</v>
      </c>
      <c r="H512">
        <v>26584</v>
      </c>
      <c r="I512" s="4">
        <v>38686</v>
      </c>
      <c r="J512" s="5">
        <f t="shared" si="14"/>
        <v>-28</v>
      </c>
      <c r="K512" s="6" t="str">
        <f t="shared" si="15"/>
        <v>A~0</v>
      </c>
      <c r="L512" t="str">
        <f>IF(J512&lt;0,"A~0",VLOOKUP(J512,[1]作法V!$B$1:$C$9,2,TRUE))</f>
        <v>A~0</v>
      </c>
    </row>
    <row r="513" spans="1:12">
      <c r="A513">
        <v>1053</v>
      </c>
      <c r="B513" t="s">
        <v>21</v>
      </c>
      <c r="C513" s="3">
        <v>38579</v>
      </c>
      <c r="D513" s="3">
        <v>38714</v>
      </c>
      <c r="E513" t="s">
        <v>17</v>
      </c>
      <c r="F513">
        <v>31.875</v>
      </c>
      <c r="G513">
        <v>834</v>
      </c>
      <c r="H513">
        <v>26584</v>
      </c>
      <c r="I513" s="4">
        <v>38686</v>
      </c>
      <c r="J513" s="5">
        <f t="shared" si="14"/>
        <v>-28</v>
      </c>
      <c r="K513" s="6" t="str">
        <f t="shared" si="15"/>
        <v>A~0</v>
      </c>
      <c r="L513" t="str">
        <f>IF(J513&lt;0,"A~0",VLOOKUP(J513,[1]作法V!$B$1:$C$9,2,TRUE))</f>
        <v>A~0</v>
      </c>
    </row>
    <row r="514" spans="1:12">
      <c r="A514">
        <v>1053</v>
      </c>
      <c r="B514" t="s">
        <v>21</v>
      </c>
      <c r="C514" s="3">
        <v>38581</v>
      </c>
      <c r="D514" s="3">
        <v>38714</v>
      </c>
      <c r="E514" t="s">
        <v>18</v>
      </c>
      <c r="F514">
        <v>1</v>
      </c>
      <c r="G514">
        <v>291648</v>
      </c>
      <c r="H514">
        <v>291648</v>
      </c>
      <c r="I514" s="4">
        <v>38686</v>
      </c>
      <c r="J514" s="5">
        <f t="shared" ref="J514:J577" si="16">I514-D514</f>
        <v>-28</v>
      </c>
      <c r="K514" s="6" t="str">
        <f t="shared" ref="K514:K577" si="17">IF(J514&lt;1,"A~0",IF(J514&lt;31,"B1~30",IF(J514&lt;61,"C31~60",IF(J514&lt;91,"D61~90",IF(J514&lt;121,"E91~120",IF(J514&lt;181,"F121~180",IF(J514&lt;361,"G181~360","H361~")))))))</f>
        <v>A~0</v>
      </c>
      <c r="L514" t="str">
        <f>IF(J514&lt;0,"A~0",VLOOKUP(J514,[1]作法V!$B$1:$C$9,2,TRUE))</f>
        <v>A~0</v>
      </c>
    </row>
    <row r="515" spans="1:12">
      <c r="A515">
        <v>1053</v>
      </c>
      <c r="B515" t="s">
        <v>21</v>
      </c>
      <c r="C515" s="3">
        <v>38581</v>
      </c>
      <c r="D515" s="3">
        <v>38714</v>
      </c>
      <c r="E515" t="s">
        <v>18</v>
      </c>
      <c r="F515">
        <v>1</v>
      </c>
      <c r="G515">
        <v>44812</v>
      </c>
      <c r="H515">
        <v>44812</v>
      </c>
      <c r="I515" s="4">
        <v>38686</v>
      </c>
      <c r="J515" s="5">
        <f t="shared" si="16"/>
        <v>-28</v>
      </c>
      <c r="K515" s="6" t="str">
        <f t="shared" si="17"/>
        <v>A~0</v>
      </c>
      <c r="L515" t="str">
        <f>IF(J515&lt;0,"A~0",VLOOKUP(J515,[1]作法V!$B$1:$C$9,2,TRUE))</f>
        <v>A~0</v>
      </c>
    </row>
    <row r="516" spans="1:12">
      <c r="A516">
        <v>1053</v>
      </c>
      <c r="B516" t="s">
        <v>21</v>
      </c>
      <c r="C516" s="3">
        <v>38581</v>
      </c>
      <c r="D516" s="3">
        <v>38714</v>
      </c>
      <c r="E516" t="s">
        <v>18</v>
      </c>
      <c r="F516">
        <v>1</v>
      </c>
      <c r="G516">
        <v>61588</v>
      </c>
      <c r="H516">
        <v>61588</v>
      </c>
      <c r="I516" s="4">
        <v>38686</v>
      </c>
      <c r="J516" s="5">
        <f t="shared" si="16"/>
        <v>-28</v>
      </c>
      <c r="K516" s="6" t="str">
        <f t="shared" si="17"/>
        <v>A~0</v>
      </c>
      <c r="L516" t="str">
        <f>IF(J516&lt;0,"A~0",VLOOKUP(J516,[1]作法V!$B$1:$C$9,2,TRUE))</f>
        <v>A~0</v>
      </c>
    </row>
    <row r="517" spans="1:12">
      <c r="A517">
        <v>1053</v>
      </c>
      <c r="B517" t="s">
        <v>21</v>
      </c>
      <c r="C517" s="3">
        <v>38581</v>
      </c>
      <c r="D517" s="3">
        <v>38714</v>
      </c>
      <c r="E517" t="s">
        <v>17</v>
      </c>
      <c r="F517">
        <v>31.875</v>
      </c>
      <c r="G517">
        <v>1642.4</v>
      </c>
      <c r="H517">
        <v>52352</v>
      </c>
      <c r="I517" s="4">
        <v>38686</v>
      </c>
      <c r="J517" s="5">
        <f t="shared" si="16"/>
        <v>-28</v>
      </c>
      <c r="K517" s="6" t="str">
        <f t="shared" si="17"/>
        <v>A~0</v>
      </c>
      <c r="L517" t="str">
        <f>IF(J517&lt;0,"A~0",VLOOKUP(J517,[1]作法V!$B$1:$C$9,2,TRUE))</f>
        <v>A~0</v>
      </c>
    </row>
    <row r="518" spans="1:12">
      <c r="A518">
        <v>1053</v>
      </c>
      <c r="B518" t="s">
        <v>21</v>
      </c>
      <c r="C518" s="3">
        <v>38581</v>
      </c>
      <c r="D518" s="3">
        <v>38714</v>
      </c>
      <c r="E518" t="s">
        <v>17</v>
      </c>
      <c r="F518">
        <v>31.875</v>
      </c>
      <c r="G518">
        <v>2030.96</v>
      </c>
      <c r="H518">
        <v>64737</v>
      </c>
      <c r="I518" s="4">
        <v>38686</v>
      </c>
      <c r="J518" s="5">
        <f t="shared" si="16"/>
        <v>-28</v>
      </c>
      <c r="K518" s="6" t="str">
        <f t="shared" si="17"/>
        <v>A~0</v>
      </c>
      <c r="L518" t="str">
        <f>IF(J518&lt;0,"A~0",VLOOKUP(J518,[1]作法V!$B$1:$C$9,2,TRUE))</f>
        <v>A~0</v>
      </c>
    </row>
    <row r="519" spans="1:12">
      <c r="A519">
        <v>1053</v>
      </c>
      <c r="B519" t="s">
        <v>21</v>
      </c>
      <c r="C519" s="3">
        <v>38581</v>
      </c>
      <c r="D519" s="3">
        <v>38714</v>
      </c>
      <c r="E519" t="s">
        <v>17</v>
      </c>
      <c r="F519">
        <v>31.875</v>
      </c>
      <c r="G519">
        <v>6567.41</v>
      </c>
      <c r="H519">
        <v>209336</v>
      </c>
      <c r="I519" s="4">
        <v>38686</v>
      </c>
      <c r="J519" s="5">
        <f t="shared" si="16"/>
        <v>-28</v>
      </c>
      <c r="K519" s="6" t="str">
        <f t="shared" si="17"/>
        <v>A~0</v>
      </c>
      <c r="L519" t="str">
        <f>IF(J519&lt;0,"A~0",VLOOKUP(J519,[1]作法V!$B$1:$C$9,2,TRUE))</f>
        <v>A~0</v>
      </c>
    </row>
    <row r="520" spans="1:12">
      <c r="A520">
        <v>1053</v>
      </c>
      <c r="B520" t="s">
        <v>21</v>
      </c>
      <c r="C520" s="3">
        <v>38582</v>
      </c>
      <c r="D520" s="3">
        <v>38714</v>
      </c>
      <c r="E520" t="s">
        <v>18</v>
      </c>
      <c r="F520">
        <v>1</v>
      </c>
      <c r="G520">
        <v>116588</v>
      </c>
      <c r="H520">
        <v>116588</v>
      </c>
      <c r="I520" s="4">
        <v>38686</v>
      </c>
      <c r="J520" s="5">
        <f t="shared" si="16"/>
        <v>-28</v>
      </c>
      <c r="K520" s="6" t="str">
        <f t="shared" si="17"/>
        <v>A~0</v>
      </c>
      <c r="L520" t="str">
        <f>IF(J520&lt;0,"A~0",VLOOKUP(J520,[1]作法V!$B$1:$C$9,2,TRUE))</f>
        <v>A~0</v>
      </c>
    </row>
    <row r="521" spans="1:12">
      <c r="A521">
        <v>1053</v>
      </c>
      <c r="B521" t="s">
        <v>21</v>
      </c>
      <c r="C521" s="3">
        <v>38582</v>
      </c>
      <c r="D521" s="3">
        <v>38714</v>
      </c>
      <c r="E521" t="s">
        <v>18</v>
      </c>
      <c r="F521">
        <v>1</v>
      </c>
      <c r="G521">
        <v>145459</v>
      </c>
      <c r="H521">
        <v>145459</v>
      </c>
      <c r="I521" s="4">
        <v>38686</v>
      </c>
      <c r="J521" s="5">
        <f t="shared" si="16"/>
        <v>-28</v>
      </c>
      <c r="K521" s="6" t="str">
        <f t="shared" si="17"/>
        <v>A~0</v>
      </c>
      <c r="L521" t="str">
        <f>IF(J521&lt;0,"A~0",VLOOKUP(J521,[1]作法V!$B$1:$C$9,2,TRUE))</f>
        <v>A~0</v>
      </c>
    </row>
    <row r="522" spans="1:12">
      <c r="A522">
        <v>1053</v>
      </c>
      <c r="B522" t="s">
        <v>21</v>
      </c>
      <c r="C522" s="3">
        <v>38582</v>
      </c>
      <c r="D522" s="3">
        <v>38714</v>
      </c>
      <c r="E522" t="s">
        <v>18</v>
      </c>
      <c r="F522">
        <v>1</v>
      </c>
      <c r="G522">
        <v>19808</v>
      </c>
      <c r="H522">
        <v>19808</v>
      </c>
      <c r="I522" s="4">
        <v>38686</v>
      </c>
      <c r="J522" s="5">
        <f t="shared" si="16"/>
        <v>-28</v>
      </c>
      <c r="K522" s="6" t="str">
        <f t="shared" si="17"/>
        <v>A~0</v>
      </c>
      <c r="L522" t="str">
        <f>IF(J522&lt;0,"A~0",VLOOKUP(J522,[1]作法V!$B$1:$C$9,2,TRUE))</f>
        <v>A~0</v>
      </c>
    </row>
    <row r="523" spans="1:12">
      <c r="A523">
        <v>1053</v>
      </c>
      <c r="B523" t="s">
        <v>21</v>
      </c>
      <c r="C523" s="3">
        <v>38582</v>
      </c>
      <c r="D523" s="3">
        <v>38714</v>
      </c>
      <c r="E523" t="s">
        <v>18</v>
      </c>
      <c r="F523">
        <v>1</v>
      </c>
      <c r="G523">
        <v>350683</v>
      </c>
      <c r="H523">
        <v>350683</v>
      </c>
      <c r="I523" s="4">
        <v>38686</v>
      </c>
      <c r="J523" s="5">
        <f t="shared" si="16"/>
        <v>-28</v>
      </c>
      <c r="K523" s="6" t="str">
        <f t="shared" si="17"/>
        <v>A~0</v>
      </c>
      <c r="L523" t="str">
        <f>IF(J523&lt;0,"A~0",VLOOKUP(J523,[1]作法V!$B$1:$C$9,2,TRUE))</f>
        <v>A~0</v>
      </c>
    </row>
    <row r="524" spans="1:12">
      <c r="A524">
        <v>1053</v>
      </c>
      <c r="B524" t="s">
        <v>21</v>
      </c>
      <c r="C524" s="3">
        <v>38582</v>
      </c>
      <c r="D524" s="3">
        <v>38714</v>
      </c>
      <c r="E524" t="s">
        <v>18</v>
      </c>
      <c r="F524">
        <v>1</v>
      </c>
      <c r="G524">
        <v>133000</v>
      </c>
      <c r="H524">
        <v>133000</v>
      </c>
      <c r="I524" s="4">
        <v>38686</v>
      </c>
      <c r="J524" s="5">
        <f t="shared" si="16"/>
        <v>-28</v>
      </c>
      <c r="K524" s="6" t="str">
        <f t="shared" si="17"/>
        <v>A~0</v>
      </c>
      <c r="L524" t="str">
        <f>IF(J524&lt;0,"A~0",VLOOKUP(J524,[1]作法V!$B$1:$C$9,2,TRUE))</f>
        <v>A~0</v>
      </c>
    </row>
    <row r="525" spans="1:12">
      <c r="A525">
        <v>1053</v>
      </c>
      <c r="B525" t="s">
        <v>21</v>
      </c>
      <c r="C525" s="3">
        <v>38583</v>
      </c>
      <c r="D525" s="3">
        <v>38714</v>
      </c>
      <c r="E525" t="s">
        <v>18</v>
      </c>
      <c r="F525">
        <v>1</v>
      </c>
      <c r="G525">
        <v>82634</v>
      </c>
      <c r="H525">
        <v>82634</v>
      </c>
      <c r="I525" s="4">
        <v>38686</v>
      </c>
      <c r="J525" s="5">
        <f t="shared" si="16"/>
        <v>-28</v>
      </c>
      <c r="K525" s="6" t="str">
        <f t="shared" si="17"/>
        <v>A~0</v>
      </c>
      <c r="L525" t="str">
        <f>IF(J525&lt;0,"A~0",VLOOKUP(J525,[1]作法V!$B$1:$C$9,2,TRUE))</f>
        <v>A~0</v>
      </c>
    </row>
    <row r="526" spans="1:12">
      <c r="A526">
        <v>1053</v>
      </c>
      <c r="B526" t="s">
        <v>21</v>
      </c>
      <c r="C526" s="3">
        <v>38583</v>
      </c>
      <c r="D526" s="3">
        <v>38714</v>
      </c>
      <c r="E526" t="s">
        <v>18</v>
      </c>
      <c r="F526">
        <v>1</v>
      </c>
      <c r="G526">
        <v>106400</v>
      </c>
      <c r="H526">
        <v>106400</v>
      </c>
      <c r="I526" s="4">
        <v>38686</v>
      </c>
      <c r="J526" s="5">
        <f t="shared" si="16"/>
        <v>-28</v>
      </c>
      <c r="K526" s="6" t="str">
        <f t="shared" si="17"/>
        <v>A~0</v>
      </c>
      <c r="L526" t="str">
        <f>IF(J526&lt;0,"A~0",VLOOKUP(J526,[1]作法V!$B$1:$C$9,2,TRUE))</f>
        <v>A~0</v>
      </c>
    </row>
    <row r="527" spans="1:12">
      <c r="A527">
        <v>1053</v>
      </c>
      <c r="B527" t="s">
        <v>21</v>
      </c>
      <c r="C527" s="3">
        <v>38583</v>
      </c>
      <c r="D527" s="3">
        <v>38714</v>
      </c>
      <c r="E527" t="s">
        <v>18</v>
      </c>
      <c r="F527">
        <v>1</v>
      </c>
      <c r="G527">
        <v>114610</v>
      </c>
      <c r="H527">
        <v>114610</v>
      </c>
      <c r="I527" s="4">
        <v>38686</v>
      </c>
      <c r="J527" s="5">
        <f t="shared" si="16"/>
        <v>-28</v>
      </c>
      <c r="K527" s="6" t="str">
        <f t="shared" si="17"/>
        <v>A~0</v>
      </c>
      <c r="L527" t="str">
        <f>IF(J527&lt;0,"A~0",VLOOKUP(J527,[1]作法V!$B$1:$C$9,2,TRUE))</f>
        <v>A~0</v>
      </c>
    </row>
    <row r="528" spans="1:12">
      <c r="A528">
        <v>1053</v>
      </c>
      <c r="B528" t="s">
        <v>21</v>
      </c>
      <c r="C528" s="3">
        <v>38583</v>
      </c>
      <c r="D528" s="3">
        <v>38714</v>
      </c>
      <c r="E528" t="s">
        <v>18</v>
      </c>
      <c r="F528">
        <v>1</v>
      </c>
      <c r="G528">
        <v>179071</v>
      </c>
      <c r="H528">
        <v>179071</v>
      </c>
      <c r="I528" s="4">
        <v>38686</v>
      </c>
      <c r="J528" s="5">
        <f t="shared" si="16"/>
        <v>-28</v>
      </c>
      <c r="K528" s="6" t="str">
        <f t="shared" si="17"/>
        <v>A~0</v>
      </c>
      <c r="L528" t="str">
        <f>IF(J528&lt;0,"A~0",VLOOKUP(J528,[1]作法V!$B$1:$C$9,2,TRUE))</f>
        <v>A~0</v>
      </c>
    </row>
    <row r="529" spans="1:12">
      <c r="A529">
        <v>1053</v>
      </c>
      <c r="B529" t="s">
        <v>21</v>
      </c>
      <c r="C529" s="3">
        <v>38583</v>
      </c>
      <c r="D529" s="3">
        <v>38714</v>
      </c>
      <c r="E529" t="s">
        <v>18</v>
      </c>
      <c r="F529">
        <v>1</v>
      </c>
      <c r="G529">
        <v>395136</v>
      </c>
      <c r="H529">
        <v>395136</v>
      </c>
      <c r="I529" s="4">
        <v>38686</v>
      </c>
      <c r="J529" s="5">
        <f t="shared" si="16"/>
        <v>-28</v>
      </c>
      <c r="K529" s="6" t="str">
        <f t="shared" si="17"/>
        <v>A~0</v>
      </c>
      <c r="L529" t="str">
        <f>IF(J529&lt;0,"A~0",VLOOKUP(J529,[1]作法V!$B$1:$C$9,2,TRUE))</f>
        <v>A~0</v>
      </c>
    </row>
    <row r="530" spans="1:12">
      <c r="A530">
        <v>1053</v>
      </c>
      <c r="B530" t="s">
        <v>21</v>
      </c>
      <c r="C530" s="3">
        <v>38586</v>
      </c>
      <c r="D530" s="3">
        <v>38714</v>
      </c>
      <c r="E530" t="s">
        <v>18</v>
      </c>
      <c r="F530">
        <v>1</v>
      </c>
      <c r="G530">
        <v>8388</v>
      </c>
      <c r="H530">
        <v>8388</v>
      </c>
      <c r="I530" s="4">
        <v>38686</v>
      </c>
      <c r="J530" s="5">
        <f t="shared" si="16"/>
        <v>-28</v>
      </c>
      <c r="K530" s="6" t="str">
        <f t="shared" si="17"/>
        <v>A~0</v>
      </c>
      <c r="L530" t="str">
        <f>IF(J530&lt;0,"A~0",VLOOKUP(J530,[1]作法V!$B$1:$C$9,2,TRUE))</f>
        <v>A~0</v>
      </c>
    </row>
    <row r="531" spans="1:12">
      <c r="A531">
        <v>1053</v>
      </c>
      <c r="B531" t="s">
        <v>21</v>
      </c>
      <c r="C531" s="3">
        <v>38586</v>
      </c>
      <c r="D531" s="3">
        <v>38714</v>
      </c>
      <c r="E531" t="s">
        <v>18</v>
      </c>
      <c r="F531">
        <v>1</v>
      </c>
      <c r="G531">
        <v>98012</v>
      </c>
      <c r="H531">
        <v>98012</v>
      </c>
      <c r="I531" s="4">
        <v>38686</v>
      </c>
      <c r="J531" s="5">
        <f t="shared" si="16"/>
        <v>-28</v>
      </c>
      <c r="K531" s="6" t="str">
        <f t="shared" si="17"/>
        <v>A~0</v>
      </c>
      <c r="L531" t="str">
        <f>IF(J531&lt;0,"A~0",VLOOKUP(J531,[1]作法V!$B$1:$C$9,2,TRUE))</f>
        <v>A~0</v>
      </c>
    </row>
    <row r="532" spans="1:12">
      <c r="A532">
        <v>1053</v>
      </c>
      <c r="B532" t="s">
        <v>21</v>
      </c>
      <c r="C532" s="3">
        <v>38586</v>
      </c>
      <c r="D532" s="3">
        <v>38714</v>
      </c>
      <c r="E532" t="s">
        <v>18</v>
      </c>
      <c r="F532">
        <v>1</v>
      </c>
      <c r="G532">
        <v>145824</v>
      </c>
      <c r="H532">
        <v>145824</v>
      </c>
      <c r="I532" s="4">
        <v>38686</v>
      </c>
      <c r="J532" s="5">
        <f t="shared" si="16"/>
        <v>-28</v>
      </c>
      <c r="K532" s="6" t="str">
        <f t="shared" si="17"/>
        <v>A~0</v>
      </c>
      <c r="L532" t="str">
        <f>IF(J532&lt;0,"A~0",VLOOKUP(J532,[1]作法V!$B$1:$C$9,2,TRUE))</f>
        <v>A~0</v>
      </c>
    </row>
    <row r="533" spans="1:12">
      <c r="A533">
        <v>1053</v>
      </c>
      <c r="B533" t="s">
        <v>21</v>
      </c>
      <c r="C533" s="3">
        <v>38586</v>
      </c>
      <c r="D533" s="3">
        <v>38714</v>
      </c>
      <c r="E533" t="s">
        <v>18</v>
      </c>
      <c r="F533">
        <v>1</v>
      </c>
      <c r="G533">
        <v>395136</v>
      </c>
      <c r="H533">
        <v>395136</v>
      </c>
      <c r="I533" s="4">
        <v>38686</v>
      </c>
      <c r="J533" s="5">
        <f t="shared" si="16"/>
        <v>-28</v>
      </c>
      <c r="K533" s="6" t="str">
        <f t="shared" si="17"/>
        <v>A~0</v>
      </c>
      <c r="L533" t="str">
        <f>IF(J533&lt;0,"A~0",VLOOKUP(J533,[1]作法V!$B$1:$C$9,2,TRUE))</f>
        <v>A~0</v>
      </c>
    </row>
    <row r="534" spans="1:12">
      <c r="A534">
        <v>1053</v>
      </c>
      <c r="B534" t="s">
        <v>21</v>
      </c>
      <c r="C534" s="3">
        <v>38586</v>
      </c>
      <c r="D534" s="3">
        <v>38714</v>
      </c>
      <c r="E534" t="s">
        <v>18</v>
      </c>
      <c r="F534">
        <v>1</v>
      </c>
      <c r="G534">
        <v>107196</v>
      </c>
      <c r="H534">
        <v>107196</v>
      </c>
      <c r="I534" s="4">
        <v>38686</v>
      </c>
      <c r="J534" s="5">
        <f t="shared" si="16"/>
        <v>-28</v>
      </c>
      <c r="K534" s="6" t="str">
        <f t="shared" si="17"/>
        <v>A~0</v>
      </c>
      <c r="L534" t="str">
        <f>IF(J534&lt;0,"A~0",VLOOKUP(J534,[1]作法V!$B$1:$C$9,2,TRUE))</f>
        <v>A~0</v>
      </c>
    </row>
    <row r="535" spans="1:12">
      <c r="A535">
        <v>1053</v>
      </c>
      <c r="B535" t="s">
        <v>21</v>
      </c>
      <c r="C535" s="3">
        <v>38586</v>
      </c>
      <c r="D535" s="3">
        <v>38714</v>
      </c>
      <c r="E535" t="s">
        <v>18</v>
      </c>
      <c r="F535">
        <v>1</v>
      </c>
      <c r="G535">
        <v>18874</v>
      </c>
      <c r="H535">
        <v>18874</v>
      </c>
      <c r="I535" s="4">
        <v>38686</v>
      </c>
      <c r="J535" s="5">
        <f t="shared" si="16"/>
        <v>-28</v>
      </c>
      <c r="K535" s="6" t="str">
        <f t="shared" si="17"/>
        <v>A~0</v>
      </c>
      <c r="L535" t="str">
        <f>IF(J535&lt;0,"A~0",VLOOKUP(J535,[1]作法V!$B$1:$C$9,2,TRUE))</f>
        <v>A~0</v>
      </c>
    </row>
    <row r="536" spans="1:12">
      <c r="A536">
        <v>1053</v>
      </c>
      <c r="B536" t="s">
        <v>21</v>
      </c>
      <c r="C536" s="3">
        <v>38588</v>
      </c>
      <c r="D536" s="3">
        <v>38714</v>
      </c>
      <c r="E536" t="s">
        <v>18</v>
      </c>
      <c r="F536">
        <v>1</v>
      </c>
      <c r="G536">
        <v>5379</v>
      </c>
      <c r="H536">
        <v>5379</v>
      </c>
      <c r="I536" s="4">
        <v>38686</v>
      </c>
      <c r="J536" s="5">
        <f t="shared" si="16"/>
        <v>-28</v>
      </c>
      <c r="K536" s="6" t="str">
        <f t="shared" si="17"/>
        <v>A~0</v>
      </c>
      <c r="L536" t="str">
        <f>IF(J536&lt;0,"A~0",VLOOKUP(J536,[1]作法V!$B$1:$C$9,2,TRUE))</f>
        <v>A~0</v>
      </c>
    </row>
    <row r="537" spans="1:12">
      <c r="A537">
        <v>1053</v>
      </c>
      <c r="B537" t="s">
        <v>21</v>
      </c>
      <c r="C537" s="3">
        <v>38588</v>
      </c>
      <c r="D537" s="3">
        <v>38714</v>
      </c>
      <c r="E537" t="s">
        <v>18</v>
      </c>
      <c r="F537">
        <v>1</v>
      </c>
      <c r="G537">
        <v>127621</v>
      </c>
      <c r="H537">
        <v>127621</v>
      </c>
      <c r="I537" s="4">
        <v>38686</v>
      </c>
      <c r="J537" s="5">
        <f t="shared" si="16"/>
        <v>-28</v>
      </c>
      <c r="K537" s="6" t="str">
        <f t="shared" si="17"/>
        <v>A~0</v>
      </c>
      <c r="L537" t="str">
        <f>IF(J537&lt;0,"A~0",VLOOKUP(J537,[1]作法V!$B$1:$C$9,2,TRUE))</f>
        <v>A~0</v>
      </c>
    </row>
    <row r="538" spans="1:12">
      <c r="A538">
        <v>1053</v>
      </c>
      <c r="B538" t="s">
        <v>21</v>
      </c>
      <c r="C538" s="3">
        <v>38588</v>
      </c>
      <c r="D538" s="3">
        <v>38714</v>
      </c>
      <c r="E538" t="s">
        <v>18</v>
      </c>
      <c r="F538">
        <v>1</v>
      </c>
      <c r="G538">
        <v>247901</v>
      </c>
      <c r="H538">
        <v>247901</v>
      </c>
      <c r="I538" s="4">
        <v>38686</v>
      </c>
      <c r="J538" s="5">
        <f t="shared" si="16"/>
        <v>-28</v>
      </c>
      <c r="K538" s="6" t="str">
        <f t="shared" si="17"/>
        <v>A~0</v>
      </c>
      <c r="L538" t="str">
        <f>IF(J538&lt;0,"A~0",VLOOKUP(J538,[1]作法V!$B$1:$C$9,2,TRUE))</f>
        <v>A~0</v>
      </c>
    </row>
    <row r="539" spans="1:12">
      <c r="A539">
        <v>1053</v>
      </c>
      <c r="B539" t="s">
        <v>21</v>
      </c>
      <c r="C539" s="3">
        <v>38588</v>
      </c>
      <c r="D539" s="3">
        <v>38714</v>
      </c>
      <c r="E539" t="s">
        <v>18</v>
      </c>
      <c r="F539">
        <v>1</v>
      </c>
      <c r="G539">
        <v>82113</v>
      </c>
      <c r="H539">
        <v>82113</v>
      </c>
      <c r="I539" s="4">
        <v>38686</v>
      </c>
      <c r="J539" s="5">
        <f t="shared" si="16"/>
        <v>-28</v>
      </c>
      <c r="K539" s="6" t="str">
        <f t="shared" si="17"/>
        <v>A~0</v>
      </c>
      <c r="L539" t="str">
        <f>IF(J539&lt;0,"A~0",VLOOKUP(J539,[1]作法V!$B$1:$C$9,2,TRUE))</f>
        <v>A~0</v>
      </c>
    </row>
    <row r="540" spans="1:12">
      <c r="A540">
        <v>1053</v>
      </c>
      <c r="B540" t="s">
        <v>21</v>
      </c>
      <c r="C540" s="3">
        <v>38588</v>
      </c>
      <c r="D540" s="3">
        <v>38714</v>
      </c>
      <c r="E540" t="s">
        <v>18</v>
      </c>
      <c r="F540">
        <v>1</v>
      </c>
      <c r="G540">
        <v>4556</v>
      </c>
      <c r="H540">
        <v>4556</v>
      </c>
      <c r="I540" s="4">
        <v>38686</v>
      </c>
      <c r="J540" s="5">
        <f t="shared" si="16"/>
        <v>-28</v>
      </c>
      <c r="K540" s="6" t="str">
        <f t="shared" si="17"/>
        <v>A~0</v>
      </c>
      <c r="L540" t="str">
        <f>IF(J540&lt;0,"A~0",VLOOKUP(J540,[1]作法V!$B$1:$C$9,2,TRUE))</f>
        <v>A~0</v>
      </c>
    </row>
    <row r="541" spans="1:12">
      <c r="A541">
        <v>1053</v>
      </c>
      <c r="B541" t="s">
        <v>21</v>
      </c>
      <c r="C541" s="3">
        <v>38588</v>
      </c>
      <c r="D541" s="3">
        <v>38714</v>
      </c>
      <c r="E541" t="s">
        <v>18</v>
      </c>
      <c r="F541">
        <v>1</v>
      </c>
      <c r="G541">
        <v>49434</v>
      </c>
      <c r="H541">
        <v>49434</v>
      </c>
      <c r="I541" s="4">
        <v>38686</v>
      </c>
      <c r="J541" s="5">
        <f t="shared" si="16"/>
        <v>-28</v>
      </c>
      <c r="K541" s="6" t="str">
        <f t="shared" si="17"/>
        <v>A~0</v>
      </c>
      <c r="L541" t="str">
        <f>IF(J541&lt;0,"A~0",VLOOKUP(J541,[1]作法V!$B$1:$C$9,2,TRUE))</f>
        <v>A~0</v>
      </c>
    </row>
    <row r="542" spans="1:12">
      <c r="A542">
        <v>1053</v>
      </c>
      <c r="B542" t="s">
        <v>21</v>
      </c>
      <c r="C542" s="3">
        <v>38588</v>
      </c>
      <c r="D542" s="3">
        <v>38714</v>
      </c>
      <c r="E542" t="s">
        <v>18</v>
      </c>
      <c r="F542">
        <v>1</v>
      </c>
      <c r="G542">
        <v>133000</v>
      </c>
      <c r="H542">
        <v>133000</v>
      </c>
      <c r="I542" s="4">
        <v>38686</v>
      </c>
      <c r="J542" s="5">
        <f t="shared" si="16"/>
        <v>-28</v>
      </c>
      <c r="K542" s="6" t="str">
        <f t="shared" si="17"/>
        <v>A~0</v>
      </c>
      <c r="L542" t="str">
        <f>IF(J542&lt;0,"A~0",VLOOKUP(J542,[1]作法V!$B$1:$C$9,2,TRUE))</f>
        <v>A~0</v>
      </c>
    </row>
    <row r="543" spans="1:12">
      <c r="A543">
        <v>1053</v>
      </c>
      <c r="B543" t="s">
        <v>21</v>
      </c>
      <c r="C543" s="3">
        <v>38588</v>
      </c>
      <c r="D543" s="3">
        <v>38714</v>
      </c>
      <c r="E543" t="s">
        <v>18</v>
      </c>
      <c r="F543">
        <v>1</v>
      </c>
      <c r="G543">
        <v>11321</v>
      </c>
      <c r="H543">
        <v>11321</v>
      </c>
      <c r="I543" s="4">
        <v>38686</v>
      </c>
      <c r="J543" s="5">
        <f t="shared" si="16"/>
        <v>-28</v>
      </c>
      <c r="K543" s="6" t="str">
        <f t="shared" si="17"/>
        <v>A~0</v>
      </c>
      <c r="L543" t="str">
        <f>IF(J543&lt;0,"A~0",VLOOKUP(J543,[1]作法V!$B$1:$C$9,2,TRUE))</f>
        <v>A~0</v>
      </c>
    </row>
    <row r="544" spans="1:12">
      <c r="A544">
        <v>1053</v>
      </c>
      <c r="B544" t="s">
        <v>21</v>
      </c>
      <c r="C544" s="3">
        <v>38588</v>
      </c>
      <c r="D544" s="3">
        <v>38714</v>
      </c>
      <c r="E544" t="s">
        <v>18</v>
      </c>
      <c r="F544">
        <v>1</v>
      </c>
      <c r="G544">
        <v>48450</v>
      </c>
      <c r="H544">
        <v>48450</v>
      </c>
      <c r="I544" s="4">
        <v>38686</v>
      </c>
      <c r="J544" s="5">
        <f t="shared" si="16"/>
        <v>-28</v>
      </c>
      <c r="K544" s="6" t="str">
        <f t="shared" si="17"/>
        <v>A~0</v>
      </c>
      <c r="L544" t="str">
        <f>IF(J544&lt;0,"A~0",VLOOKUP(J544,[1]作法V!$B$1:$C$9,2,TRUE))</f>
        <v>A~0</v>
      </c>
    </row>
    <row r="545" spans="1:12">
      <c r="A545">
        <v>1053</v>
      </c>
      <c r="B545" t="s">
        <v>21</v>
      </c>
      <c r="C545" s="3">
        <v>38588</v>
      </c>
      <c r="D545" s="3">
        <v>38714</v>
      </c>
      <c r="E545" t="s">
        <v>18</v>
      </c>
      <c r="F545">
        <v>1</v>
      </c>
      <c r="G545">
        <v>61367</v>
      </c>
      <c r="H545">
        <v>61367</v>
      </c>
      <c r="I545" s="4">
        <v>38686</v>
      </c>
      <c r="J545" s="5">
        <f t="shared" si="16"/>
        <v>-28</v>
      </c>
      <c r="K545" s="6" t="str">
        <f t="shared" si="17"/>
        <v>A~0</v>
      </c>
      <c r="L545" t="str">
        <f>IF(J545&lt;0,"A~0",VLOOKUP(J545,[1]作法V!$B$1:$C$9,2,TRUE))</f>
        <v>A~0</v>
      </c>
    </row>
    <row r="546" spans="1:12">
      <c r="A546">
        <v>1053</v>
      </c>
      <c r="B546" t="s">
        <v>21</v>
      </c>
      <c r="C546" s="3">
        <v>38588</v>
      </c>
      <c r="D546" s="3">
        <v>38714</v>
      </c>
      <c r="E546" t="s">
        <v>18</v>
      </c>
      <c r="F546">
        <v>1</v>
      </c>
      <c r="G546">
        <v>83980</v>
      </c>
      <c r="H546">
        <v>83980</v>
      </c>
      <c r="I546" s="4">
        <v>38686</v>
      </c>
      <c r="J546" s="5">
        <f t="shared" si="16"/>
        <v>-28</v>
      </c>
      <c r="K546" s="6" t="str">
        <f t="shared" si="17"/>
        <v>A~0</v>
      </c>
      <c r="L546" t="str">
        <f>IF(J546&lt;0,"A~0",VLOOKUP(J546,[1]作法V!$B$1:$C$9,2,TRUE))</f>
        <v>A~0</v>
      </c>
    </row>
    <row r="547" spans="1:12">
      <c r="A547">
        <v>1053</v>
      </c>
      <c r="B547" t="s">
        <v>21</v>
      </c>
      <c r="C547" s="3">
        <v>38588</v>
      </c>
      <c r="D547" s="3">
        <v>38714</v>
      </c>
      <c r="E547" t="s">
        <v>18</v>
      </c>
      <c r="F547">
        <v>1</v>
      </c>
      <c r="G547">
        <v>63627</v>
      </c>
      <c r="H547">
        <v>63627</v>
      </c>
      <c r="I547" s="4">
        <v>38686</v>
      </c>
      <c r="J547" s="5">
        <f t="shared" si="16"/>
        <v>-28</v>
      </c>
      <c r="K547" s="6" t="str">
        <f t="shared" si="17"/>
        <v>A~0</v>
      </c>
      <c r="L547" t="str">
        <f>IF(J547&lt;0,"A~0",VLOOKUP(J547,[1]作法V!$B$1:$C$9,2,TRUE))</f>
        <v>A~0</v>
      </c>
    </row>
    <row r="548" spans="1:12">
      <c r="A548">
        <v>1053</v>
      </c>
      <c r="B548" t="s">
        <v>21</v>
      </c>
      <c r="C548" s="3">
        <v>38588</v>
      </c>
      <c r="D548" s="3">
        <v>38714</v>
      </c>
      <c r="E548" t="s">
        <v>18</v>
      </c>
      <c r="F548">
        <v>1</v>
      </c>
      <c r="G548">
        <v>177054</v>
      </c>
      <c r="H548">
        <v>177054</v>
      </c>
      <c r="I548" s="4">
        <v>38686</v>
      </c>
      <c r="J548" s="5">
        <f t="shared" si="16"/>
        <v>-28</v>
      </c>
      <c r="K548" s="6" t="str">
        <f t="shared" si="17"/>
        <v>A~0</v>
      </c>
      <c r="L548" t="str">
        <f>IF(J548&lt;0,"A~0",VLOOKUP(J548,[1]作法V!$B$1:$C$9,2,TRUE))</f>
        <v>A~0</v>
      </c>
    </row>
    <row r="549" spans="1:12">
      <c r="A549">
        <v>1053</v>
      </c>
      <c r="B549" t="s">
        <v>21</v>
      </c>
      <c r="C549" s="3">
        <v>38588</v>
      </c>
      <c r="D549" s="3">
        <v>38714</v>
      </c>
      <c r="E549" t="s">
        <v>18</v>
      </c>
      <c r="F549">
        <v>1</v>
      </c>
      <c r="G549">
        <v>314149</v>
      </c>
      <c r="H549">
        <v>314149</v>
      </c>
      <c r="I549" s="4">
        <v>38686</v>
      </c>
      <c r="J549" s="5">
        <f t="shared" si="16"/>
        <v>-28</v>
      </c>
      <c r="K549" s="6" t="str">
        <f t="shared" si="17"/>
        <v>A~0</v>
      </c>
      <c r="L549" t="str">
        <f>IF(J549&lt;0,"A~0",VLOOKUP(J549,[1]作法V!$B$1:$C$9,2,TRUE))</f>
        <v>A~0</v>
      </c>
    </row>
    <row r="550" spans="1:12">
      <c r="A550">
        <v>1053</v>
      </c>
      <c r="B550" t="s">
        <v>21</v>
      </c>
      <c r="C550" s="3">
        <v>38588</v>
      </c>
      <c r="D550" s="3">
        <v>38714</v>
      </c>
      <c r="E550" t="s">
        <v>18</v>
      </c>
      <c r="F550">
        <v>1</v>
      </c>
      <c r="G550">
        <v>160014</v>
      </c>
      <c r="H550">
        <v>160014</v>
      </c>
      <c r="I550" s="4">
        <v>38686</v>
      </c>
      <c r="J550" s="5">
        <f t="shared" si="16"/>
        <v>-28</v>
      </c>
      <c r="K550" s="6" t="str">
        <f t="shared" si="17"/>
        <v>A~0</v>
      </c>
      <c r="L550" t="str">
        <f>IF(J550&lt;0,"A~0",VLOOKUP(J550,[1]作法V!$B$1:$C$9,2,TRUE))</f>
        <v>A~0</v>
      </c>
    </row>
    <row r="551" spans="1:12">
      <c r="A551">
        <v>1053</v>
      </c>
      <c r="B551" t="s">
        <v>21</v>
      </c>
      <c r="C551" s="3">
        <v>38588</v>
      </c>
      <c r="D551" s="3">
        <v>38714</v>
      </c>
      <c r="E551" t="s">
        <v>17</v>
      </c>
      <c r="F551">
        <v>31.905000000000001</v>
      </c>
      <c r="G551">
        <v>576</v>
      </c>
      <c r="H551">
        <v>18377</v>
      </c>
      <c r="I551" s="4">
        <v>38686</v>
      </c>
      <c r="J551" s="5">
        <f t="shared" si="16"/>
        <v>-28</v>
      </c>
      <c r="K551" s="6" t="str">
        <f t="shared" si="17"/>
        <v>A~0</v>
      </c>
      <c r="L551" t="str">
        <f>IF(J551&lt;0,"A~0",VLOOKUP(J551,[1]作法V!$B$1:$C$9,2,TRUE))</f>
        <v>A~0</v>
      </c>
    </row>
    <row r="552" spans="1:12">
      <c r="A552">
        <v>1053</v>
      </c>
      <c r="B552" t="s">
        <v>21</v>
      </c>
      <c r="C552" s="3">
        <v>38588</v>
      </c>
      <c r="D552" s="3">
        <v>38714</v>
      </c>
      <c r="E552" t="s">
        <v>17</v>
      </c>
      <c r="F552">
        <v>31.905000000000001</v>
      </c>
      <c r="G552">
        <v>340.48</v>
      </c>
      <c r="H552">
        <v>10863</v>
      </c>
      <c r="I552" s="4">
        <v>38686</v>
      </c>
      <c r="J552" s="5">
        <f t="shared" si="16"/>
        <v>-28</v>
      </c>
      <c r="K552" s="6" t="str">
        <f t="shared" si="17"/>
        <v>A~0</v>
      </c>
      <c r="L552" t="str">
        <f>IF(J552&lt;0,"A~0",VLOOKUP(J552,[1]作法V!$B$1:$C$9,2,TRUE))</f>
        <v>A~0</v>
      </c>
    </row>
    <row r="553" spans="1:12">
      <c r="A553">
        <v>1053</v>
      </c>
      <c r="B553" t="s">
        <v>21</v>
      </c>
      <c r="C553" s="3">
        <v>38588</v>
      </c>
      <c r="D553" s="3">
        <v>38714</v>
      </c>
      <c r="E553" t="s">
        <v>17</v>
      </c>
      <c r="F553">
        <v>31.905000000000001</v>
      </c>
      <c r="G553">
        <v>38</v>
      </c>
      <c r="H553">
        <v>1212</v>
      </c>
      <c r="I553" s="4">
        <v>38686</v>
      </c>
      <c r="J553" s="5">
        <f t="shared" si="16"/>
        <v>-28</v>
      </c>
      <c r="K553" s="6" t="str">
        <f t="shared" si="17"/>
        <v>A~0</v>
      </c>
      <c r="L553" t="str">
        <f>IF(J553&lt;0,"A~0",VLOOKUP(J553,[1]作法V!$B$1:$C$9,2,TRUE))</f>
        <v>A~0</v>
      </c>
    </row>
    <row r="554" spans="1:12">
      <c r="A554">
        <v>1053</v>
      </c>
      <c r="B554" t="s">
        <v>21</v>
      </c>
      <c r="C554" s="3">
        <v>38588</v>
      </c>
      <c r="D554" s="3">
        <v>38714</v>
      </c>
      <c r="E554" t="s">
        <v>17</v>
      </c>
      <c r="F554">
        <v>31.905000000000001</v>
      </c>
      <c r="G554">
        <v>95.88</v>
      </c>
      <c r="H554">
        <v>3059</v>
      </c>
      <c r="I554" s="4">
        <v>38686</v>
      </c>
      <c r="J554" s="5">
        <f t="shared" si="16"/>
        <v>-28</v>
      </c>
      <c r="K554" s="6" t="str">
        <f t="shared" si="17"/>
        <v>A~0</v>
      </c>
      <c r="L554" t="str">
        <f>IF(J554&lt;0,"A~0",VLOOKUP(J554,[1]作法V!$B$1:$C$9,2,TRUE))</f>
        <v>A~0</v>
      </c>
    </row>
    <row r="555" spans="1:12">
      <c r="A555">
        <v>1053</v>
      </c>
      <c r="B555" t="s">
        <v>21</v>
      </c>
      <c r="C555" s="3">
        <v>38588</v>
      </c>
      <c r="D555" s="3">
        <v>38714</v>
      </c>
      <c r="E555" t="s">
        <v>17</v>
      </c>
      <c r="F555">
        <v>31.905000000000001</v>
      </c>
      <c r="G555">
        <v>10450.84</v>
      </c>
      <c r="H555">
        <v>333434</v>
      </c>
      <c r="I555" s="4">
        <v>38686</v>
      </c>
      <c r="J555" s="5">
        <f t="shared" si="16"/>
        <v>-28</v>
      </c>
      <c r="K555" s="6" t="str">
        <f t="shared" si="17"/>
        <v>A~0</v>
      </c>
      <c r="L555" t="str">
        <f>IF(J555&lt;0,"A~0",VLOOKUP(J555,[1]作法V!$B$1:$C$9,2,TRUE))</f>
        <v>A~0</v>
      </c>
    </row>
    <row r="556" spans="1:12">
      <c r="A556">
        <v>1053</v>
      </c>
      <c r="B556" t="s">
        <v>21</v>
      </c>
      <c r="C556" s="3">
        <v>38588</v>
      </c>
      <c r="D556" s="3">
        <v>38714</v>
      </c>
      <c r="E556" t="s">
        <v>17</v>
      </c>
      <c r="F556">
        <v>31.905000000000001</v>
      </c>
      <c r="G556">
        <v>1580</v>
      </c>
      <c r="H556">
        <v>50410</v>
      </c>
      <c r="I556" s="4">
        <v>38686</v>
      </c>
      <c r="J556" s="5">
        <f t="shared" si="16"/>
        <v>-28</v>
      </c>
      <c r="K556" s="6" t="str">
        <f t="shared" si="17"/>
        <v>A~0</v>
      </c>
      <c r="L556" t="str">
        <f>IF(J556&lt;0,"A~0",VLOOKUP(J556,[1]作法V!$B$1:$C$9,2,TRUE))</f>
        <v>A~0</v>
      </c>
    </row>
    <row r="557" spans="1:12">
      <c r="A557">
        <v>1053</v>
      </c>
      <c r="B557" t="s">
        <v>21</v>
      </c>
      <c r="C557" s="3">
        <v>38588</v>
      </c>
      <c r="D557" s="3">
        <v>38714</v>
      </c>
      <c r="E557" t="s">
        <v>17</v>
      </c>
      <c r="F557">
        <v>31.905000000000001</v>
      </c>
      <c r="G557">
        <v>104.21</v>
      </c>
      <c r="H557">
        <v>3325</v>
      </c>
      <c r="I557" s="4">
        <v>38686</v>
      </c>
      <c r="J557" s="5">
        <f t="shared" si="16"/>
        <v>-28</v>
      </c>
      <c r="K557" s="6" t="str">
        <f t="shared" si="17"/>
        <v>A~0</v>
      </c>
      <c r="L557" t="str">
        <f>IF(J557&lt;0,"A~0",VLOOKUP(J557,[1]作法V!$B$1:$C$9,2,TRUE))</f>
        <v>A~0</v>
      </c>
    </row>
    <row r="558" spans="1:12">
      <c r="A558">
        <v>1053</v>
      </c>
      <c r="B558" t="s">
        <v>21</v>
      </c>
      <c r="C558" s="3">
        <v>38588</v>
      </c>
      <c r="D558" s="3">
        <v>38714</v>
      </c>
      <c r="E558" t="s">
        <v>17</v>
      </c>
      <c r="F558">
        <v>31.905000000000001</v>
      </c>
      <c r="G558">
        <v>200.49</v>
      </c>
      <c r="H558">
        <v>6397</v>
      </c>
      <c r="I558" s="4">
        <v>38686</v>
      </c>
      <c r="J558" s="5">
        <f t="shared" si="16"/>
        <v>-28</v>
      </c>
      <c r="K558" s="6" t="str">
        <f t="shared" si="17"/>
        <v>A~0</v>
      </c>
      <c r="L558" t="str">
        <f>IF(J558&lt;0,"A~0",VLOOKUP(J558,[1]作法V!$B$1:$C$9,2,TRUE))</f>
        <v>A~0</v>
      </c>
    </row>
    <row r="559" spans="1:12">
      <c r="A559">
        <v>1053</v>
      </c>
      <c r="B559" t="s">
        <v>21</v>
      </c>
      <c r="C559" s="3">
        <v>38588</v>
      </c>
      <c r="D559" s="3">
        <v>38714</v>
      </c>
      <c r="E559" t="s">
        <v>17</v>
      </c>
      <c r="F559">
        <v>31.905000000000001</v>
      </c>
      <c r="G559">
        <v>529.29999999999995</v>
      </c>
      <c r="H559">
        <v>16887</v>
      </c>
      <c r="I559" s="4">
        <v>38686</v>
      </c>
      <c r="J559" s="5">
        <f t="shared" si="16"/>
        <v>-28</v>
      </c>
      <c r="K559" s="6" t="str">
        <f t="shared" si="17"/>
        <v>A~0</v>
      </c>
      <c r="L559" t="str">
        <f>IF(J559&lt;0,"A~0",VLOOKUP(J559,[1]作法V!$B$1:$C$9,2,TRUE))</f>
        <v>A~0</v>
      </c>
    </row>
    <row r="560" spans="1:12">
      <c r="A560">
        <v>1053</v>
      </c>
      <c r="B560" t="s">
        <v>21</v>
      </c>
      <c r="C560" s="3">
        <v>38588</v>
      </c>
      <c r="D560" s="3">
        <v>38714</v>
      </c>
      <c r="E560" t="s">
        <v>17</v>
      </c>
      <c r="F560">
        <v>31.905000000000001</v>
      </c>
      <c r="G560">
        <v>344.64</v>
      </c>
      <c r="H560">
        <v>10996</v>
      </c>
      <c r="I560" s="4">
        <v>38686</v>
      </c>
      <c r="J560" s="5">
        <f t="shared" si="16"/>
        <v>-28</v>
      </c>
      <c r="K560" s="6" t="str">
        <f t="shared" si="17"/>
        <v>A~0</v>
      </c>
      <c r="L560" t="str">
        <f>IF(J560&lt;0,"A~0",VLOOKUP(J560,[1]作法V!$B$1:$C$9,2,TRUE))</f>
        <v>A~0</v>
      </c>
    </row>
    <row r="561" spans="1:12">
      <c r="A561">
        <v>1053</v>
      </c>
      <c r="B561" t="s">
        <v>21</v>
      </c>
      <c r="C561" s="3">
        <v>38588</v>
      </c>
      <c r="D561" s="3">
        <v>38714</v>
      </c>
      <c r="E561" t="s">
        <v>17</v>
      </c>
      <c r="F561">
        <v>31.905000000000001</v>
      </c>
      <c r="G561">
        <v>1472.08</v>
      </c>
      <c r="H561">
        <v>46967</v>
      </c>
      <c r="I561" s="4">
        <v>38686</v>
      </c>
      <c r="J561" s="5">
        <f t="shared" si="16"/>
        <v>-28</v>
      </c>
      <c r="K561" s="6" t="str">
        <f t="shared" si="17"/>
        <v>A~0</v>
      </c>
      <c r="L561" t="str">
        <f>IF(J561&lt;0,"A~0",VLOOKUP(J561,[1]作法V!$B$1:$C$9,2,TRUE))</f>
        <v>A~0</v>
      </c>
    </row>
    <row r="562" spans="1:12">
      <c r="A562">
        <v>1053</v>
      </c>
      <c r="B562" t="s">
        <v>21</v>
      </c>
      <c r="C562" s="3">
        <v>38588</v>
      </c>
      <c r="D562" s="3">
        <v>38714</v>
      </c>
      <c r="E562" t="s">
        <v>17</v>
      </c>
      <c r="F562">
        <v>31.905000000000001</v>
      </c>
      <c r="G562">
        <v>17.48</v>
      </c>
      <c r="H562">
        <v>558</v>
      </c>
      <c r="I562" s="4">
        <v>38686</v>
      </c>
      <c r="J562" s="5">
        <f t="shared" si="16"/>
        <v>-28</v>
      </c>
      <c r="K562" s="6" t="str">
        <f t="shared" si="17"/>
        <v>A~0</v>
      </c>
      <c r="L562" t="str">
        <f>IF(J562&lt;0,"A~0",VLOOKUP(J562,[1]作法V!$B$1:$C$9,2,TRUE))</f>
        <v>A~0</v>
      </c>
    </row>
    <row r="563" spans="1:12">
      <c r="A563">
        <v>1053</v>
      </c>
      <c r="B563" t="s">
        <v>21</v>
      </c>
      <c r="C563" s="3">
        <v>38588</v>
      </c>
      <c r="D563" s="3">
        <v>38714</v>
      </c>
      <c r="E563" t="s">
        <v>17</v>
      </c>
      <c r="F563">
        <v>31.905000000000001</v>
      </c>
      <c r="G563">
        <v>780.52</v>
      </c>
      <c r="H563">
        <v>24902</v>
      </c>
      <c r="I563" s="4">
        <v>38686</v>
      </c>
      <c r="J563" s="5">
        <f t="shared" si="16"/>
        <v>-28</v>
      </c>
      <c r="K563" s="6" t="str">
        <f t="shared" si="17"/>
        <v>A~0</v>
      </c>
      <c r="L563" t="str">
        <f>IF(J563&lt;0,"A~0",VLOOKUP(J563,[1]作法V!$B$1:$C$9,2,TRUE))</f>
        <v>A~0</v>
      </c>
    </row>
    <row r="564" spans="1:12">
      <c r="A564">
        <v>1053</v>
      </c>
      <c r="B564" t="s">
        <v>21</v>
      </c>
      <c r="C564" s="3">
        <v>38588</v>
      </c>
      <c r="D564" s="3">
        <v>38714</v>
      </c>
      <c r="E564" t="s">
        <v>17</v>
      </c>
      <c r="F564">
        <v>31.905000000000001</v>
      </c>
      <c r="G564">
        <v>140.66999999999999</v>
      </c>
      <c r="H564">
        <v>4488</v>
      </c>
      <c r="I564" s="4">
        <v>38686</v>
      </c>
      <c r="J564" s="5">
        <f t="shared" si="16"/>
        <v>-28</v>
      </c>
      <c r="K564" s="6" t="str">
        <f t="shared" si="17"/>
        <v>A~0</v>
      </c>
      <c r="L564" t="str">
        <f>IF(J564&lt;0,"A~0",VLOOKUP(J564,[1]作法V!$B$1:$C$9,2,TRUE))</f>
        <v>A~0</v>
      </c>
    </row>
    <row r="565" spans="1:12">
      <c r="A565">
        <v>1053</v>
      </c>
      <c r="B565" t="s">
        <v>21</v>
      </c>
      <c r="C565" s="3">
        <v>38589</v>
      </c>
      <c r="D565" s="3">
        <v>38745</v>
      </c>
      <c r="E565" t="s">
        <v>18</v>
      </c>
      <c r="F565">
        <v>1</v>
      </c>
      <c r="G565">
        <v>301370</v>
      </c>
      <c r="H565">
        <v>301370</v>
      </c>
      <c r="I565" s="4">
        <v>38686</v>
      </c>
      <c r="J565" s="5">
        <f t="shared" si="16"/>
        <v>-59</v>
      </c>
      <c r="K565" s="6" t="str">
        <f t="shared" si="17"/>
        <v>A~0</v>
      </c>
      <c r="L565" t="str">
        <f>IF(J565&lt;0,"A~0",VLOOKUP(J565,[1]作法V!$B$1:$C$9,2,TRUE))</f>
        <v>A~0</v>
      </c>
    </row>
    <row r="566" spans="1:12">
      <c r="A566">
        <v>1053</v>
      </c>
      <c r="B566" t="s">
        <v>21</v>
      </c>
      <c r="C566" s="3">
        <v>38589</v>
      </c>
      <c r="D566" s="3">
        <v>38745</v>
      </c>
      <c r="E566" t="s">
        <v>18</v>
      </c>
      <c r="F566">
        <v>1</v>
      </c>
      <c r="G566">
        <v>31979</v>
      </c>
      <c r="H566">
        <v>31979</v>
      </c>
      <c r="I566" s="4">
        <v>38686</v>
      </c>
      <c r="J566" s="5">
        <f t="shared" si="16"/>
        <v>-59</v>
      </c>
      <c r="K566" s="6" t="str">
        <f t="shared" si="17"/>
        <v>A~0</v>
      </c>
      <c r="L566" t="str">
        <f>IF(J566&lt;0,"A~0",VLOOKUP(J566,[1]作法V!$B$1:$C$9,2,TRUE))</f>
        <v>A~0</v>
      </c>
    </row>
    <row r="567" spans="1:12">
      <c r="A567">
        <v>1053</v>
      </c>
      <c r="B567" t="s">
        <v>21</v>
      </c>
      <c r="C567" s="3">
        <v>38589</v>
      </c>
      <c r="D567" s="3">
        <v>38745</v>
      </c>
      <c r="E567" t="s">
        <v>18</v>
      </c>
      <c r="F567">
        <v>1</v>
      </c>
      <c r="G567">
        <v>101021</v>
      </c>
      <c r="H567">
        <v>101021</v>
      </c>
      <c r="I567" s="4">
        <v>38686</v>
      </c>
      <c r="J567" s="5">
        <f t="shared" si="16"/>
        <v>-59</v>
      </c>
      <c r="K567" s="6" t="str">
        <f t="shared" si="17"/>
        <v>A~0</v>
      </c>
      <c r="L567" t="str">
        <f>IF(J567&lt;0,"A~0",VLOOKUP(J567,[1]作法V!$B$1:$C$9,2,TRUE))</f>
        <v>A~0</v>
      </c>
    </row>
    <row r="568" spans="1:12">
      <c r="A568">
        <v>1053</v>
      </c>
      <c r="B568" t="s">
        <v>21</v>
      </c>
      <c r="C568" s="3">
        <v>38590</v>
      </c>
      <c r="D568" s="3">
        <v>38745</v>
      </c>
      <c r="E568" t="s">
        <v>18</v>
      </c>
      <c r="F568">
        <v>1</v>
      </c>
      <c r="G568">
        <v>137532</v>
      </c>
      <c r="H568">
        <v>137532</v>
      </c>
      <c r="I568" s="4">
        <v>38686</v>
      </c>
      <c r="J568" s="5">
        <f t="shared" si="16"/>
        <v>-59</v>
      </c>
      <c r="K568" s="6" t="str">
        <f t="shared" si="17"/>
        <v>A~0</v>
      </c>
      <c r="L568" t="str">
        <f>IF(J568&lt;0,"A~0",VLOOKUP(J568,[1]作法V!$B$1:$C$9,2,TRUE))</f>
        <v>A~0</v>
      </c>
    </row>
    <row r="569" spans="1:12">
      <c r="A569">
        <v>1053</v>
      </c>
      <c r="B569" t="s">
        <v>21</v>
      </c>
      <c r="C569" s="3">
        <v>38590</v>
      </c>
      <c r="D569" s="3">
        <v>38745</v>
      </c>
      <c r="E569" t="s">
        <v>18</v>
      </c>
      <c r="F569">
        <v>1</v>
      </c>
      <c r="G569">
        <v>493920</v>
      </c>
      <c r="H569">
        <v>493920</v>
      </c>
      <c r="I569" s="4">
        <v>38686</v>
      </c>
      <c r="J569" s="5">
        <f t="shared" si="16"/>
        <v>-59</v>
      </c>
      <c r="K569" s="6" t="str">
        <f t="shared" si="17"/>
        <v>A~0</v>
      </c>
      <c r="L569" t="str">
        <f>IF(J569&lt;0,"A~0",VLOOKUP(J569,[1]作法V!$B$1:$C$9,2,TRUE))</f>
        <v>A~0</v>
      </c>
    </row>
    <row r="570" spans="1:12">
      <c r="A570">
        <v>1053</v>
      </c>
      <c r="B570" t="s">
        <v>21</v>
      </c>
      <c r="C570" s="3">
        <v>38590</v>
      </c>
      <c r="D570" s="3">
        <v>38745</v>
      </c>
      <c r="E570" t="s">
        <v>18</v>
      </c>
      <c r="F570">
        <v>1</v>
      </c>
      <c r="G570">
        <v>239675</v>
      </c>
      <c r="H570">
        <v>239675</v>
      </c>
      <c r="I570" s="4">
        <v>38686</v>
      </c>
      <c r="J570" s="5">
        <f t="shared" si="16"/>
        <v>-59</v>
      </c>
      <c r="K570" s="6" t="str">
        <f t="shared" si="17"/>
        <v>A~0</v>
      </c>
      <c r="L570" t="str">
        <f>IF(J570&lt;0,"A~0",VLOOKUP(J570,[1]作法V!$B$1:$C$9,2,TRUE))</f>
        <v>A~0</v>
      </c>
    </row>
    <row r="571" spans="1:12">
      <c r="A571">
        <v>1053</v>
      </c>
      <c r="B571" t="s">
        <v>21</v>
      </c>
      <c r="C571" s="3">
        <v>38590</v>
      </c>
      <c r="D571" s="3">
        <v>38745</v>
      </c>
      <c r="E571" t="s">
        <v>18</v>
      </c>
      <c r="F571">
        <v>1</v>
      </c>
      <c r="G571">
        <v>3365</v>
      </c>
      <c r="H571">
        <v>3365</v>
      </c>
      <c r="I571" s="4">
        <v>38686</v>
      </c>
      <c r="J571" s="5">
        <f t="shared" si="16"/>
        <v>-59</v>
      </c>
      <c r="K571" s="6" t="str">
        <f t="shared" si="17"/>
        <v>A~0</v>
      </c>
      <c r="L571" t="str">
        <f>IF(J571&lt;0,"A~0",VLOOKUP(J571,[1]作法V!$B$1:$C$9,2,TRUE))</f>
        <v>A~0</v>
      </c>
    </row>
    <row r="572" spans="1:12">
      <c r="A572">
        <v>1053</v>
      </c>
      <c r="B572" t="s">
        <v>21</v>
      </c>
      <c r="C572" s="3">
        <v>38590</v>
      </c>
      <c r="D572" s="3">
        <v>38745</v>
      </c>
      <c r="E572" t="s">
        <v>18</v>
      </c>
      <c r="F572">
        <v>1</v>
      </c>
      <c r="G572">
        <v>29394</v>
      </c>
      <c r="H572">
        <v>29394</v>
      </c>
      <c r="I572" s="4">
        <v>38686</v>
      </c>
      <c r="J572" s="5">
        <f t="shared" si="16"/>
        <v>-59</v>
      </c>
      <c r="K572" s="6" t="str">
        <f t="shared" si="17"/>
        <v>A~0</v>
      </c>
      <c r="L572" t="str">
        <f>IF(J572&lt;0,"A~0",VLOOKUP(J572,[1]作法V!$B$1:$C$9,2,TRUE))</f>
        <v>A~0</v>
      </c>
    </row>
    <row r="573" spans="1:12">
      <c r="A573">
        <v>1053</v>
      </c>
      <c r="B573" t="s">
        <v>21</v>
      </c>
      <c r="C573" s="3">
        <v>38590</v>
      </c>
      <c r="D573" s="3">
        <v>38745</v>
      </c>
      <c r="E573" t="s">
        <v>18</v>
      </c>
      <c r="F573">
        <v>1</v>
      </c>
      <c r="G573">
        <v>130206</v>
      </c>
      <c r="H573">
        <v>130206</v>
      </c>
      <c r="I573" s="4">
        <v>38686</v>
      </c>
      <c r="J573" s="5">
        <f t="shared" si="16"/>
        <v>-59</v>
      </c>
      <c r="K573" s="6" t="str">
        <f t="shared" si="17"/>
        <v>A~0</v>
      </c>
      <c r="L573" t="str">
        <f>IF(J573&lt;0,"A~0",VLOOKUP(J573,[1]作法V!$B$1:$C$9,2,TRUE))</f>
        <v>A~0</v>
      </c>
    </row>
    <row r="574" spans="1:12">
      <c r="A574">
        <v>1053</v>
      </c>
      <c r="B574" t="s">
        <v>21</v>
      </c>
      <c r="C574" s="3">
        <v>38590</v>
      </c>
      <c r="D574" s="3">
        <v>38745</v>
      </c>
      <c r="E574" t="s">
        <v>17</v>
      </c>
      <c r="F574">
        <v>31.905000000000001</v>
      </c>
      <c r="G574">
        <v>2.19</v>
      </c>
      <c r="H574">
        <v>70</v>
      </c>
      <c r="I574" s="4">
        <v>38686</v>
      </c>
      <c r="J574" s="5">
        <f t="shared" si="16"/>
        <v>-59</v>
      </c>
      <c r="K574" s="6" t="str">
        <f t="shared" si="17"/>
        <v>A~0</v>
      </c>
      <c r="L574" t="str">
        <f>IF(J574&lt;0,"A~0",VLOOKUP(J574,[1]作法V!$B$1:$C$9,2,TRUE))</f>
        <v>A~0</v>
      </c>
    </row>
    <row r="575" spans="1:12">
      <c r="A575">
        <v>1053</v>
      </c>
      <c r="B575" t="s">
        <v>21</v>
      </c>
      <c r="C575" s="3">
        <v>38590</v>
      </c>
      <c r="D575" s="3">
        <v>38745</v>
      </c>
      <c r="E575" t="s">
        <v>17</v>
      </c>
      <c r="F575">
        <v>31.905000000000001</v>
      </c>
      <c r="G575">
        <v>8400.5</v>
      </c>
      <c r="H575">
        <v>268018</v>
      </c>
      <c r="I575" s="4">
        <v>38686</v>
      </c>
      <c r="J575" s="5">
        <f t="shared" si="16"/>
        <v>-59</v>
      </c>
      <c r="K575" s="6" t="str">
        <f t="shared" si="17"/>
        <v>A~0</v>
      </c>
      <c r="L575" t="str">
        <f>IF(J575&lt;0,"A~0",VLOOKUP(J575,[1]作法V!$B$1:$C$9,2,TRUE))</f>
        <v>A~0</v>
      </c>
    </row>
    <row r="576" spans="1:12">
      <c r="A576">
        <v>1053</v>
      </c>
      <c r="B576" t="s">
        <v>21</v>
      </c>
      <c r="C576" s="3">
        <v>38593</v>
      </c>
      <c r="D576" s="3">
        <v>38745</v>
      </c>
      <c r="E576" t="s">
        <v>18</v>
      </c>
      <c r="F576">
        <v>1</v>
      </c>
      <c r="G576">
        <v>30456</v>
      </c>
      <c r="H576">
        <v>30456</v>
      </c>
      <c r="I576" s="4">
        <v>38686</v>
      </c>
      <c r="J576" s="5">
        <f t="shared" si="16"/>
        <v>-59</v>
      </c>
      <c r="K576" s="6" t="str">
        <f t="shared" si="17"/>
        <v>A~0</v>
      </c>
      <c r="L576" t="str">
        <f>IF(J576&lt;0,"A~0",VLOOKUP(J576,[1]作法V!$B$1:$C$9,2,TRUE))</f>
        <v>A~0</v>
      </c>
    </row>
    <row r="577" spans="1:12">
      <c r="A577">
        <v>1053</v>
      </c>
      <c r="B577" t="s">
        <v>21</v>
      </c>
      <c r="C577" s="3">
        <v>38593</v>
      </c>
      <c r="D577" s="3">
        <v>38745</v>
      </c>
      <c r="E577" t="s">
        <v>18</v>
      </c>
      <c r="F577">
        <v>1</v>
      </c>
      <c r="G577">
        <v>129144</v>
      </c>
      <c r="H577">
        <v>129144</v>
      </c>
      <c r="I577" s="4">
        <v>38686</v>
      </c>
      <c r="J577" s="5">
        <f t="shared" si="16"/>
        <v>-59</v>
      </c>
      <c r="K577" s="6" t="str">
        <f t="shared" si="17"/>
        <v>A~0</v>
      </c>
      <c r="L577" t="str">
        <f>IF(J577&lt;0,"A~0",VLOOKUP(J577,[1]作法V!$B$1:$C$9,2,TRUE))</f>
        <v>A~0</v>
      </c>
    </row>
    <row r="578" spans="1:12">
      <c r="A578">
        <v>1053</v>
      </c>
      <c r="B578" t="s">
        <v>21</v>
      </c>
      <c r="C578" s="3">
        <v>38593</v>
      </c>
      <c r="D578" s="3">
        <v>38745</v>
      </c>
      <c r="E578" t="s">
        <v>18</v>
      </c>
      <c r="F578">
        <v>1</v>
      </c>
      <c r="G578">
        <v>186546</v>
      </c>
      <c r="H578">
        <v>186546</v>
      </c>
      <c r="I578" s="4">
        <v>38686</v>
      </c>
      <c r="J578" s="5">
        <f t="shared" ref="J578:J641" si="18">I578-D578</f>
        <v>-59</v>
      </c>
      <c r="K578" s="6" t="str">
        <f t="shared" ref="K578:K641" si="19">IF(J578&lt;1,"A~0",IF(J578&lt;31,"B1~30",IF(J578&lt;61,"C31~60",IF(J578&lt;91,"D61~90",IF(J578&lt;121,"E91~120",IF(J578&lt;181,"F121~180",IF(J578&lt;361,"G181~360","H361~")))))))</f>
        <v>A~0</v>
      </c>
      <c r="L578" t="str">
        <f>IF(J578&lt;0,"A~0",VLOOKUP(J578,[1]作法V!$B$1:$C$9,2,TRUE))</f>
        <v>A~0</v>
      </c>
    </row>
    <row r="579" spans="1:12">
      <c r="A579">
        <v>1053</v>
      </c>
      <c r="B579" t="s">
        <v>21</v>
      </c>
      <c r="C579" s="3">
        <v>38593</v>
      </c>
      <c r="D579" s="3">
        <v>38745</v>
      </c>
      <c r="E579" t="s">
        <v>18</v>
      </c>
      <c r="F579">
        <v>1</v>
      </c>
      <c r="G579">
        <v>66216</v>
      </c>
      <c r="H579">
        <v>66216</v>
      </c>
      <c r="I579" s="4">
        <v>38686</v>
      </c>
      <c r="J579" s="5">
        <f t="shared" si="18"/>
        <v>-59</v>
      </c>
      <c r="K579" s="6" t="str">
        <f t="shared" si="19"/>
        <v>A~0</v>
      </c>
      <c r="L579" t="str">
        <f>IF(J579&lt;0,"A~0",VLOOKUP(J579,[1]作法V!$B$1:$C$9,2,TRUE))</f>
        <v>A~0</v>
      </c>
    </row>
    <row r="580" spans="1:12">
      <c r="A580">
        <v>1053</v>
      </c>
      <c r="B580" t="s">
        <v>21</v>
      </c>
      <c r="C580" s="3">
        <v>38593</v>
      </c>
      <c r="D580" s="3">
        <v>38745</v>
      </c>
      <c r="E580" t="s">
        <v>18</v>
      </c>
      <c r="F580">
        <v>1</v>
      </c>
      <c r="G580">
        <v>166184</v>
      </c>
      <c r="H580">
        <v>166184</v>
      </c>
      <c r="I580" s="4">
        <v>38686</v>
      </c>
      <c r="J580" s="5">
        <f t="shared" si="18"/>
        <v>-59</v>
      </c>
      <c r="K580" s="6" t="str">
        <f t="shared" si="19"/>
        <v>A~0</v>
      </c>
      <c r="L580" t="str">
        <f>IF(J580&lt;0,"A~0",VLOOKUP(J580,[1]作法V!$B$1:$C$9,2,TRUE))</f>
        <v>A~0</v>
      </c>
    </row>
    <row r="581" spans="1:12">
      <c r="A581">
        <v>1053</v>
      </c>
      <c r="B581" t="s">
        <v>21</v>
      </c>
      <c r="C581" s="3">
        <v>38593</v>
      </c>
      <c r="D581" s="3">
        <v>38745</v>
      </c>
      <c r="E581" t="s">
        <v>18</v>
      </c>
      <c r="F581">
        <v>1</v>
      </c>
      <c r="G581">
        <v>73621</v>
      </c>
      <c r="H581">
        <v>73621</v>
      </c>
      <c r="I581" s="4">
        <v>38686</v>
      </c>
      <c r="J581" s="5">
        <f t="shared" si="18"/>
        <v>-59</v>
      </c>
      <c r="K581" s="6" t="str">
        <f t="shared" si="19"/>
        <v>A~0</v>
      </c>
      <c r="L581" t="str">
        <f>IF(J581&lt;0,"A~0",VLOOKUP(J581,[1]作法V!$B$1:$C$9,2,TRUE))</f>
        <v>A~0</v>
      </c>
    </row>
    <row r="582" spans="1:12">
      <c r="A582">
        <v>1053</v>
      </c>
      <c r="B582" t="s">
        <v>21</v>
      </c>
      <c r="C582" s="3">
        <v>38593</v>
      </c>
      <c r="D582" s="3">
        <v>38745</v>
      </c>
      <c r="E582" t="s">
        <v>18</v>
      </c>
      <c r="F582">
        <v>1</v>
      </c>
      <c r="G582">
        <v>247079</v>
      </c>
      <c r="H582">
        <v>247079</v>
      </c>
      <c r="I582" s="4">
        <v>38686</v>
      </c>
      <c r="J582" s="5">
        <f t="shared" si="18"/>
        <v>-59</v>
      </c>
      <c r="K582" s="6" t="str">
        <f t="shared" si="19"/>
        <v>A~0</v>
      </c>
      <c r="L582" t="str">
        <f>IF(J582&lt;0,"A~0",VLOOKUP(J582,[1]作法V!$B$1:$C$9,2,TRUE))</f>
        <v>A~0</v>
      </c>
    </row>
    <row r="583" spans="1:12">
      <c r="A583">
        <v>1053</v>
      </c>
      <c r="B583" t="s">
        <v>21</v>
      </c>
      <c r="C583" s="3">
        <v>38593</v>
      </c>
      <c r="D583" s="3">
        <v>38745</v>
      </c>
      <c r="E583" t="s">
        <v>18</v>
      </c>
      <c r="F583">
        <v>1</v>
      </c>
      <c r="G583">
        <v>493920</v>
      </c>
      <c r="H583">
        <v>493920</v>
      </c>
      <c r="I583" s="4">
        <v>38686</v>
      </c>
      <c r="J583" s="5">
        <f t="shared" si="18"/>
        <v>-59</v>
      </c>
      <c r="K583" s="6" t="str">
        <f t="shared" si="19"/>
        <v>A~0</v>
      </c>
      <c r="L583" t="str">
        <f>IF(J583&lt;0,"A~0",VLOOKUP(J583,[1]作法V!$B$1:$C$9,2,TRUE))</f>
        <v>A~0</v>
      </c>
    </row>
    <row r="584" spans="1:12">
      <c r="A584">
        <v>1053</v>
      </c>
      <c r="B584" t="s">
        <v>21</v>
      </c>
      <c r="C584" s="3">
        <v>38594</v>
      </c>
      <c r="D584" s="3">
        <v>38745</v>
      </c>
      <c r="E584" t="s">
        <v>18</v>
      </c>
      <c r="F584">
        <v>1</v>
      </c>
      <c r="G584">
        <v>186200</v>
      </c>
      <c r="H584">
        <v>186200</v>
      </c>
      <c r="I584" s="4">
        <v>38686</v>
      </c>
      <c r="J584" s="5">
        <f t="shared" si="18"/>
        <v>-59</v>
      </c>
      <c r="K584" s="6" t="str">
        <f t="shared" si="19"/>
        <v>A~0</v>
      </c>
      <c r="L584" t="str">
        <f>IF(J584&lt;0,"A~0",VLOOKUP(J584,[1]作法V!$B$1:$C$9,2,TRUE))</f>
        <v>A~0</v>
      </c>
    </row>
    <row r="585" spans="1:12">
      <c r="A585">
        <v>1053</v>
      </c>
      <c r="B585" t="s">
        <v>21</v>
      </c>
      <c r="C585" s="3">
        <v>38594</v>
      </c>
      <c r="D585" s="3">
        <v>38745</v>
      </c>
      <c r="E585" t="s">
        <v>18</v>
      </c>
      <c r="F585">
        <v>1</v>
      </c>
      <c r="G585">
        <v>297054</v>
      </c>
      <c r="H585">
        <v>297054</v>
      </c>
      <c r="I585" s="4">
        <v>38686</v>
      </c>
      <c r="J585" s="5">
        <f t="shared" si="18"/>
        <v>-59</v>
      </c>
      <c r="K585" s="6" t="str">
        <f t="shared" si="19"/>
        <v>A~0</v>
      </c>
      <c r="L585" t="str">
        <f>IF(J585&lt;0,"A~0",VLOOKUP(J585,[1]作法V!$B$1:$C$9,2,TRUE))</f>
        <v>A~0</v>
      </c>
    </row>
    <row r="586" spans="1:12">
      <c r="A586">
        <v>1053</v>
      </c>
      <c r="B586" t="s">
        <v>21</v>
      </c>
      <c r="C586" s="3">
        <v>38594</v>
      </c>
      <c r="D586" s="3">
        <v>38745</v>
      </c>
      <c r="E586" t="s">
        <v>18</v>
      </c>
      <c r="F586">
        <v>1</v>
      </c>
      <c r="G586">
        <v>62645</v>
      </c>
      <c r="H586">
        <v>62645</v>
      </c>
      <c r="I586" s="4">
        <v>38686</v>
      </c>
      <c r="J586" s="5">
        <f t="shared" si="18"/>
        <v>-59</v>
      </c>
      <c r="K586" s="6" t="str">
        <f t="shared" si="19"/>
        <v>A~0</v>
      </c>
      <c r="L586" t="str">
        <f>IF(J586&lt;0,"A~0",VLOOKUP(J586,[1]作法V!$B$1:$C$9,2,TRUE))</f>
        <v>A~0</v>
      </c>
    </row>
    <row r="587" spans="1:12">
      <c r="A587">
        <v>1053</v>
      </c>
      <c r="B587" t="s">
        <v>21</v>
      </c>
      <c r="C587" s="3">
        <v>38595</v>
      </c>
      <c r="D587" s="3">
        <v>38745</v>
      </c>
      <c r="E587" t="s">
        <v>18</v>
      </c>
      <c r="F587">
        <v>1</v>
      </c>
      <c r="G587">
        <v>57685</v>
      </c>
      <c r="H587">
        <v>57685</v>
      </c>
      <c r="I587" s="4">
        <v>38686</v>
      </c>
      <c r="J587" s="5">
        <f t="shared" si="18"/>
        <v>-59</v>
      </c>
      <c r="K587" s="6" t="str">
        <f t="shared" si="19"/>
        <v>A~0</v>
      </c>
      <c r="L587" t="str">
        <f>IF(J587&lt;0,"A~0",VLOOKUP(J587,[1]作法V!$B$1:$C$9,2,TRUE))</f>
        <v>A~0</v>
      </c>
    </row>
    <row r="588" spans="1:12">
      <c r="A588">
        <v>1053</v>
      </c>
      <c r="B588" t="s">
        <v>21</v>
      </c>
      <c r="C588" s="3">
        <v>38595</v>
      </c>
      <c r="D588" s="3">
        <v>38745</v>
      </c>
      <c r="E588" t="s">
        <v>18</v>
      </c>
      <c r="F588">
        <v>1</v>
      </c>
      <c r="G588">
        <v>185355</v>
      </c>
      <c r="H588">
        <v>185355</v>
      </c>
      <c r="I588" s="4">
        <v>38686</v>
      </c>
      <c r="J588" s="5">
        <f t="shared" si="18"/>
        <v>-59</v>
      </c>
      <c r="K588" s="6" t="str">
        <f t="shared" si="19"/>
        <v>A~0</v>
      </c>
      <c r="L588" t="str">
        <f>IF(J588&lt;0,"A~0",VLOOKUP(J588,[1]作法V!$B$1:$C$9,2,TRUE))</f>
        <v>A~0</v>
      </c>
    </row>
    <row r="589" spans="1:12">
      <c r="A589">
        <v>1053</v>
      </c>
      <c r="B589" t="s">
        <v>21</v>
      </c>
      <c r="C589" s="3">
        <v>38595</v>
      </c>
      <c r="D589" s="3">
        <v>38745</v>
      </c>
      <c r="E589" t="s">
        <v>18</v>
      </c>
      <c r="F589">
        <v>1</v>
      </c>
      <c r="G589">
        <v>133000</v>
      </c>
      <c r="H589">
        <v>133000</v>
      </c>
      <c r="I589" s="4">
        <v>38686</v>
      </c>
      <c r="J589" s="5">
        <f t="shared" si="18"/>
        <v>-59</v>
      </c>
      <c r="K589" s="6" t="str">
        <f t="shared" si="19"/>
        <v>A~0</v>
      </c>
      <c r="L589" t="str">
        <f>IF(J589&lt;0,"A~0",VLOOKUP(J589,[1]作法V!$B$1:$C$9,2,TRUE))</f>
        <v>A~0</v>
      </c>
    </row>
    <row r="590" spans="1:12">
      <c r="A590">
        <v>1053</v>
      </c>
      <c r="B590" t="s">
        <v>21</v>
      </c>
      <c r="C590" s="3">
        <v>38595</v>
      </c>
      <c r="D590" s="3">
        <v>38745</v>
      </c>
      <c r="E590" t="s">
        <v>18</v>
      </c>
      <c r="F590">
        <v>1</v>
      </c>
      <c r="G590">
        <v>148411</v>
      </c>
      <c r="H590">
        <v>148411</v>
      </c>
      <c r="I590" s="4">
        <v>38686</v>
      </c>
      <c r="J590" s="5">
        <f t="shared" si="18"/>
        <v>-59</v>
      </c>
      <c r="K590" s="6" t="str">
        <f t="shared" si="19"/>
        <v>A~0</v>
      </c>
      <c r="L590" t="str">
        <f>IF(J590&lt;0,"A~0",VLOOKUP(J590,[1]作法V!$B$1:$C$9,2,TRUE))</f>
        <v>A~0</v>
      </c>
    </row>
    <row r="591" spans="1:12">
      <c r="A591">
        <v>1053</v>
      </c>
      <c r="B591" t="s">
        <v>21</v>
      </c>
      <c r="C591" s="3">
        <v>38595</v>
      </c>
      <c r="D591" s="3">
        <v>38745</v>
      </c>
      <c r="E591" t="s">
        <v>18</v>
      </c>
      <c r="F591">
        <v>1</v>
      </c>
      <c r="G591">
        <v>296117</v>
      </c>
      <c r="H591">
        <v>296117</v>
      </c>
      <c r="I591" s="4">
        <v>38686</v>
      </c>
      <c r="J591" s="5">
        <f t="shared" si="18"/>
        <v>-59</v>
      </c>
      <c r="K591" s="6" t="str">
        <f t="shared" si="19"/>
        <v>A~0</v>
      </c>
      <c r="L591" t="str">
        <f>IF(J591&lt;0,"A~0",VLOOKUP(J591,[1]作法V!$B$1:$C$9,2,TRUE))</f>
        <v>A~0</v>
      </c>
    </row>
    <row r="592" spans="1:12">
      <c r="A592">
        <v>1053</v>
      </c>
      <c r="B592" t="s">
        <v>21</v>
      </c>
      <c r="C592" s="3">
        <v>38595</v>
      </c>
      <c r="D592" s="3">
        <v>38745</v>
      </c>
      <c r="E592" t="s">
        <v>18</v>
      </c>
      <c r="F592">
        <v>1</v>
      </c>
      <c r="G592">
        <v>211630</v>
      </c>
      <c r="H592">
        <v>211630</v>
      </c>
      <c r="I592" s="4">
        <v>38686</v>
      </c>
      <c r="J592" s="5">
        <f t="shared" si="18"/>
        <v>-59</v>
      </c>
      <c r="K592" s="6" t="str">
        <f t="shared" si="19"/>
        <v>A~0</v>
      </c>
      <c r="L592" t="str">
        <f>IF(J592&lt;0,"A~0",VLOOKUP(J592,[1]作法V!$B$1:$C$9,2,TRUE))</f>
        <v>A~0</v>
      </c>
    </row>
    <row r="593" spans="1:12">
      <c r="A593">
        <v>1053</v>
      </c>
      <c r="B593" t="s">
        <v>21</v>
      </c>
      <c r="C593" s="3">
        <v>38595</v>
      </c>
      <c r="D593" s="3">
        <v>38745</v>
      </c>
      <c r="E593" t="s">
        <v>18</v>
      </c>
      <c r="F593">
        <v>1</v>
      </c>
      <c r="G593">
        <v>23729</v>
      </c>
      <c r="H593">
        <v>23729</v>
      </c>
      <c r="I593" s="4">
        <v>38686</v>
      </c>
      <c r="J593" s="5">
        <f t="shared" si="18"/>
        <v>-59</v>
      </c>
      <c r="K593" s="6" t="str">
        <f t="shared" si="19"/>
        <v>A~0</v>
      </c>
      <c r="L593" t="str">
        <f>IF(J593&lt;0,"A~0",VLOOKUP(J593,[1]作法V!$B$1:$C$9,2,TRUE))</f>
        <v>A~0</v>
      </c>
    </row>
    <row r="594" spans="1:12">
      <c r="A594">
        <v>1053</v>
      </c>
      <c r="B594" t="s">
        <v>21</v>
      </c>
      <c r="C594" s="3">
        <v>38595</v>
      </c>
      <c r="D594" s="3">
        <v>38745</v>
      </c>
      <c r="E594" t="s">
        <v>18</v>
      </c>
      <c r="F594">
        <v>1</v>
      </c>
      <c r="G594">
        <v>87458</v>
      </c>
      <c r="H594">
        <v>87458</v>
      </c>
      <c r="I594" s="4">
        <v>38686</v>
      </c>
      <c r="J594" s="5">
        <f t="shared" si="18"/>
        <v>-59</v>
      </c>
      <c r="K594" s="6" t="str">
        <f t="shared" si="19"/>
        <v>A~0</v>
      </c>
      <c r="L594" t="str">
        <f>IF(J594&lt;0,"A~0",VLOOKUP(J594,[1]作法V!$B$1:$C$9,2,TRUE))</f>
        <v>A~0</v>
      </c>
    </row>
    <row r="595" spans="1:12">
      <c r="A595">
        <v>1053</v>
      </c>
      <c r="B595" t="s">
        <v>21</v>
      </c>
      <c r="C595" s="3">
        <v>38595</v>
      </c>
      <c r="D595" s="3">
        <v>38745</v>
      </c>
      <c r="E595" t="s">
        <v>18</v>
      </c>
      <c r="F595">
        <v>1</v>
      </c>
      <c r="G595">
        <v>89380</v>
      </c>
      <c r="H595">
        <v>89380</v>
      </c>
      <c r="I595" s="4">
        <v>38686</v>
      </c>
      <c r="J595" s="5">
        <f t="shared" si="18"/>
        <v>-59</v>
      </c>
      <c r="K595" s="6" t="str">
        <f t="shared" si="19"/>
        <v>A~0</v>
      </c>
      <c r="L595" t="str">
        <f>IF(J595&lt;0,"A~0",VLOOKUP(J595,[1]作法V!$B$1:$C$9,2,TRUE))</f>
        <v>A~0</v>
      </c>
    </row>
    <row r="596" spans="1:12">
      <c r="A596">
        <v>1053</v>
      </c>
      <c r="B596" t="s">
        <v>21</v>
      </c>
      <c r="C596" s="3">
        <v>38597</v>
      </c>
      <c r="D596" s="3">
        <v>38745</v>
      </c>
      <c r="E596" t="s">
        <v>18</v>
      </c>
      <c r="F596">
        <v>1</v>
      </c>
      <c r="G596">
        <v>262483</v>
      </c>
      <c r="H596">
        <v>262483</v>
      </c>
      <c r="I596" s="4">
        <v>38686</v>
      </c>
      <c r="J596" s="5">
        <f t="shared" si="18"/>
        <v>-59</v>
      </c>
      <c r="K596" s="6" t="str">
        <f t="shared" si="19"/>
        <v>A~0</v>
      </c>
      <c r="L596" t="str">
        <f>IF(J596&lt;0,"A~0",VLOOKUP(J596,[1]作法V!$B$1:$C$9,2,TRUE))</f>
        <v>A~0</v>
      </c>
    </row>
    <row r="597" spans="1:12">
      <c r="A597">
        <v>1053</v>
      </c>
      <c r="B597" t="s">
        <v>21</v>
      </c>
      <c r="C597" s="3">
        <v>38597</v>
      </c>
      <c r="D597" s="3">
        <v>38745</v>
      </c>
      <c r="E597" t="s">
        <v>18</v>
      </c>
      <c r="F597">
        <v>1</v>
      </c>
      <c r="G597">
        <v>126216</v>
      </c>
      <c r="H597">
        <v>126216</v>
      </c>
      <c r="I597" s="4">
        <v>38686</v>
      </c>
      <c r="J597" s="5">
        <f t="shared" si="18"/>
        <v>-59</v>
      </c>
      <c r="K597" s="6" t="str">
        <f t="shared" si="19"/>
        <v>A~0</v>
      </c>
      <c r="L597" t="str">
        <f>IF(J597&lt;0,"A~0",VLOOKUP(J597,[1]作法V!$B$1:$C$9,2,TRUE))</f>
        <v>A~0</v>
      </c>
    </row>
    <row r="598" spans="1:12">
      <c r="A598">
        <v>1053</v>
      </c>
      <c r="B598" t="s">
        <v>21</v>
      </c>
      <c r="C598" s="3">
        <v>38597</v>
      </c>
      <c r="D598" s="3">
        <v>38745</v>
      </c>
      <c r="E598" t="s">
        <v>18</v>
      </c>
      <c r="F598">
        <v>1</v>
      </c>
      <c r="G598">
        <v>6784</v>
      </c>
      <c r="H598">
        <v>6784</v>
      </c>
      <c r="I598" s="4">
        <v>38686</v>
      </c>
      <c r="J598" s="5">
        <f t="shared" si="18"/>
        <v>-59</v>
      </c>
      <c r="K598" s="6" t="str">
        <f t="shared" si="19"/>
        <v>A~0</v>
      </c>
      <c r="L598" t="str">
        <f>IF(J598&lt;0,"A~0",VLOOKUP(J598,[1]作法V!$B$1:$C$9,2,TRUE))</f>
        <v>A~0</v>
      </c>
    </row>
    <row r="599" spans="1:12">
      <c r="A599">
        <v>1053</v>
      </c>
      <c r="B599" t="s">
        <v>21</v>
      </c>
      <c r="C599" s="3">
        <v>38597</v>
      </c>
      <c r="D599" s="3">
        <v>38745</v>
      </c>
      <c r="E599" t="s">
        <v>17</v>
      </c>
      <c r="F599">
        <v>32.195</v>
      </c>
      <c r="G599">
        <v>539.98</v>
      </c>
      <c r="H599">
        <v>17385</v>
      </c>
      <c r="I599" s="4">
        <v>38686</v>
      </c>
      <c r="J599" s="5">
        <f t="shared" si="18"/>
        <v>-59</v>
      </c>
      <c r="K599" s="6" t="str">
        <f t="shared" si="19"/>
        <v>A~0</v>
      </c>
      <c r="L599" t="str">
        <f>IF(J599&lt;0,"A~0",VLOOKUP(J599,[1]作法V!$B$1:$C$9,2,TRUE))</f>
        <v>A~0</v>
      </c>
    </row>
    <row r="600" spans="1:12">
      <c r="A600">
        <v>1053</v>
      </c>
      <c r="B600" t="s">
        <v>21</v>
      </c>
      <c r="C600" s="3">
        <v>38597</v>
      </c>
      <c r="D600" s="3">
        <v>38745</v>
      </c>
      <c r="E600" t="s">
        <v>17</v>
      </c>
      <c r="F600">
        <v>32.195</v>
      </c>
      <c r="G600">
        <v>653.4</v>
      </c>
      <c r="H600">
        <v>21036</v>
      </c>
      <c r="I600" s="4">
        <v>38686</v>
      </c>
      <c r="J600" s="5">
        <f t="shared" si="18"/>
        <v>-59</v>
      </c>
      <c r="K600" s="6" t="str">
        <f t="shared" si="19"/>
        <v>A~0</v>
      </c>
      <c r="L600" t="str">
        <f>IF(J600&lt;0,"A~0",VLOOKUP(J600,[1]作法V!$B$1:$C$9,2,TRUE))</f>
        <v>A~0</v>
      </c>
    </row>
    <row r="601" spans="1:12">
      <c r="A601">
        <v>1053</v>
      </c>
      <c r="B601" t="s">
        <v>21</v>
      </c>
      <c r="C601" s="3">
        <v>38597</v>
      </c>
      <c r="D601" s="3">
        <v>38745</v>
      </c>
      <c r="E601" t="s">
        <v>17</v>
      </c>
      <c r="F601">
        <v>32.195</v>
      </c>
      <c r="G601">
        <v>1538.2</v>
      </c>
      <c r="H601">
        <v>49522</v>
      </c>
      <c r="I601" s="4">
        <v>38686</v>
      </c>
      <c r="J601" s="5">
        <f t="shared" si="18"/>
        <v>-59</v>
      </c>
      <c r="K601" s="6" t="str">
        <f t="shared" si="19"/>
        <v>A~0</v>
      </c>
      <c r="L601" t="str">
        <f>IF(J601&lt;0,"A~0",VLOOKUP(J601,[1]作法V!$B$1:$C$9,2,TRUE))</f>
        <v>A~0</v>
      </c>
    </row>
    <row r="602" spans="1:12">
      <c r="A602">
        <v>1053</v>
      </c>
      <c r="B602" t="s">
        <v>21</v>
      </c>
      <c r="C602" s="3">
        <v>38597</v>
      </c>
      <c r="D602" s="3">
        <v>38745</v>
      </c>
      <c r="E602" t="s">
        <v>17</v>
      </c>
      <c r="F602">
        <v>32.195</v>
      </c>
      <c r="G602">
        <v>48</v>
      </c>
      <c r="H602">
        <v>1545</v>
      </c>
      <c r="I602" s="4">
        <v>38686</v>
      </c>
      <c r="J602" s="5">
        <f t="shared" si="18"/>
        <v>-59</v>
      </c>
      <c r="K602" s="6" t="str">
        <f t="shared" si="19"/>
        <v>A~0</v>
      </c>
      <c r="L602" t="str">
        <f>IF(J602&lt;0,"A~0",VLOOKUP(J602,[1]作法V!$B$1:$C$9,2,TRUE))</f>
        <v>A~0</v>
      </c>
    </row>
    <row r="603" spans="1:12">
      <c r="A603">
        <v>1053</v>
      </c>
      <c r="B603" t="s">
        <v>21</v>
      </c>
      <c r="C603" s="3">
        <v>38597</v>
      </c>
      <c r="D603" s="3">
        <v>38745</v>
      </c>
      <c r="E603" t="s">
        <v>17</v>
      </c>
      <c r="F603">
        <v>32.195</v>
      </c>
      <c r="G603">
        <v>26.34</v>
      </c>
      <c r="H603">
        <v>848</v>
      </c>
      <c r="I603" s="4">
        <v>38686</v>
      </c>
      <c r="J603" s="5">
        <f t="shared" si="18"/>
        <v>-59</v>
      </c>
      <c r="K603" s="6" t="str">
        <f t="shared" si="19"/>
        <v>A~0</v>
      </c>
      <c r="L603" t="str">
        <f>IF(J603&lt;0,"A~0",VLOOKUP(J603,[1]作法V!$B$1:$C$9,2,TRUE))</f>
        <v>A~0</v>
      </c>
    </row>
    <row r="604" spans="1:12">
      <c r="A604">
        <v>1053</v>
      </c>
      <c r="B604" t="s">
        <v>21</v>
      </c>
      <c r="C604" s="3">
        <v>38597</v>
      </c>
      <c r="D604" s="3">
        <v>38745</v>
      </c>
      <c r="E604" t="s">
        <v>17</v>
      </c>
      <c r="F604">
        <v>32.195</v>
      </c>
      <c r="G604">
        <v>30.02</v>
      </c>
      <c r="H604">
        <v>966</v>
      </c>
      <c r="I604" s="4">
        <v>38686</v>
      </c>
      <c r="J604" s="5">
        <f t="shared" si="18"/>
        <v>-59</v>
      </c>
      <c r="K604" s="6" t="str">
        <f t="shared" si="19"/>
        <v>A~0</v>
      </c>
      <c r="L604" t="str">
        <f>IF(J604&lt;0,"A~0",VLOOKUP(J604,[1]作法V!$B$1:$C$9,2,TRUE))</f>
        <v>A~0</v>
      </c>
    </row>
    <row r="605" spans="1:12">
      <c r="A605">
        <v>1053</v>
      </c>
      <c r="B605" t="s">
        <v>21</v>
      </c>
      <c r="C605" s="3">
        <v>38597</v>
      </c>
      <c r="D605" s="3">
        <v>38745</v>
      </c>
      <c r="E605" t="s">
        <v>17</v>
      </c>
      <c r="F605">
        <v>32.195</v>
      </c>
      <c r="G605">
        <v>52.68</v>
      </c>
      <c r="H605">
        <v>1696</v>
      </c>
      <c r="I605" s="4">
        <v>38686</v>
      </c>
      <c r="J605" s="5">
        <f t="shared" si="18"/>
        <v>-59</v>
      </c>
      <c r="K605" s="6" t="str">
        <f t="shared" si="19"/>
        <v>A~0</v>
      </c>
      <c r="L605" t="str">
        <f>IF(J605&lt;0,"A~0",VLOOKUP(J605,[1]作法V!$B$1:$C$9,2,TRUE))</f>
        <v>A~0</v>
      </c>
    </row>
    <row r="606" spans="1:12">
      <c r="A606">
        <v>1053</v>
      </c>
      <c r="B606" t="s">
        <v>21</v>
      </c>
      <c r="C606" s="3">
        <v>38597</v>
      </c>
      <c r="D606" s="3">
        <v>38745</v>
      </c>
      <c r="E606" t="s">
        <v>17</v>
      </c>
      <c r="F606">
        <v>32.195</v>
      </c>
      <c r="G606">
        <v>5458.1</v>
      </c>
      <c r="H606">
        <v>175724</v>
      </c>
      <c r="I606" s="4">
        <v>38686</v>
      </c>
      <c r="J606" s="5">
        <f t="shared" si="18"/>
        <v>-59</v>
      </c>
      <c r="K606" s="6" t="str">
        <f t="shared" si="19"/>
        <v>A~0</v>
      </c>
      <c r="L606" t="str">
        <f>IF(J606&lt;0,"A~0",VLOOKUP(J606,[1]作法V!$B$1:$C$9,2,TRUE))</f>
        <v>A~0</v>
      </c>
    </row>
    <row r="607" spans="1:12">
      <c r="A607">
        <v>1053</v>
      </c>
      <c r="B607" t="s">
        <v>21</v>
      </c>
      <c r="C607" s="3">
        <v>38600</v>
      </c>
      <c r="D607" s="3">
        <v>38745</v>
      </c>
      <c r="E607" t="s">
        <v>18</v>
      </c>
      <c r="F607">
        <v>1</v>
      </c>
      <c r="G607">
        <v>133000</v>
      </c>
      <c r="H607">
        <v>133000</v>
      </c>
      <c r="I607" s="4">
        <v>38686</v>
      </c>
      <c r="J607" s="5">
        <f t="shared" si="18"/>
        <v>-59</v>
      </c>
      <c r="K607" s="6" t="str">
        <f t="shared" si="19"/>
        <v>A~0</v>
      </c>
      <c r="L607" t="str">
        <f>IF(J607&lt;0,"A~0",VLOOKUP(J607,[1]作法V!$B$1:$C$9,2,TRUE))</f>
        <v>A~0</v>
      </c>
    </row>
    <row r="608" spans="1:12">
      <c r="A608">
        <v>1053</v>
      </c>
      <c r="B608" t="s">
        <v>21</v>
      </c>
      <c r="C608" s="3">
        <v>38600</v>
      </c>
      <c r="D608" s="3">
        <v>38745</v>
      </c>
      <c r="E608" t="s">
        <v>18</v>
      </c>
      <c r="F608">
        <v>1</v>
      </c>
      <c r="G608">
        <v>156290</v>
      </c>
      <c r="H608">
        <v>156290</v>
      </c>
      <c r="I608" s="4">
        <v>38686</v>
      </c>
      <c r="J608" s="5">
        <f t="shared" si="18"/>
        <v>-59</v>
      </c>
      <c r="K608" s="6" t="str">
        <f t="shared" si="19"/>
        <v>A~0</v>
      </c>
      <c r="L608" t="str">
        <f>IF(J608&lt;0,"A~0",VLOOKUP(J608,[1]作法V!$B$1:$C$9,2,TRUE))</f>
        <v>A~0</v>
      </c>
    </row>
    <row r="609" spans="1:12">
      <c r="A609">
        <v>1053</v>
      </c>
      <c r="B609" t="s">
        <v>21</v>
      </c>
      <c r="C609" s="3">
        <v>38600</v>
      </c>
      <c r="D609" s="3">
        <v>38745</v>
      </c>
      <c r="E609" t="s">
        <v>18</v>
      </c>
      <c r="F609">
        <v>1</v>
      </c>
      <c r="G609">
        <v>96472</v>
      </c>
      <c r="H609">
        <v>96472</v>
      </c>
      <c r="I609" s="4">
        <v>38686</v>
      </c>
      <c r="J609" s="5">
        <f t="shared" si="18"/>
        <v>-59</v>
      </c>
      <c r="K609" s="6" t="str">
        <f t="shared" si="19"/>
        <v>A~0</v>
      </c>
      <c r="L609" t="str">
        <f>IF(J609&lt;0,"A~0",VLOOKUP(J609,[1]作法V!$B$1:$C$9,2,TRUE))</f>
        <v>A~0</v>
      </c>
    </row>
    <row r="610" spans="1:12">
      <c r="A610">
        <v>1053</v>
      </c>
      <c r="B610" t="s">
        <v>21</v>
      </c>
      <c r="C610" s="3">
        <v>38600</v>
      </c>
      <c r="D610" s="3">
        <v>38745</v>
      </c>
      <c r="E610" t="s">
        <v>18</v>
      </c>
      <c r="F610">
        <v>1</v>
      </c>
      <c r="G610">
        <v>716184</v>
      </c>
      <c r="H610">
        <v>716184</v>
      </c>
      <c r="I610" s="4">
        <v>38686</v>
      </c>
      <c r="J610" s="5">
        <f t="shared" si="18"/>
        <v>-59</v>
      </c>
      <c r="K610" s="6" t="str">
        <f t="shared" si="19"/>
        <v>A~0</v>
      </c>
      <c r="L610" t="str">
        <f>IF(J610&lt;0,"A~0",VLOOKUP(J610,[1]作法V!$B$1:$C$9,2,TRUE))</f>
        <v>A~0</v>
      </c>
    </row>
    <row r="611" spans="1:12">
      <c r="A611">
        <v>1053</v>
      </c>
      <c r="B611" t="s">
        <v>21</v>
      </c>
      <c r="C611" s="3">
        <v>38600</v>
      </c>
      <c r="D611" s="3">
        <v>38745</v>
      </c>
      <c r="E611" t="s">
        <v>18</v>
      </c>
      <c r="F611">
        <v>1</v>
      </c>
      <c r="G611">
        <v>229219</v>
      </c>
      <c r="H611">
        <v>229219</v>
      </c>
      <c r="I611" s="4">
        <v>38686</v>
      </c>
      <c r="J611" s="5">
        <f t="shared" si="18"/>
        <v>-59</v>
      </c>
      <c r="K611" s="6" t="str">
        <f t="shared" si="19"/>
        <v>A~0</v>
      </c>
      <c r="L611" t="str">
        <f>IF(J611&lt;0,"A~0",VLOOKUP(J611,[1]作法V!$B$1:$C$9,2,TRUE))</f>
        <v>A~0</v>
      </c>
    </row>
    <row r="612" spans="1:12">
      <c r="A612">
        <v>1053</v>
      </c>
      <c r="B612" t="s">
        <v>21</v>
      </c>
      <c r="C612" s="3">
        <v>38600</v>
      </c>
      <c r="D612" s="3">
        <v>38745</v>
      </c>
      <c r="E612" t="s">
        <v>17</v>
      </c>
      <c r="F612">
        <v>32.195</v>
      </c>
      <c r="G612">
        <v>329.92</v>
      </c>
      <c r="H612">
        <v>10622</v>
      </c>
      <c r="I612" s="4">
        <v>38686</v>
      </c>
      <c r="J612" s="5">
        <f t="shared" si="18"/>
        <v>-59</v>
      </c>
      <c r="K612" s="6" t="str">
        <f t="shared" si="19"/>
        <v>A~0</v>
      </c>
      <c r="L612" t="str">
        <f>IF(J612&lt;0,"A~0",VLOOKUP(J612,[1]作法V!$B$1:$C$9,2,TRUE))</f>
        <v>A~0</v>
      </c>
    </row>
    <row r="613" spans="1:12">
      <c r="A613">
        <v>1053</v>
      </c>
      <c r="B613" t="s">
        <v>21</v>
      </c>
      <c r="C613" s="3">
        <v>38600</v>
      </c>
      <c r="D613" s="3">
        <v>38745</v>
      </c>
      <c r="E613" t="s">
        <v>17</v>
      </c>
      <c r="F613">
        <v>32.195</v>
      </c>
      <c r="G613">
        <v>395.6</v>
      </c>
      <c r="H613">
        <v>12736</v>
      </c>
      <c r="I613" s="4">
        <v>38686</v>
      </c>
      <c r="J613" s="5">
        <f t="shared" si="18"/>
        <v>-59</v>
      </c>
      <c r="K613" s="6" t="str">
        <f t="shared" si="19"/>
        <v>A~0</v>
      </c>
      <c r="L613" t="str">
        <f>IF(J613&lt;0,"A~0",VLOOKUP(J613,[1]作法V!$B$1:$C$9,2,TRUE))</f>
        <v>A~0</v>
      </c>
    </row>
    <row r="614" spans="1:12">
      <c r="A614">
        <v>1053</v>
      </c>
      <c r="B614" t="s">
        <v>21</v>
      </c>
      <c r="C614" s="3">
        <v>38600</v>
      </c>
      <c r="D614" s="3">
        <v>38745</v>
      </c>
      <c r="E614" t="s">
        <v>17</v>
      </c>
      <c r="F614">
        <v>32.195</v>
      </c>
      <c r="G614">
        <v>1783.28</v>
      </c>
      <c r="H614">
        <v>57413</v>
      </c>
      <c r="I614" s="4">
        <v>38686</v>
      </c>
      <c r="J614" s="5">
        <f t="shared" si="18"/>
        <v>-59</v>
      </c>
      <c r="K614" s="6" t="str">
        <f t="shared" si="19"/>
        <v>A~0</v>
      </c>
      <c r="L614" t="str">
        <f>IF(J614&lt;0,"A~0",VLOOKUP(J614,[1]作法V!$B$1:$C$9,2,TRUE))</f>
        <v>A~0</v>
      </c>
    </row>
    <row r="615" spans="1:12">
      <c r="A615">
        <v>1053</v>
      </c>
      <c r="B615" t="s">
        <v>21</v>
      </c>
      <c r="C615" s="3">
        <v>38600</v>
      </c>
      <c r="D615" s="3">
        <v>38745</v>
      </c>
      <c r="E615" t="s">
        <v>17</v>
      </c>
      <c r="F615">
        <v>32.195</v>
      </c>
      <c r="G615">
        <v>854.81</v>
      </c>
      <c r="H615">
        <v>27521</v>
      </c>
      <c r="I615" s="4">
        <v>38686</v>
      </c>
      <c r="J615" s="5">
        <f t="shared" si="18"/>
        <v>-59</v>
      </c>
      <c r="K615" s="6" t="str">
        <f t="shared" si="19"/>
        <v>A~0</v>
      </c>
      <c r="L615" t="str">
        <f>IF(J615&lt;0,"A~0",VLOOKUP(J615,[1]作法V!$B$1:$C$9,2,TRUE))</f>
        <v>A~0</v>
      </c>
    </row>
    <row r="616" spans="1:12">
      <c r="A616">
        <v>1053</v>
      </c>
      <c r="B616" t="s">
        <v>21</v>
      </c>
      <c r="C616" s="3">
        <v>38600</v>
      </c>
      <c r="D616" s="3">
        <v>38745</v>
      </c>
      <c r="E616" t="s">
        <v>17</v>
      </c>
      <c r="F616">
        <v>32.195</v>
      </c>
      <c r="G616">
        <v>9505.5400000000009</v>
      </c>
      <c r="H616">
        <v>306031</v>
      </c>
      <c r="I616" s="4">
        <v>38686</v>
      </c>
      <c r="J616" s="5">
        <f t="shared" si="18"/>
        <v>-59</v>
      </c>
      <c r="K616" s="6" t="str">
        <f t="shared" si="19"/>
        <v>A~0</v>
      </c>
      <c r="L616" t="str">
        <f>IF(J616&lt;0,"A~0",VLOOKUP(J616,[1]作法V!$B$1:$C$9,2,TRUE))</f>
        <v>A~0</v>
      </c>
    </row>
    <row r="617" spans="1:12">
      <c r="A617">
        <v>1053</v>
      </c>
      <c r="B617" t="s">
        <v>21</v>
      </c>
      <c r="C617" s="3">
        <v>38600</v>
      </c>
      <c r="D617" s="3">
        <v>38745</v>
      </c>
      <c r="E617" t="s">
        <v>17</v>
      </c>
      <c r="F617">
        <v>32.195</v>
      </c>
      <c r="G617">
        <v>813.19</v>
      </c>
      <c r="H617">
        <v>26181</v>
      </c>
      <c r="I617" s="4">
        <v>38686</v>
      </c>
      <c r="J617" s="5">
        <f t="shared" si="18"/>
        <v>-59</v>
      </c>
      <c r="K617" s="6" t="str">
        <f t="shared" si="19"/>
        <v>A~0</v>
      </c>
      <c r="L617" t="str">
        <f>IF(J617&lt;0,"A~0",VLOOKUP(J617,[1]作法V!$B$1:$C$9,2,TRUE))</f>
        <v>A~0</v>
      </c>
    </row>
    <row r="618" spans="1:12">
      <c r="A618">
        <v>1053</v>
      </c>
      <c r="B618" t="s">
        <v>21</v>
      </c>
      <c r="C618" s="3">
        <v>38602</v>
      </c>
      <c r="D618" s="3">
        <v>38745</v>
      </c>
      <c r="E618" t="s">
        <v>18</v>
      </c>
      <c r="F618">
        <v>1</v>
      </c>
      <c r="G618">
        <v>493920</v>
      </c>
      <c r="H618">
        <v>493920</v>
      </c>
      <c r="I618" s="4">
        <v>38686</v>
      </c>
      <c r="J618" s="5">
        <f t="shared" si="18"/>
        <v>-59</v>
      </c>
      <c r="K618" s="6" t="str">
        <f t="shared" si="19"/>
        <v>A~0</v>
      </c>
      <c r="L618" t="str">
        <f>IF(J618&lt;0,"A~0",VLOOKUP(J618,[1]作法V!$B$1:$C$9,2,TRUE))</f>
        <v>A~0</v>
      </c>
    </row>
    <row r="619" spans="1:12">
      <c r="A619">
        <v>1053</v>
      </c>
      <c r="B619" t="s">
        <v>21</v>
      </c>
      <c r="C619" s="3">
        <v>38602</v>
      </c>
      <c r="D619" s="3">
        <v>38745</v>
      </c>
      <c r="E619" t="s">
        <v>18</v>
      </c>
      <c r="F619">
        <v>1</v>
      </c>
      <c r="G619">
        <v>137532</v>
      </c>
      <c r="H619">
        <v>137532</v>
      </c>
      <c r="I619" s="4">
        <v>38686</v>
      </c>
      <c r="J619" s="5">
        <f t="shared" si="18"/>
        <v>-59</v>
      </c>
      <c r="K619" s="6" t="str">
        <f t="shared" si="19"/>
        <v>A~0</v>
      </c>
      <c r="L619" t="str">
        <f>IF(J619&lt;0,"A~0",VLOOKUP(J619,[1]作法V!$B$1:$C$9,2,TRUE))</f>
        <v>A~0</v>
      </c>
    </row>
    <row r="620" spans="1:12">
      <c r="A620">
        <v>1053</v>
      </c>
      <c r="B620" t="s">
        <v>21</v>
      </c>
      <c r="C620" s="3">
        <v>38602</v>
      </c>
      <c r="D620" s="3">
        <v>38745</v>
      </c>
      <c r="E620" t="s">
        <v>18</v>
      </c>
      <c r="F620">
        <v>1</v>
      </c>
      <c r="G620">
        <v>562266</v>
      </c>
      <c r="H620">
        <v>562266</v>
      </c>
      <c r="I620" s="4">
        <v>38686</v>
      </c>
      <c r="J620" s="5">
        <f t="shared" si="18"/>
        <v>-59</v>
      </c>
      <c r="K620" s="6" t="str">
        <f t="shared" si="19"/>
        <v>A~0</v>
      </c>
      <c r="L620" t="str">
        <f>IF(J620&lt;0,"A~0",VLOOKUP(J620,[1]作法V!$B$1:$C$9,2,TRUE))</f>
        <v>A~0</v>
      </c>
    </row>
    <row r="621" spans="1:12">
      <c r="A621">
        <v>1053</v>
      </c>
      <c r="B621" t="s">
        <v>21</v>
      </c>
      <c r="C621" s="3">
        <v>38602</v>
      </c>
      <c r="D621" s="3">
        <v>38745</v>
      </c>
      <c r="E621" t="s">
        <v>18</v>
      </c>
      <c r="F621">
        <v>1</v>
      </c>
      <c r="G621">
        <v>118246</v>
      </c>
      <c r="H621">
        <v>118246</v>
      </c>
      <c r="I621" s="4">
        <v>38686</v>
      </c>
      <c r="J621" s="5">
        <f t="shared" si="18"/>
        <v>-59</v>
      </c>
      <c r="K621" s="6" t="str">
        <f t="shared" si="19"/>
        <v>A~0</v>
      </c>
      <c r="L621" t="str">
        <f>IF(J621&lt;0,"A~0",VLOOKUP(J621,[1]作法V!$B$1:$C$9,2,TRUE))</f>
        <v>A~0</v>
      </c>
    </row>
    <row r="622" spans="1:12">
      <c r="A622">
        <v>1053</v>
      </c>
      <c r="B622" t="s">
        <v>21</v>
      </c>
      <c r="C622" s="3">
        <v>38602</v>
      </c>
      <c r="D622" s="3">
        <v>38745</v>
      </c>
      <c r="E622" t="s">
        <v>17</v>
      </c>
      <c r="F622">
        <v>32.195</v>
      </c>
      <c r="G622">
        <v>9117.92</v>
      </c>
      <c r="H622">
        <v>293551</v>
      </c>
      <c r="I622" s="4">
        <v>38686</v>
      </c>
      <c r="J622" s="5">
        <f t="shared" si="18"/>
        <v>-59</v>
      </c>
      <c r="K622" s="6" t="str">
        <f t="shared" si="19"/>
        <v>A~0</v>
      </c>
      <c r="L622" t="str">
        <f>IF(J622&lt;0,"A~0",VLOOKUP(J622,[1]作法V!$B$1:$C$9,2,TRUE))</f>
        <v>A~0</v>
      </c>
    </row>
    <row r="623" spans="1:12">
      <c r="A623">
        <v>1053</v>
      </c>
      <c r="B623" t="s">
        <v>21</v>
      </c>
      <c r="C623" s="3">
        <v>38602</v>
      </c>
      <c r="D623" s="3">
        <v>38745</v>
      </c>
      <c r="E623" t="s">
        <v>17</v>
      </c>
      <c r="F623">
        <v>32.195</v>
      </c>
      <c r="G623">
        <v>1910.61</v>
      </c>
      <c r="H623">
        <v>61512</v>
      </c>
      <c r="I623" s="4">
        <v>38686</v>
      </c>
      <c r="J623" s="5">
        <f t="shared" si="18"/>
        <v>-59</v>
      </c>
      <c r="K623" s="6" t="str">
        <f t="shared" si="19"/>
        <v>A~0</v>
      </c>
      <c r="L623" t="str">
        <f>IF(J623&lt;0,"A~0",VLOOKUP(J623,[1]作法V!$B$1:$C$9,2,TRUE))</f>
        <v>A~0</v>
      </c>
    </row>
    <row r="624" spans="1:12">
      <c r="A624">
        <v>1053</v>
      </c>
      <c r="B624" t="s">
        <v>21</v>
      </c>
      <c r="C624" s="3">
        <v>38603</v>
      </c>
      <c r="D624" s="3">
        <v>38745</v>
      </c>
      <c r="E624" t="s">
        <v>18</v>
      </c>
      <c r="F624">
        <v>1</v>
      </c>
      <c r="G624">
        <v>6784</v>
      </c>
      <c r="H624">
        <v>6784</v>
      </c>
      <c r="I624" s="4">
        <v>38686</v>
      </c>
      <c r="J624" s="5">
        <f t="shared" si="18"/>
        <v>-59</v>
      </c>
      <c r="K624" s="6" t="str">
        <f t="shared" si="19"/>
        <v>A~0</v>
      </c>
      <c r="L624" t="str">
        <f>IF(J624&lt;0,"A~0",VLOOKUP(J624,[1]作法V!$B$1:$C$9,2,TRUE))</f>
        <v>A~0</v>
      </c>
    </row>
    <row r="625" spans="1:12">
      <c r="A625">
        <v>1053</v>
      </c>
      <c r="B625" t="s">
        <v>21</v>
      </c>
      <c r="C625" s="3">
        <v>38603</v>
      </c>
      <c r="D625" s="3">
        <v>38745</v>
      </c>
      <c r="E625" t="s">
        <v>18</v>
      </c>
      <c r="F625">
        <v>1</v>
      </c>
      <c r="G625">
        <v>232616</v>
      </c>
      <c r="H625">
        <v>232616</v>
      </c>
      <c r="I625" s="4">
        <v>38686</v>
      </c>
      <c r="J625" s="5">
        <f t="shared" si="18"/>
        <v>-59</v>
      </c>
      <c r="K625" s="6" t="str">
        <f t="shared" si="19"/>
        <v>A~0</v>
      </c>
      <c r="L625" t="str">
        <f>IF(J625&lt;0,"A~0",VLOOKUP(J625,[1]作法V!$B$1:$C$9,2,TRUE))</f>
        <v>A~0</v>
      </c>
    </row>
    <row r="626" spans="1:12">
      <c r="A626">
        <v>1053</v>
      </c>
      <c r="B626" t="s">
        <v>21</v>
      </c>
      <c r="C626" s="3">
        <v>38603</v>
      </c>
      <c r="D626" s="3">
        <v>38745</v>
      </c>
      <c r="E626" t="s">
        <v>18</v>
      </c>
      <c r="F626">
        <v>1</v>
      </c>
      <c r="G626">
        <v>63190</v>
      </c>
      <c r="H626">
        <v>63190</v>
      </c>
      <c r="I626" s="4">
        <v>38686</v>
      </c>
      <c r="J626" s="5">
        <f t="shared" si="18"/>
        <v>-59</v>
      </c>
      <c r="K626" s="6" t="str">
        <f t="shared" si="19"/>
        <v>A~0</v>
      </c>
      <c r="L626" t="str">
        <f>IF(J626&lt;0,"A~0",VLOOKUP(J626,[1]作法V!$B$1:$C$9,2,TRUE))</f>
        <v>A~0</v>
      </c>
    </row>
    <row r="627" spans="1:12">
      <c r="A627">
        <v>1053</v>
      </c>
      <c r="B627" t="s">
        <v>21</v>
      </c>
      <c r="C627" s="3">
        <v>38603</v>
      </c>
      <c r="D627" s="3">
        <v>38745</v>
      </c>
      <c r="E627" t="s">
        <v>18</v>
      </c>
      <c r="F627">
        <v>1</v>
      </c>
      <c r="G627">
        <v>4730</v>
      </c>
      <c r="H627">
        <v>4730</v>
      </c>
      <c r="I627" s="4">
        <v>38686</v>
      </c>
      <c r="J627" s="5">
        <f t="shared" si="18"/>
        <v>-59</v>
      </c>
      <c r="K627" s="6" t="str">
        <f t="shared" si="19"/>
        <v>A~0</v>
      </c>
      <c r="L627" t="str">
        <f>IF(J627&lt;0,"A~0",VLOOKUP(J627,[1]作法V!$B$1:$C$9,2,TRUE))</f>
        <v>A~0</v>
      </c>
    </row>
    <row r="628" spans="1:12">
      <c r="A628">
        <v>1053</v>
      </c>
      <c r="B628" t="s">
        <v>21</v>
      </c>
      <c r="C628" s="3">
        <v>38603</v>
      </c>
      <c r="D628" s="3">
        <v>38745</v>
      </c>
      <c r="E628" t="s">
        <v>18</v>
      </c>
      <c r="F628">
        <v>1</v>
      </c>
      <c r="G628">
        <v>121341</v>
      </c>
      <c r="H628">
        <v>121341</v>
      </c>
      <c r="I628" s="4">
        <v>38686</v>
      </c>
      <c r="J628" s="5">
        <f t="shared" si="18"/>
        <v>-59</v>
      </c>
      <c r="K628" s="6" t="str">
        <f t="shared" si="19"/>
        <v>A~0</v>
      </c>
      <c r="L628" t="str">
        <f>IF(J628&lt;0,"A~0",VLOOKUP(J628,[1]作法V!$B$1:$C$9,2,TRUE))</f>
        <v>A~0</v>
      </c>
    </row>
    <row r="629" spans="1:12">
      <c r="A629">
        <v>1053</v>
      </c>
      <c r="B629" t="s">
        <v>21</v>
      </c>
      <c r="C629" s="3">
        <v>38604</v>
      </c>
      <c r="D629" s="3">
        <v>38745</v>
      </c>
      <c r="E629" t="s">
        <v>18</v>
      </c>
      <c r="F629">
        <v>1</v>
      </c>
      <c r="G629">
        <v>54663</v>
      </c>
      <c r="H629">
        <v>54663</v>
      </c>
      <c r="I629" s="4">
        <v>38686</v>
      </c>
      <c r="J629" s="5">
        <f t="shared" si="18"/>
        <v>-59</v>
      </c>
      <c r="K629" s="6" t="str">
        <f t="shared" si="19"/>
        <v>A~0</v>
      </c>
      <c r="L629" t="str">
        <f>IF(J629&lt;0,"A~0",VLOOKUP(J629,[1]作法V!$B$1:$C$9,2,TRUE))</f>
        <v>A~0</v>
      </c>
    </row>
    <row r="630" spans="1:12">
      <c r="A630">
        <v>1053</v>
      </c>
      <c r="B630" t="s">
        <v>21</v>
      </c>
      <c r="C630" s="3">
        <v>38604</v>
      </c>
      <c r="D630" s="3">
        <v>38745</v>
      </c>
      <c r="E630" t="s">
        <v>18</v>
      </c>
      <c r="F630">
        <v>1</v>
      </c>
      <c r="G630">
        <v>9444</v>
      </c>
      <c r="H630">
        <v>9444</v>
      </c>
      <c r="I630" s="4">
        <v>38686</v>
      </c>
      <c r="J630" s="5">
        <f t="shared" si="18"/>
        <v>-59</v>
      </c>
      <c r="K630" s="6" t="str">
        <f t="shared" si="19"/>
        <v>A~0</v>
      </c>
      <c r="L630" t="str">
        <f>IF(J630&lt;0,"A~0",VLOOKUP(J630,[1]作法V!$B$1:$C$9,2,TRUE))</f>
        <v>A~0</v>
      </c>
    </row>
    <row r="631" spans="1:12">
      <c r="A631">
        <v>1053</v>
      </c>
      <c r="B631" t="s">
        <v>21</v>
      </c>
      <c r="C631" s="3">
        <v>38604</v>
      </c>
      <c r="D631" s="3">
        <v>38745</v>
      </c>
      <c r="E631" t="s">
        <v>18</v>
      </c>
      <c r="F631">
        <v>1</v>
      </c>
      <c r="G631">
        <v>7048</v>
      </c>
      <c r="H631">
        <v>7048</v>
      </c>
      <c r="I631" s="4">
        <v>38686</v>
      </c>
      <c r="J631" s="5">
        <f t="shared" si="18"/>
        <v>-59</v>
      </c>
      <c r="K631" s="6" t="str">
        <f t="shared" si="19"/>
        <v>A~0</v>
      </c>
      <c r="L631" t="str">
        <f>IF(J631&lt;0,"A~0",VLOOKUP(J631,[1]作法V!$B$1:$C$9,2,TRUE))</f>
        <v>A~0</v>
      </c>
    </row>
    <row r="632" spans="1:12">
      <c r="A632">
        <v>1053</v>
      </c>
      <c r="B632" t="s">
        <v>21</v>
      </c>
      <c r="C632" s="3">
        <v>38604</v>
      </c>
      <c r="D632" s="3">
        <v>38745</v>
      </c>
      <c r="E632" t="s">
        <v>18</v>
      </c>
      <c r="F632">
        <v>1</v>
      </c>
      <c r="G632">
        <v>221445</v>
      </c>
      <c r="H632">
        <v>221445</v>
      </c>
      <c r="I632" s="4">
        <v>38686</v>
      </c>
      <c r="J632" s="5">
        <f t="shared" si="18"/>
        <v>-59</v>
      </c>
      <c r="K632" s="6" t="str">
        <f t="shared" si="19"/>
        <v>A~0</v>
      </c>
      <c r="L632" t="str">
        <f>IF(J632&lt;0,"A~0",VLOOKUP(J632,[1]作法V!$B$1:$C$9,2,TRUE))</f>
        <v>A~0</v>
      </c>
    </row>
    <row r="633" spans="1:12">
      <c r="A633">
        <v>1053</v>
      </c>
      <c r="B633" t="s">
        <v>21</v>
      </c>
      <c r="C633" s="3">
        <v>38604</v>
      </c>
      <c r="D633" s="3">
        <v>38745</v>
      </c>
      <c r="E633" t="s">
        <v>18</v>
      </c>
      <c r="F633">
        <v>1</v>
      </c>
      <c r="G633">
        <v>3224</v>
      </c>
      <c r="H633">
        <v>3224</v>
      </c>
      <c r="I633" s="4">
        <v>38686</v>
      </c>
      <c r="J633" s="5">
        <f t="shared" si="18"/>
        <v>-59</v>
      </c>
      <c r="K633" s="6" t="str">
        <f t="shared" si="19"/>
        <v>A~0</v>
      </c>
      <c r="L633" t="str">
        <f>IF(J633&lt;0,"A~0",VLOOKUP(J633,[1]作法V!$B$1:$C$9,2,TRUE))</f>
        <v>A~0</v>
      </c>
    </row>
    <row r="634" spans="1:12">
      <c r="A634">
        <v>1053</v>
      </c>
      <c r="B634" t="s">
        <v>21</v>
      </c>
      <c r="C634" s="3">
        <v>38604</v>
      </c>
      <c r="D634" s="3">
        <v>38745</v>
      </c>
      <c r="E634" t="s">
        <v>18</v>
      </c>
      <c r="F634">
        <v>1</v>
      </c>
      <c r="G634">
        <v>293285</v>
      </c>
      <c r="H634">
        <v>293285</v>
      </c>
      <c r="I634" s="4">
        <v>38686</v>
      </c>
      <c r="J634" s="5">
        <f t="shared" si="18"/>
        <v>-59</v>
      </c>
      <c r="K634" s="6" t="str">
        <f t="shared" si="19"/>
        <v>A~0</v>
      </c>
      <c r="L634" t="str">
        <f>IF(J634&lt;0,"A~0",VLOOKUP(J634,[1]作法V!$B$1:$C$9,2,TRUE))</f>
        <v>A~0</v>
      </c>
    </row>
    <row r="635" spans="1:12">
      <c r="A635">
        <v>1053</v>
      </c>
      <c r="B635" t="s">
        <v>21</v>
      </c>
      <c r="C635" s="3">
        <v>38604</v>
      </c>
      <c r="D635" s="3">
        <v>38745</v>
      </c>
      <c r="E635" t="s">
        <v>18</v>
      </c>
      <c r="F635">
        <v>1</v>
      </c>
      <c r="G635">
        <v>288267</v>
      </c>
      <c r="H635">
        <v>288267</v>
      </c>
      <c r="I635" s="4">
        <v>38686</v>
      </c>
      <c r="J635" s="5">
        <f t="shared" si="18"/>
        <v>-59</v>
      </c>
      <c r="K635" s="6" t="str">
        <f t="shared" si="19"/>
        <v>A~0</v>
      </c>
      <c r="L635" t="str">
        <f>IF(J635&lt;0,"A~0",VLOOKUP(J635,[1]作法V!$B$1:$C$9,2,TRUE))</f>
        <v>A~0</v>
      </c>
    </row>
    <row r="636" spans="1:12">
      <c r="A636">
        <v>1053</v>
      </c>
      <c r="B636" t="s">
        <v>21</v>
      </c>
      <c r="C636" s="3">
        <v>38604</v>
      </c>
      <c r="D636" s="3">
        <v>38745</v>
      </c>
      <c r="E636" t="s">
        <v>18</v>
      </c>
      <c r="F636">
        <v>1</v>
      </c>
      <c r="G636">
        <v>98000</v>
      </c>
      <c r="H636">
        <v>98000</v>
      </c>
      <c r="I636" s="4">
        <v>38686</v>
      </c>
      <c r="J636" s="5">
        <f t="shared" si="18"/>
        <v>-59</v>
      </c>
      <c r="K636" s="6" t="str">
        <f t="shared" si="19"/>
        <v>A~0</v>
      </c>
      <c r="L636" t="str">
        <f>IF(J636&lt;0,"A~0",VLOOKUP(J636,[1]作法V!$B$1:$C$9,2,TRUE))</f>
        <v>A~0</v>
      </c>
    </row>
    <row r="637" spans="1:12">
      <c r="A637">
        <v>1053</v>
      </c>
      <c r="B637" t="s">
        <v>21</v>
      </c>
      <c r="C637" s="3">
        <v>38604</v>
      </c>
      <c r="D637" s="3">
        <v>38745</v>
      </c>
      <c r="E637" t="s">
        <v>18</v>
      </c>
      <c r="F637">
        <v>1</v>
      </c>
      <c r="G637">
        <v>374370</v>
      </c>
      <c r="H637">
        <v>374370</v>
      </c>
      <c r="I637" s="4">
        <v>38686</v>
      </c>
      <c r="J637" s="5">
        <f t="shared" si="18"/>
        <v>-59</v>
      </c>
      <c r="K637" s="6" t="str">
        <f t="shared" si="19"/>
        <v>A~0</v>
      </c>
      <c r="L637" t="str">
        <f>IF(J637&lt;0,"A~0",VLOOKUP(J637,[1]作法V!$B$1:$C$9,2,TRUE))</f>
        <v>A~0</v>
      </c>
    </row>
    <row r="638" spans="1:12">
      <c r="A638">
        <v>1053</v>
      </c>
      <c r="B638" t="s">
        <v>21</v>
      </c>
      <c r="C638" s="3">
        <v>38604</v>
      </c>
      <c r="D638" s="3">
        <v>38745</v>
      </c>
      <c r="E638" t="s">
        <v>18</v>
      </c>
      <c r="F638">
        <v>1</v>
      </c>
      <c r="G638">
        <v>68766</v>
      </c>
      <c r="H638">
        <v>68766</v>
      </c>
      <c r="I638" s="4">
        <v>38686</v>
      </c>
      <c r="J638" s="5">
        <f t="shared" si="18"/>
        <v>-59</v>
      </c>
      <c r="K638" s="6" t="str">
        <f t="shared" si="19"/>
        <v>A~0</v>
      </c>
      <c r="L638" t="str">
        <f>IF(J638&lt;0,"A~0",VLOOKUP(J638,[1]作法V!$B$1:$C$9,2,TRUE))</f>
        <v>A~0</v>
      </c>
    </row>
    <row r="639" spans="1:12">
      <c r="A639">
        <v>1053</v>
      </c>
      <c r="B639" t="s">
        <v>21</v>
      </c>
      <c r="C639" s="3">
        <v>38604</v>
      </c>
      <c r="D639" s="3">
        <v>38745</v>
      </c>
      <c r="E639" t="s">
        <v>17</v>
      </c>
      <c r="F639">
        <v>32.195</v>
      </c>
      <c r="G639">
        <v>1574.97</v>
      </c>
      <c r="H639">
        <v>50706</v>
      </c>
      <c r="I639" s="4">
        <v>38686</v>
      </c>
      <c r="J639" s="5">
        <f t="shared" si="18"/>
        <v>-59</v>
      </c>
      <c r="K639" s="6" t="str">
        <f t="shared" si="19"/>
        <v>A~0</v>
      </c>
      <c r="L639" t="str">
        <f>IF(J639&lt;0,"A~0",VLOOKUP(J639,[1]作法V!$B$1:$C$9,2,TRUE))</f>
        <v>A~0</v>
      </c>
    </row>
    <row r="640" spans="1:12">
      <c r="A640">
        <v>1053</v>
      </c>
      <c r="B640" t="s">
        <v>21</v>
      </c>
      <c r="C640" s="3">
        <v>38604</v>
      </c>
      <c r="D640" s="3">
        <v>38745</v>
      </c>
      <c r="E640" t="s">
        <v>17</v>
      </c>
      <c r="F640">
        <v>32.195</v>
      </c>
      <c r="G640">
        <v>376.72</v>
      </c>
      <c r="H640">
        <v>12129</v>
      </c>
      <c r="I640" s="4">
        <v>38686</v>
      </c>
      <c r="J640" s="5">
        <f t="shared" si="18"/>
        <v>-59</v>
      </c>
      <c r="K640" s="6" t="str">
        <f t="shared" si="19"/>
        <v>A~0</v>
      </c>
      <c r="L640" t="str">
        <f>IF(J640&lt;0,"A~0",VLOOKUP(J640,[1]作法V!$B$1:$C$9,2,TRUE))</f>
        <v>A~0</v>
      </c>
    </row>
    <row r="641" spans="1:12">
      <c r="A641">
        <v>1053</v>
      </c>
      <c r="B641" t="s">
        <v>21</v>
      </c>
      <c r="C641" s="3">
        <v>38604</v>
      </c>
      <c r="D641" s="3">
        <v>38745</v>
      </c>
      <c r="E641" t="s">
        <v>17</v>
      </c>
      <c r="F641">
        <v>32.195</v>
      </c>
      <c r="G641">
        <v>3280.22</v>
      </c>
      <c r="H641">
        <v>105607</v>
      </c>
      <c r="I641" s="4">
        <v>38686</v>
      </c>
      <c r="J641" s="5">
        <f t="shared" si="18"/>
        <v>-59</v>
      </c>
      <c r="K641" s="6" t="str">
        <f t="shared" si="19"/>
        <v>A~0</v>
      </c>
      <c r="L641" t="str">
        <f>IF(J641&lt;0,"A~0",VLOOKUP(J641,[1]作法V!$B$1:$C$9,2,TRUE))</f>
        <v>A~0</v>
      </c>
    </row>
    <row r="642" spans="1:12">
      <c r="A642">
        <v>1053</v>
      </c>
      <c r="B642" t="s">
        <v>21</v>
      </c>
      <c r="C642" s="3">
        <v>38604</v>
      </c>
      <c r="D642" s="3">
        <v>38745</v>
      </c>
      <c r="E642" t="s">
        <v>17</v>
      </c>
      <c r="F642">
        <v>32.195</v>
      </c>
      <c r="G642">
        <v>3200</v>
      </c>
      <c r="H642">
        <v>103024</v>
      </c>
      <c r="I642" s="4">
        <v>38686</v>
      </c>
      <c r="J642" s="5">
        <f t="shared" ref="J642:J705" si="20">I642-D642</f>
        <v>-59</v>
      </c>
      <c r="K642" s="6" t="str">
        <f t="shared" ref="K642:K705" si="21">IF(J642&lt;1,"A~0",IF(J642&lt;31,"B1~30",IF(J642&lt;61,"C31~60",IF(J642&lt;91,"D61~90",IF(J642&lt;121,"E91~120",IF(J642&lt;181,"F121~180",IF(J642&lt;361,"G181~360","H361~")))))))</f>
        <v>A~0</v>
      </c>
      <c r="L642" t="str">
        <f>IF(J642&lt;0,"A~0",VLOOKUP(J642,[1]作法V!$B$1:$C$9,2,TRUE))</f>
        <v>A~0</v>
      </c>
    </row>
    <row r="643" spans="1:12">
      <c r="A643">
        <v>1053</v>
      </c>
      <c r="B643" t="s">
        <v>21</v>
      </c>
      <c r="C643" s="3">
        <v>38604</v>
      </c>
      <c r="D643" s="3">
        <v>38745</v>
      </c>
      <c r="E643" t="s">
        <v>17</v>
      </c>
      <c r="F643">
        <v>32.195</v>
      </c>
      <c r="G643">
        <v>2323.94</v>
      </c>
      <c r="H643">
        <v>74819</v>
      </c>
      <c r="I643" s="4">
        <v>38686</v>
      </c>
      <c r="J643" s="5">
        <f t="shared" si="20"/>
        <v>-59</v>
      </c>
      <c r="K643" s="6" t="str">
        <f t="shared" si="21"/>
        <v>A~0</v>
      </c>
      <c r="L643" t="str">
        <f>IF(J643&lt;0,"A~0",VLOOKUP(J643,[1]作法V!$B$1:$C$9,2,TRUE))</f>
        <v>A~0</v>
      </c>
    </row>
    <row r="644" spans="1:12">
      <c r="A644">
        <v>1053</v>
      </c>
      <c r="B644" t="s">
        <v>21</v>
      </c>
      <c r="C644" s="3">
        <v>38604</v>
      </c>
      <c r="D644" s="3">
        <v>38745</v>
      </c>
      <c r="E644" t="s">
        <v>17</v>
      </c>
      <c r="F644">
        <v>32.195</v>
      </c>
      <c r="G644">
        <v>1200</v>
      </c>
      <c r="H644">
        <v>38634</v>
      </c>
      <c r="I644" s="4">
        <v>38686</v>
      </c>
      <c r="J644" s="5">
        <f t="shared" si="20"/>
        <v>-59</v>
      </c>
      <c r="K644" s="6" t="str">
        <f t="shared" si="21"/>
        <v>A~0</v>
      </c>
      <c r="L644" t="str">
        <f>IF(J644&lt;0,"A~0",VLOOKUP(J644,[1]作法V!$B$1:$C$9,2,TRUE))</f>
        <v>A~0</v>
      </c>
    </row>
    <row r="645" spans="1:12">
      <c r="A645">
        <v>1053</v>
      </c>
      <c r="B645" t="s">
        <v>21</v>
      </c>
      <c r="C645" s="3">
        <v>38604</v>
      </c>
      <c r="D645" s="3">
        <v>38745</v>
      </c>
      <c r="E645" t="s">
        <v>17</v>
      </c>
      <c r="F645">
        <v>32.195</v>
      </c>
      <c r="G645">
        <v>9533.8799999999992</v>
      </c>
      <c r="H645">
        <v>306943</v>
      </c>
      <c r="I645" s="4">
        <v>38686</v>
      </c>
      <c r="J645" s="5">
        <f t="shared" si="20"/>
        <v>-59</v>
      </c>
      <c r="K645" s="6" t="str">
        <f t="shared" si="21"/>
        <v>A~0</v>
      </c>
      <c r="L645" t="str">
        <f>IF(J645&lt;0,"A~0",VLOOKUP(J645,[1]作法V!$B$1:$C$9,2,TRUE))</f>
        <v>A~0</v>
      </c>
    </row>
    <row r="646" spans="1:12">
      <c r="A646">
        <v>1053</v>
      </c>
      <c r="B646" t="s">
        <v>21</v>
      </c>
      <c r="C646" s="3">
        <v>38604</v>
      </c>
      <c r="D646" s="3">
        <v>38745</v>
      </c>
      <c r="E646" t="s">
        <v>17</v>
      </c>
      <c r="F646">
        <v>32.195</v>
      </c>
      <c r="G646">
        <v>1300.08</v>
      </c>
      <c r="H646">
        <v>41856</v>
      </c>
      <c r="I646" s="4">
        <v>38686</v>
      </c>
      <c r="J646" s="5">
        <f t="shared" si="20"/>
        <v>-59</v>
      </c>
      <c r="K646" s="6" t="str">
        <f t="shared" si="21"/>
        <v>A~0</v>
      </c>
      <c r="L646" t="str">
        <f>IF(J646&lt;0,"A~0",VLOOKUP(J646,[1]作法V!$B$1:$C$9,2,TRUE))</f>
        <v>A~0</v>
      </c>
    </row>
    <row r="647" spans="1:12">
      <c r="A647">
        <v>1053</v>
      </c>
      <c r="B647" t="s">
        <v>21</v>
      </c>
      <c r="C647" s="3">
        <v>38604</v>
      </c>
      <c r="D647" s="3">
        <v>38745</v>
      </c>
      <c r="E647" t="s">
        <v>17</v>
      </c>
      <c r="F647">
        <v>32.195</v>
      </c>
      <c r="G647">
        <v>1763.2</v>
      </c>
      <c r="H647">
        <v>56766</v>
      </c>
      <c r="I647" s="4">
        <v>38686</v>
      </c>
      <c r="J647" s="5">
        <f t="shared" si="20"/>
        <v>-59</v>
      </c>
      <c r="K647" s="6" t="str">
        <f t="shared" si="21"/>
        <v>A~0</v>
      </c>
      <c r="L647" t="str">
        <f>IF(J647&lt;0,"A~0",VLOOKUP(J647,[1]作法V!$B$1:$C$9,2,TRUE))</f>
        <v>A~0</v>
      </c>
    </row>
    <row r="648" spans="1:12">
      <c r="A648">
        <v>1053</v>
      </c>
      <c r="B648" t="s">
        <v>21</v>
      </c>
      <c r="C648" s="3">
        <v>38604</v>
      </c>
      <c r="D648" s="3">
        <v>38745</v>
      </c>
      <c r="E648" t="s">
        <v>17</v>
      </c>
      <c r="F648">
        <v>32.195</v>
      </c>
      <c r="G648">
        <v>271.08999999999997</v>
      </c>
      <c r="H648">
        <v>8728</v>
      </c>
      <c r="I648" s="4">
        <v>38686</v>
      </c>
      <c r="J648" s="5">
        <f t="shared" si="20"/>
        <v>-59</v>
      </c>
      <c r="K648" s="6" t="str">
        <f t="shared" si="21"/>
        <v>A~0</v>
      </c>
      <c r="L648" t="str">
        <f>IF(J648&lt;0,"A~0",VLOOKUP(J648,[1]作法V!$B$1:$C$9,2,TRUE))</f>
        <v>A~0</v>
      </c>
    </row>
    <row r="649" spans="1:12">
      <c r="A649">
        <v>1053</v>
      </c>
      <c r="B649" t="s">
        <v>21</v>
      </c>
      <c r="C649" s="3">
        <v>38607</v>
      </c>
      <c r="D649" s="3">
        <v>38745</v>
      </c>
      <c r="E649" t="s">
        <v>18</v>
      </c>
      <c r="F649">
        <v>1</v>
      </c>
      <c r="G649">
        <v>160453</v>
      </c>
      <c r="H649">
        <v>160453</v>
      </c>
      <c r="I649" s="4">
        <v>38686</v>
      </c>
      <c r="J649" s="5">
        <f t="shared" si="20"/>
        <v>-59</v>
      </c>
      <c r="K649" s="6" t="str">
        <f t="shared" si="21"/>
        <v>A~0</v>
      </c>
      <c r="L649" t="str">
        <f>IF(J649&lt;0,"A~0",VLOOKUP(J649,[1]作法V!$B$1:$C$9,2,TRUE))</f>
        <v>A~0</v>
      </c>
    </row>
    <row r="650" spans="1:12">
      <c r="A650">
        <v>1053</v>
      </c>
      <c r="B650" t="s">
        <v>21</v>
      </c>
      <c r="C650" s="3">
        <v>38607</v>
      </c>
      <c r="D650" s="3">
        <v>38745</v>
      </c>
      <c r="E650" t="s">
        <v>18</v>
      </c>
      <c r="F650">
        <v>1</v>
      </c>
      <c r="G650">
        <v>133000</v>
      </c>
      <c r="H650">
        <v>133000</v>
      </c>
      <c r="I650" s="4">
        <v>38686</v>
      </c>
      <c r="J650" s="5">
        <f t="shared" si="20"/>
        <v>-59</v>
      </c>
      <c r="K650" s="6" t="str">
        <f t="shared" si="21"/>
        <v>A~0</v>
      </c>
      <c r="L650" t="str">
        <f>IF(J650&lt;0,"A~0",VLOOKUP(J650,[1]作法V!$B$1:$C$9,2,TRUE))</f>
        <v>A~0</v>
      </c>
    </row>
    <row r="651" spans="1:12">
      <c r="A651">
        <v>1053</v>
      </c>
      <c r="B651" t="s">
        <v>21</v>
      </c>
      <c r="C651" s="3">
        <v>38607</v>
      </c>
      <c r="D651" s="3">
        <v>38745</v>
      </c>
      <c r="E651" t="s">
        <v>18</v>
      </c>
      <c r="F651">
        <v>1</v>
      </c>
      <c r="G651">
        <v>267344</v>
      </c>
      <c r="H651">
        <v>267344</v>
      </c>
      <c r="I651" s="4">
        <v>38686</v>
      </c>
      <c r="J651" s="5">
        <f t="shared" si="20"/>
        <v>-59</v>
      </c>
      <c r="K651" s="6" t="str">
        <f t="shared" si="21"/>
        <v>A~0</v>
      </c>
      <c r="L651" t="str">
        <f>IF(J651&lt;0,"A~0",VLOOKUP(J651,[1]作法V!$B$1:$C$9,2,TRUE))</f>
        <v>A~0</v>
      </c>
    </row>
    <row r="652" spans="1:12">
      <c r="A652">
        <v>1053</v>
      </c>
      <c r="B652" t="s">
        <v>21</v>
      </c>
      <c r="C652" s="3">
        <v>38607</v>
      </c>
      <c r="D652" s="3">
        <v>38745</v>
      </c>
      <c r="E652" t="s">
        <v>18</v>
      </c>
      <c r="F652">
        <v>1</v>
      </c>
      <c r="G652">
        <v>166649</v>
      </c>
      <c r="H652">
        <v>166649</v>
      </c>
      <c r="I652" s="4">
        <v>38686</v>
      </c>
      <c r="J652" s="5">
        <f t="shared" si="20"/>
        <v>-59</v>
      </c>
      <c r="K652" s="6" t="str">
        <f t="shared" si="21"/>
        <v>A~0</v>
      </c>
      <c r="L652" t="str">
        <f>IF(J652&lt;0,"A~0",VLOOKUP(J652,[1]作法V!$B$1:$C$9,2,TRUE))</f>
        <v>A~0</v>
      </c>
    </row>
    <row r="653" spans="1:12">
      <c r="A653">
        <v>1053</v>
      </c>
      <c r="B653" t="s">
        <v>21</v>
      </c>
      <c r="C653" s="3">
        <v>38607</v>
      </c>
      <c r="D653" s="3">
        <v>38745</v>
      </c>
      <c r="E653" t="s">
        <v>17</v>
      </c>
      <c r="F653">
        <v>32.365000000000002</v>
      </c>
      <c r="G653">
        <v>7900</v>
      </c>
      <c r="H653">
        <v>255684</v>
      </c>
      <c r="I653" s="4">
        <v>38686</v>
      </c>
      <c r="J653" s="5">
        <f t="shared" si="20"/>
        <v>-59</v>
      </c>
      <c r="K653" s="6" t="str">
        <f t="shared" si="21"/>
        <v>A~0</v>
      </c>
      <c r="L653" t="str">
        <f>IF(J653&lt;0,"A~0",VLOOKUP(J653,[1]作法V!$B$1:$C$9,2,TRUE))</f>
        <v>A~0</v>
      </c>
    </row>
    <row r="654" spans="1:12">
      <c r="A654">
        <v>1053</v>
      </c>
      <c r="B654" t="s">
        <v>21</v>
      </c>
      <c r="C654" s="3">
        <v>38607</v>
      </c>
      <c r="D654" s="3">
        <v>38745</v>
      </c>
      <c r="E654" t="s">
        <v>17</v>
      </c>
      <c r="F654">
        <v>32.365000000000002</v>
      </c>
      <c r="G654">
        <v>2413.92</v>
      </c>
      <c r="H654">
        <v>78127</v>
      </c>
      <c r="I654" s="4">
        <v>38686</v>
      </c>
      <c r="J654" s="5">
        <f t="shared" si="20"/>
        <v>-59</v>
      </c>
      <c r="K654" s="6" t="str">
        <f t="shared" si="21"/>
        <v>A~0</v>
      </c>
      <c r="L654" t="str">
        <f>IF(J654&lt;0,"A~0",VLOOKUP(J654,[1]作法V!$B$1:$C$9,2,TRUE))</f>
        <v>A~0</v>
      </c>
    </row>
    <row r="655" spans="1:12">
      <c r="A655">
        <v>1053</v>
      </c>
      <c r="B655" t="s">
        <v>21</v>
      </c>
      <c r="C655" s="3">
        <v>38607</v>
      </c>
      <c r="D655" s="3">
        <v>38745</v>
      </c>
      <c r="E655" t="s">
        <v>17</v>
      </c>
      <c r="F655">
        <v>32.365000000000002</v>
      </c>
      <c r="G655">
        <v>895.56</v>
      </c>
      <c r="H655">
        <v>28985</v>
      </c>
      <c r="I655" s="4">
        <v>38686</v>
      </c>
      <c r="J655" s="5">
        <f t="shared" si="20"/>
        <v>-59</v>
      </c>
      <c r="K655" s="6" t="str">
        <f t="shared" si="21"/>
        <v>A~0</v>
      </c>
      <c r="L655" t="str">
        <f>IF(J655&lt;0,"A~0",VLOOKUP(J655,[1]作法V!$B$1:$C$9,2,TRUE))</f>
        <v>A~0</v>
      </c>
    </row>
    <row r="656" spans="1:12">
      <c r="A656">
        <v>1053</v>
      </c>
      <c r="B656" t="s">
        <v>21</v>
      </c>
      <c r="C656" s="3">
        <v>38607</v>
      </c>
      <c r="D656" s="3">
        <v>38745</v>
      </c>
      <c r="E656" t="s">
        <v>17</v>
      </c>
      <c r="F656">
        <v>32.365000000000002</v>
      </c>
      <c r="G656">
        <v>7500</v>
      </c>
      <c r="H656">
        <v>242738</v>
      </c>
      <c r="I656" s="4">
        <v>38686</v>
      </c>
      <c r="J656" s="5">
        <f t="shared" si="20"/>
        <v>-59</v>
      </c>
      <c r="K656" s="6" t="str">
        <f t="shared" si="21"/>
        <v>A~0</v>
      </c>
      <c r="L656" t="str">
        <f>IF(J656&lt;0,"A~0",VLOOKUP(J656,[1]作法V!$B$1:$C$9,2,TRUE))</f>
        <v>A~0</v>
      </c>
    </row>
    <row r="657" spans="1:12">
      <c r="A657">
        <v>1053</v>
      </c>
      <c r="B657" t="s">
        <v>21</v>
      </c>
      <c r="C657" s="3">
        <v>38607</v>
      </c>
      <c r="D657" s="3">
        <v>38745</v>
      </c>
      <c r="E657" t="s">
        <v>17</v>
      </c>
      <c r="F657">
        <v>32.365000000000002</v>
      </c>
      <c r="G657">
        <v>62.42</v>
      </c>
      <c r="H657">
        <v>2020</v>
      </c>
      <c r="I657" s="4">
        <v>38686</v>
      </c>
      <c r="J657" s="5">
        <f t="shared" si="20"/>
        <v>-59</v>
      </c>
      <c r="K657" s="6" t="str">
        <f t="shared" si="21"/>
        <v>A~0</v>
      </c>
      <c r="L657" t="str">
        <f>IF(J657&lt;0,"A~0",VLOOKUP(J657,[1]作法V!$B$1:$C$9,2,TRUE))</f>
        <v>A~0</v>
      </c>
    </row>
    <row r="658" spans="1:12">
      <c r="A658">
        <v>1053</v>
      </c>
      <c r="B658" t="s">
        <v>21</v>
      </c>
      <c r="C658" s="3">
        <v>38608</v>
      </c>
      <c r="D658" s="3">
        <v>38745</v>
      </c>
      <c r="E658" t="s">
        <v>18</v>
      </c>
      <c r="F658">
        <v>1</v>
      </c>
      <c r="G658">
        <v>133000</v>
      </c>
      <c r="H658">
        <v>133000</v>
      </c>
      <c r="I658" s="4">
        <v>38686</v>
      </c>
      <c r="J658" s="5">
        <f t="shared" si="20"/>
        <v>-59</v>
      </c>
      <c r="K658" s="6" t="str">
        <f t="shared" si="21"/>
        <v>A~0</v>
      </c>
      <c r="L658" t="str">
        <f>IF(J658&lt;0,"A~0",VLOOKUP(J658,[1]作法V!$B$1:$C$9,2,TRUE))</f>
        <v>A~0</v>
      </c>
    </row>
    <row r="659" spans="1:12">
      <c r="A659">
        <v>1053</v>
      </c>
      <c r="B659" t="s">
        <v>21</v>
      </c>
      <c r="C659" s="3">
        <v>38608</v>
      </c>
      <c r="D659" s="3">
        <v>38745</v>
      </c>
      <c r="E659" t="s">
        <v>18</v>
      </c>
      <c r="F659">
        <v>1</v>
      </c>
      <c r="G659">
        <v>80227</v>
      </c>
      <c r="H659">
        <v>80227</v>
      </c>
      <c r="I659" s="4">
        <v>38686</v>
      </c>
      <c r="J659" s="5">
        <f t="shared" si="20"/>
        <v>-59</v>
      </c>
      <c r="K659" s="6" t="str">
        <f t="shared" si="21"/>
        <v>A~0</v>
      </c>
      <c r="L659" t="str">
        <f>IF(J659&lt;0,"A~0",VLOOKUP(J659,[1]作法V!$B$1:$C$9,2,TRUE))</f>
        <v>A~0</v>
      </c>
    </row>
    <row r="660" spans="1:12">
      <c r="A660">
        <v>1053</v>
      </c>
      <c r="B660" t="s">
        <v>21</v>
      </c>
      <c r="C660" s="3">
        <v>38608</v>
      </c>
      <c r="D660" s="3">
        <v>38745</v>
      </c>
      <c r="E660" t="s">
        <v>18</v>
      </c>
      <c r="F660">
        <v>1</v>
      </c>
      <c r="G660">
        <v>267344</v>
      </c>
      <c r="H660">
        <v>267344</v>
      </c>
      <c r="I660" s="4">
        <v>38686</v>
      </c>
      <c r="J660" s="5">
        <f t="shared" si="20"/>
        <v>-59</v>
      </c>
      <c r="K660" s="6" t="str">
        <f t="shared" si="21"/>
        <v>A~0</v>
      </c>
      <c r="L660" t="str">
        <f>IF(J660&lt;0,"A~0",VLOOKUP(J660,[1]作法V!$B$1:$C$9,2,TRUE))</f>
        <v>A~0</v>
      </c>
    </row>
    <row r="661" spans="1:12">
      <c r="A661">
        <v>1053</v>
      </c>
      <c r="B661" t="s">
        <v>21</v>
      </c>
      <c r="C661" s="3">
        <v>38609</v>
      </c>
      <c r="D661" s="3">
        <v>38745</v>
      </c>
      <c r="E661" t="s">
        <v>18</v>
      </c>
      <c r="F661">
        <v>1</v>
      </c>
      <c r="G661">
        <v>80227</v>
      </c>
      <c r="H661">
        <v>80227</v>
      </c>
      <c r="I661" s="4">
        <v>38686</v>
      </c>
      <c r="J661" s="5">
        <f t="shared" si="20"/>
        <v>-59</v>
      </c>
      <c r="K661" s="6" t="str">
        <f t="shared" si="21"/>
        <v>A~0</v>
      </c>
      <c r="L661" t="str">
        <f>IF(J661&lt;0,"A~0",VLOOKUP(J661,[1]作法V!$B$1:$C$9,2,TRUE))</f>
        <v>A~0</v>
      </c>
    </row>
    <row r="662" spans="1:12">
      <c r="A662">
        <v>1053</v>
      </c>
      <c r="B662" t="s">
        <v>21</v>
      </c>
      <c r="C662" s="3">
        <v>38610</v>
      </c>
      <c r="D662" s="3">
        <v>38745</v>
      </c>
      <c r="E662" t="s">
        <v>18</v>
      </c>
      <c r="F662">
        <v>1</v>
      </c>
      <c r="G662">
        <v>80227</v>
      </c>
      <c r="H662">
        <v>80227</v>
      </c>
      <c r="I662" s="4">
        <v>38686</v>
      </c>
      <c r="J662" s="5">
        <f t="shared" si="20"/>
        <v>-59</v>
      </c>
      <c r="K662" s="6" t="str">
        <f t="shared" si="21"/>
        <v>A~0</v>
      </c>
      <c r="L662" t="str">
        <f>IF(J662&lt;0,"A~0",VLOOKUP(J662,[1]作法V!$B$1:$C$9,2,TRUE))</f>
        <v>A~0</v>
      </c>
    </row>
    <row r="663" spans="1:12">
      <c r="A663">
        <v>1053</v>
      </c>
      <c r="B663" t="s">
        <v>21</v>
      </c>
      <c r="C663" s="3">
        <v>38610</v>
      </c>
      <c r="D663" s="3">
        <v>38745</v>
      </c>
      <c r="E663" t="s">
        <v>17</v>
      </c>
      <c r="F663">
        <v>32.365000000000002</v>
      </c>
      <c r="G663">
        <v>8064</v>
      </c>
      <c r="H663">
        <v>260991</v>
      </c>
      <c r="I663" s="4">
        <v>38686</v>
      </c>
      <c r="J663" s="5">
        <f t="shared" si="20"/>
        <v>-59</v>
      </c>
      <c r="K663" s="6" t="str">
        <f t="shared" si="21"/>
        <v>A~0</v>
      </c>
      <c r="L663" t="str">
        <f>IF(J663&lt;0,"A~0",VLOOKUP(J663,[1]作法V!$B$1:$C$9,2,TRUE))</f>
        <v>A~0</v>
      </c>
    </row>
    <row r="664" spans="1:12">
      <c r="A664">
        <v>1053</v>
      </c>
      <c r="B664" t="s">
        <v>21</v>
      </c>
      <c r="C664" s="3">
        <v>38610</v>
      </c>
      <c r="D664" s="3">
        <v>38745</v>
      </c>
      <c r="E664" t="s">
        <v>17</v>
      </c>
      <c r="F664">
        <v>32.365000000000002</v>
      </c>
      <c r="G664">
        <v>176.43</v>
      </c>
      <c r="H664">
        <v>5710</v>
      </c>
      <c r="I664" s="4">
        <v>38686</v>
      </c>
      <c r="J664" s="5">
        <f t="shared" si="20"/>
        <v>-59</v>
      </c>
      <c r="K664" s="6" t="str">
        <f t="shared" si="21"/>
        <v>A~0</v>
      </c>
      <c r="L664" t="str">
        <f>IF(J664&lt;0,"A~0",VLOOKUP(J664,[1]作法V!$B$1:$C$9,2,TRUE))</f>
        <v>A~0</v>
      </c>
    </row>
    <row r="665" spans="1:12">
      <c r="A665">
        <v>1053</v>
      </c>
      <c r="B665" t="s">
        <v>21</v>
      </c>
      <c r="C665" s="3">
        <v>38610</v>
      </c>
      <c r="D665" s="3">
        <v>38745</v>
      </c>
      <c r="E665" t="s">
        <v>17</v>
      </c>
      <c r="F665">
        <v>32.365000000000002</v>
      </c>
      <c r="G665">
        <v>1491.57</v>
      </c>
      <c r="H665">
        <v>48275</v>
      </c>
      <c r="I665" s="4">
        <v>38686</v>
      </c>
      <c r="J665" s="5">
        <f t="shared" si="20"/>
        <v>-59</v>
      </c>
      <c r="K665" s="6" t="str">
        <f t="shared" si="21"/>
        <v>A~0</v>
      </c>
      <c r="L665" t="str">
        <f>IF(J665&lt;0,"A~0",VLOOKUP(J665,[1]作法V!$B$1:$C$9,2,TRUE))</f>
        <v>A~0</v>
      </c>
    </row>
    <row r="666" spans="1:12">
      <c r="A666">
        <v>1053</v>
      </c>
      <c r="B666" t="s">
        <v>21</v>
      </c>
      <c r="C666" s="3">
        <v>38610</v>
      </c>
      <c r="D666" s="3">
        <v>38745</v>
      </c>
      <c r="E666" t="s">
        <v>17</v>
      </c>
      <c r="F666">
        <v>32.365000000000002</v>
      </c>
      <c r="G666">
        <v>7066.08</v>
      </c>
      <c r="H666">
        <v>228694</v>
      </c>
      <c r="I666" s="4">
        <v>38686</v>
      </c>
      <c r="J666" s="5">
        <f t="shared" si="20"/>
        <v>-59</v>
      </c>
      <c r="K666" s="6" t="str">
        <f t="shared" si="21"/>
        <v>A~0</v>
      </c>
      <c r="L666" t="str">
        <f>IF(J666&lt;0,"A~0",VLOOKUP(J666,[1]作法V!$B$1:$C$9,2,TRUE))</f>
        <v>A~0</v>
      </c>
    </row>
    <row r="667" spans="1:12">
      <c r="A667">
        <v>1053</v>
      </c>
      <c r="B667" t="s">
        <v>21</v>
      </c>
      <c r="C667" s="3">
        <v>38610</v>
      </c>
      <c r="D667" s="3">
        <v>38745</v>
      </c>
      <c r="E667" t="s">
        <v>17</v>
      </c>
      <c r="F667">
        <v>32.365000000000002</v>
      </c>
      <c r="G667">
        <v>13450.24</v>
      </c>
      <c r="H667">
        <v>435317</v>
      </c>
      <c r="I667" s="4">
        <v>38686</v>
      </c>
      <c r="J667" s="5">
        <f t="shared" si="20"/>
        <v>-59</v>
      </c>
      <c r="K667" s="6" t="str">
        <f t="shared" si="21"/>
        <v>A~0</v>
      </c>
      <c r="L667" t="str">
        <f>IF(J667&lt;0,"A~0",VLOOKUP(J667,[1]作法V!$B$1:$C$9,2,TRUE))</f>
        <v>A~0</v>
      </c>
    </row>
    <row r="668" spans="1:12">
      <c r="A668">
        <v>1053</v>
      </c>
      <c r="B668" t="s">
        <v>21</v>
      </c>
      <c r="C668" s="3">
        <v>38610</v>
      </c>
      <c r="D668" s="3">
        <v>38745</v>
      </c>
      <c r="E668" t="s">
        <v>17</v>
      </c>
      <c r="F668">
        <v>32.365000000000002</v>
      </c>
      <c r="G668">
        <v>46.58</v>
      </c>
      <c r="H668">
        <v>1508</v>
      </c>
      <c r="I668" s="4">
        <v>38686</v>
      </c>
      <c r="J668" s="5">
        <f t="shared" si="20"/>
        <v>-59</v>
      </c>
      <c r="K668" s="6" t="str">
        <f t="shared" si="21"/>
        <v>A~0</v>
      </c>
      <c r="L668" t="str">
        <f>IF(J668&lt;0,"A~0",VLOOKUP(J668,[1]作法V!$B$1:$C$9,2,TRUE))</f>
        <v>A~0</v>
      </c>
    </row>
    <row r="669" spans="1:12">
      <c r="A669">
        <v>1053</v>
      </c>
      <c r="B669" t="s">
        <v>21</v>
      </c>
      <c r="C669" s="3">
        <v>38610</v>
      </c>
      <c r="D669" s="3">
        <v>38745</v>
      </c>
      <c r="E669" t="s">
        <v>17</v>
      </c>
      <c r="F669">
        <v>32.365000000000002</v>
      </c>
      <c r="G669">
        <v>2176.88</v>
      </c>
      <c r="H669">
        <v>70455</v>
      </c>
      <c r="I669" s="4">
        <v>38686</v>
      </c>
      <c r="J669" s="5">
        <f t="shared" si="20"/>
        <v>-59</v>
      </c>
      <c r="K669" s="6" t="str">
        <f t="shared" si="21"/>
        <v>A~0</v>
      </c>
      <c r="L669" t="str">
        <f>IF(J669&lt;0,"A~0",VLOOKUP(J669,[1]作法V!$B$1:$C$9,2,TRUE))</f>
        <v>A~0</v>
      </c>
    </row>
    <row r="670" spans="1:12">
      <c r="A670">
        <v>1053</v>
      </c>
      <c r="B670" t="s">
        <v>21</v>
      </c>
      <c r="C670" s="3">
        <v>38610</v>
      </c>
      <c r="D670" s="3">
        <v>38745</v>
      </c>
      <c r="E670" t="s">
        <v>17</v>
      </c>
      <c r="F670">
        <v>32.365000000000002</v>
      </c>
      <c r="G670">
        <v>1899.92</v>
      </c>
      <c r="H670">
        <v>61491</v>
      </c>
      <c r="I670" s="4">
        <v>38686</v>
      </c>
      <c r="J670" s="5">
        <f t="shared" si="20"/>
        <v>-59</v>
      </c>
      <c r="K670" s="6" t="str">
        <f t="shared" si="21"/>
        <v>A~0</v>
      </c>
      <c r="L670" t="str">
        <f>IF(J670&lt;0,"A~0",VLOOKUP(J670,[1]作法V!$B$1:$C$9,2,TRUE))</f>
        <v>A~0</v>
      </c>
    </row>
    <row r="671" spans="1:12">
      <c r="A671">
        <v>1053</v>
      </c>
      <c r="B671" t="s">
        <v>21</v>
      </c>
      <c r="C671" s="3">
        <v>38611</v>
      </c>
      <c r="D671" s="3">
        <v>38745</v>
      </c>
      <c r="E671" t="s">
        <v>18</v>
      </c>
      <c r="F671">
        <v>1</v>
      </c>
      <c r="G671">
        <v>37021</v>
      </c>
      <c r="H671">
        <v>37021</v>
      </c>
      <c r="I671" s="4">
        <v>38686</v>
      </c>
      <c r="J671" s="5">
        <f t="shared" si="20"/>
        <v>-59</v>
      </c>
      <c r="K671" s="6" t="str">
        <f t="shared" si="21"/>
        <v>A~0</v>
      </c>
      <c r="L671" t="str">
        <f>IF(J671&lt;0,"A~0",VLOOKUP(J671,[1]作法V!$B$1:$C$9,2,TRUE))</f>
        <v>A~0</v>
      </c>
    </row>
    <row r="672" spans="1:12">
      <c r="A672">
        <v>1053</v>
      </c>
      <c r="B672" t="s">
        <v>21</v>
      </c>
      <c r="C672" s="3">
        <v>38611</v>
      </c>
      <c r="D672" s="3">
        <v>38745</v>
      </c>
      <c r="E672" t="s">
        <v>18</v>
      </c>
      <c r="F672">
        <v>1</v>
      </c>
      <c r="G672">
        <v>43206</v>
      </c>
      <c r="H672">
        <v>43206</v>
      </c>
      <c r="I672" s="4">
        <v>38686</v>
      </c>
      <c r="J672" s="5">
        <f t="shared" si="20"/>
        <v>-59</v>
      </c>
      <c r="K672" s="6" t="str">
        <f t="shared" si="21"/>
        <v>A~0</v>
      </c>
      <c r="L672" t="str">
        <f>IF(J672&lt;0,"A~0",VLOOKUP(J672,[1]作法V!$B$1:$C$9,2,TRUE))</f>
        <v>A~0</v>
      </c>
    </row>
    <row r="673" spans="1:12">
      <c r="A673">
        <v>1053</v>
      </c>
      <c r="B673" t="s">
        <v>21</v>
      </c>
      <c r="C673" s="3">
        <v>38614</v>
      </c>
      <c r="D673" s="3">
        <v>38745</v>
      </c>
      <c r="E673" t="s">
        <v>18</v>
      </c>
      <c r="F673">
        <v>1</v>
      </c>
      <c r="G673">
        <v>160453</v>
      </c>
      <c r="H673">
        <v>160453</v>
      </c>
      <c r="I673" s="4">
        <v>38686</v>
      </c>
      <c r="J673" s="5">
        <f t="shared" si="20"/>
        <v>-59</v>
      </c>
      <c r="K673" s="6" t="str">
        <f t="shared" si="21"/>
        <v>A~0</v>
      </c>
      <c r="L673" t="str">
        <f>IF(J673&lt;0,"A~0",VLOOKUP(J673,[1]作法V!$B$1:$C$9,2,TRUE))</f>
        <v>A~0</v>
      </c>
    </row>
    <row r="674" spans="1:12">
      <c r="A674">
        <v>1053</v>
      </c>
      <c r="B674" t="s">
        <v>21</v>
      </c>
      <c r="C674" s="3">
        <v>38614</v>
      </c>
      <c r="D674" s="3">
        <v>38745</v>
      </c>
      <c r="E674" t="s">
        <v>17</v>
      </c>
      <c r="F674">
        <v>32.365000000000002</v>
      </c>
      <c r="G674">
        <v>1267.28</v>
      </c>
      <c r="H674">
        <v>41016</v>
      </c>
      <c r="I674" s="4">
        <v>38686</v>
      </c>
      <c r="J674" s="5">
        <f t="shared" si="20"/>
        <v>-59</v>
      </c>
      <c r="K674" s="6" t="str">
        <f t="shared" si="21"/>
        <v>A~0</v>
      </c>
      <c r="L674" t="str">
        <f>IF(J674&lt;0,"A~0",VLOOKUP(J674,[1]作法V!$B$1:$C$9,2,TRUE))</f>
        <v>A~0</v>
      </c>
    </row>
    <row r="675" spans="1:12">
      <c r="A675">
        <v>1053</v>
      </c>
      <c r="B675" t="s">
        <v>21</v>
      </c>
      <c r="C675" s="3">
        <v>38614</v>
      </c>
      <c r="D675" s="3">
        <v>38745</v>
      </c>
      <c r="E675" t="s">
        <v>17</v>
      </c>
      <c r="F675">
        <v>32.365000000000002</v>
      </c>
      <c r="G675">
        <v>519.15</v>
      </c>
      <c r="H675">
        <v>16802</v>
      </c>
      <c r="I675" s="4">
        <v>38686</v>
      </c>
      <c r="J675" s="5">
        <f t="shared" si="20"/>
        <v>-59</v>
      </c>
      <c r="K675" s="6" t="str">
        <f t="shared" si="21"/>
        <v>A~0</v>
      </c>
      <c r="L675" t="str">
        <f>IF(J675&lt;0,"A~0",VLOOKUP(J675,[1]作法V!$B$1:$C$9,2,TRUE))</f>
        <v>A~0</v>
      </c>
    </row>
    <row r="676" spans="1:12">
      <c r="A676">
        <v>1053</v>
      </c>
      <c r="B676" t="s">
        <v>21</v>
      </c>
      <c r="C676" s="3">
        <v>38614</v>
      </c>
      <c r="D676" s="3">
        <v>38745</v>
      </c>
      <c r="E676" t="s">
        <v>17</v>
      </c>
      <c r="F676">
        <v>32.365000000000002</v>
      </c>
      <c r="G676">
        <v>608</v>
      </c>
      <c r="H676">
        <v>19678</v>
      </c>
      <c r="I676" s="4">
        <v>38686</v>
      </c>
      <c r="J676" s="5">
        <f t="shared" si="20"/>
        <v>-59</v>
      </c>
      <c r="K676" s="6" t="str">
        <f t="shared" si="21"/>
        <v>A~0</v>
      </c>
      <c r="L676" t="str">
        <f>IF(J676&lt;0,"A~0",VLOOKUP(J676,[1]作法V!$B$1:$C$9,2,TRUE))</f>
        <v>A~0</v>
      </c>
    </row>
    <row r="677" spans="1:12">
      <c r="A677">
        <v>1053</v>
      </c>
      <c r="B677" t="s">
        <v>21</v>
      </c>
      <c r="C677" s="3">
        <v>38614</v>
      </c>
      <c r="D677" s="3">
        <v>38745</v>
      </c>
      <c r="E677" t="s">
        <v>17</v>
      </c>
      <c r="F677">
        <v>32.365000000000002</v>
      </c>
      <c r="G677">
        <v>12071.99</v>
      </c>
      <c r="H677">
        <v>390710</v>
      </c>
      <c r="I677" s="4">
        <v>38686</v>
      </c>
      <c r="J677" s="5">
        <f t="shared" si="20"/>
        <v>-59</v>
      </c>
      <c r="K677" s="6" t="str">
        <f t="shared" si="21"/>
        <v>A~0</v>
      </c>
      <c r="L677" t="str">
        <f>IF(J677&lt;0,"A~0",VLOOKUP(J677,[1]作法V!$B$1:$C$9,2,TRUE))</f>
        <v>A~0</v>
      </c>
    </row>
    <row r="678" spans="1:12">
      <c r="A678">
        <v>1053</v>
      </c>
      <c r="B678" t="s">
        <v>21</v>
      </c>
      <c r="C678" s="3">
        <v>38615</v>
      </c>
      <c r="D678" s="3">
        <v>38745</v>
      </c>
      <c r="E678" t="s">
        <v>18</v>
      </c>
      <c r="F678">
        <v>1</v>
      </c>
      <c r="G678">
        <v>80227</v>
      </c>
      <c r="H678">
        <v>80227</v>
      </c>
      <c r="I678" s="4">
        <v>38686</v>
      </c>
      <c r="J678" s="5">
        <f t="shared" si="20"/>
        <v>-59</v>
      </c>
      <c r="K678" s="6" t="str">
        <f t="shared" si="21"/>
        <v>A~0</v>
      </c>
      <c r="L678" t="str">
        <f>IF(J678&lt;0,"A~0",VLOOKUP(J678,[1]作法V!$B$1:$C$9,2,TRUE))</f>
        <v>A~0</v>
      </c>
    </row>
    <row r="679" spans="1:12">
      <c r="A679">
        <v>1053</v>
      </c>
      <c r="B679" t="s">
        <v>21</v>
      </c>
      <c r="C679" s="3">
        <v>38615</v>
      </c>
      <c r="D679" s="3">
        <v>38745</v>
      </c>
      <c r="E679" t="s">
        <v>18</v>
      </c>
      <c r="F679">
        <v>1</v>
      </c>
      <c r="G679">
        <v>80227</v>
      </c>
      <c r="H679">
        <v>80227</v>
      </c>
      <c r="I679" s="4">
        <v>38686</v>
      </c>
      <c r="J679" s="5">
        <f t="shared" si="20"/>
        <v>-59</v>
      </c>
      <c r="K679" s="6" t="str">
        <f t="shared" si="21"/>
        <v>A~0</v>
      </c>
      <c r="L679" t="str">
        <f>IF(J679&lt;0,"A~0",VLOOKUP(J679,[1]作法V!$B$1:$C$9,2,TRUE))</f>
        <v>A~0</v>
      </c>
    </row>
    <row r="680" spans="1:12">
      <c r="A680">
        <v>1053</v>
      </c>
      <c r="B680" t="s">
        <v>21</v>
      </c>
      <c r="C680" s="3">
        <v>38616</v>
      </c>
      <c r="D680" s="3">
        <v>38745</v>
      </c>
      <c r="E680" t="s">
        <v>18</v>
      </c>
      <c r="F680">
        <v>1</v>
      </c>
      <c r="G680">
        <v>7959</v>
      </c>
      <c r="H680">
        <v>7959</v>
      </c>
      <c r="I680" s="4">
        <v>38686</v>
      </c>
      <c r="J680" s="5">
        <f t="shared" si="20"/>
        <v>-59</v>
      </c>
      <c r="K680" s="6" t="str">
        <f t="shared" si="21"/>
        <v>A~0</v>
      </c>
      <c r="L680" t="str">
        <f>IF(J680&lt;0,"A~0",VLOOKUP(J680,[1]作法V!$B$1:$C$9,2,TRUE))</f>
        <v>A~0</v>
      </c>
    </row>
    <row r="681" spans="1:12">
      <c r="A681">
        <v>1053</v>
      </c>
      <c r="B681" t="s">
        <v>21</v>
      </c>
      <c r="C681" s="3">
        <v>38616</v>
      </c>
      <c r="D681" s="3">
        <v>38745</v>
      </c>
      <c r="E681" t="s">
        <v>18</v>
      </c>
      <c r="F681">
        <v>1</v>
      </c>
      <c r="G681">
        <v>6640</v>
      </c>
      <c r="H681">
        <v>6640</v>
      </c>
      <c r="I681" s="4">
        <v>38686</v>
      </c>
      <c r="J681" s="5">
        <f t="shared" si="20"/>
        <v>-59</v>
      </c>
      <c r="K681" s="6" t="str">
        <f t="shared" si="21"/>
        <v>A~0</v>
      </c>
      <c r="L681" t="str">
        <f>IF(J681&lt;0,"A~0",VLOOKUP(J681,[1]作法V!$B$1:$C$9,2,TRUE))</f>
        <v>A~0</v>
      </c>
    </row>
    <row r="682" spans="1:12">
      <c r="A682">
        <v>1053</v>
      </c>
      <c r="B682" t="s">
        <v>21</v>
      </c>
      <c r="C682" s="3">
        <v>38616</v>
      </c>
      <c r="D682" s="3">
        <v>38745</v>
      </c>
      <c r="E682" t="s">
        <v>18</v>
      </c>
      <c r="F682">
        <v>1</v>
      </c>
      <c r="G682">
        <v>45980</v>
      </c>
      <c r="H682">
        <v>45980</v>
      </c>
      <c r="I682" s="4">
        <v>38686</v>
      </c>
      <c r="J682" s="5">
        <f t="shared" si="20"/>
        <v>-59</v>
      </c>
      <c r="K682" s="6" t="str">
        <f t="shared" si="21"/>
        <v>A~0</v>
      </c>
      <c r="L682" t="str">
        <f>IF(J682&lt;0,"A~0",VLOOKUP(J682,[1]作法V!$B$1:$C$9,2,TRUE))</f>
        <v>A~0</v>
      </c>
    </row>
    <row r="683" spans="1:12">
      <c r="A683">
        <v>1053</v>
      </c>
      <c r="B683" t="s">
        <v>21</v>
      </c>
      <c r="C683" s="3">
        <v>38616</v>
      </c>
      <c r="D683" s="3">
        <v>38745</v>
      </c>
      <c r="E683" t="s">
        <v>18</v>
      </c>
      <c r="F683">
        <v>1</v>
      </c>
      <c r="G683">
        <v>168640</v>
      </c>
      <c r="H683">
        <v>168640</v>
      </c>
      <c r="I683" s="4">
        <v>38686</v>
      </c>
      <c r="J683" s="5">
        <f t="shared" si="20"/>
        <v>-59</v>
      </c>
      <c r="K683" s="6" t="str">
        <f t="shared" si="21"/>
        <v>A~0</v>
      </c>
      <c r="L683" t="str">
        <f>IF(J683&lt;0,"A~0",VLOOKUP(J683,[1]作法V!$B$1:$C$9,2,TRUE))</f>
        <v>A~0</v>
      </c>
    </row>
    <row r="684" spans="1:12">
      <c r="A684">
        <v>1053</v>
      </c>
      <c r="B684" t="s">
        <v>21</v>
      </c>
      <c r="C684" s="3">
        <v>38616</v>
      </c>
      <c r="D684" s="3">
        <v>38745</v>
      </c>
      <c r="E684" t="s">
        <v>18</v>
      </c>
      <c r="F684">
        <v>1</v>
      </c>
      <c r="G684">
        <v>206297</v>
      </c>
      <c r="H684">
        <v>206297</v>
      </c>
      <c r="I684" s="4">
        <v>38686</v>
      </c>
      <c r="J684" s="5">
        <f t="shared" si="20"/>
        <v>-59</v>
      </c>
      <c r="K684" s="6" t="str">
        <f t="shared" si="21"/>
        <v>A~0</v>
      </c>
      <c r="L684" t="str">
        <f>IF(J684&lt;0,"A~0",VLOOKUP(J684,[1]作法V!$B$1:$C$9,2,TRUE))</f>
        <v>A~0</v>
      </c>
    </row>
    <row r="685" spans="1:12">
      <c r="A685">
        <v>1053</v>
      </c>
      <c r="B685" t="s">
        <v>21</v>
      </c>
      <c r="C685" s="3">
        <v>38617</v>
      </c>
      <c r="D685" s="3">
        <v>38745</v>
      </c>
      <c r="E685" t="s">
        <v>18</v>
      </c>
      <c r="F685">
        <v>1</v>
      </c>
      <c r="G685">
        <v>731002</v>
      </c>
      <c r="H685">
        <v>731002</v>
      </c>
      <c r="I685" s="4">
        <v>38686</v>
      </c>
      <c r="J685" s="5">
        <f t="shared" si="20"/>
        <v>-59</v>
      </c>
      <c r="K685" s="6" t="str">
        <f t="shared" si="21"/>
        <v>A~0</v>
      </c>
      <c r="L685" t="str">
        <f>IF(J685&lt;0,"A~0",VLOOKUP(J685,[1]作法V!$B$1:$C$9,2,TRUE))</f>
        <v>A~0</v>
      </c>
    </row>
    <row r="686" spans="1:12">
      <c r="A686">
        <v>1053</v>
      </c>
      <c r="B686" t="s">
        <v>21</v>
      </c>
      <c r="C686" s="3">
        <v>38617</v>
      </c>
      <c r="D686" s="3">
        <v>38745</v>
      </c>
      <c r="E686" t="s">
        <v>18</v>
      </c>
      <c r="F686">
        <v>1</v>
      </c>
      <c r="G686">
        <v>229219</v>
      </c>
      <c r="H686">
        <v>229219</v>
      </c>
      <c r="I686" s="4">
        <v>38686</v>
      </c>
      <c r="J686" s="5">
        <f t="shared" si="20"/>
        <v>-59</v>
      </c>
      <c r="K686" s="6" t="str">
        <f t="shared" si="21"/>
        <v>A~0</v>
      </c>
      <c r="L686" t="str">
        <f>IF(J686&lt;0,"A~0",VLOOKUP(J686,[1]作法V!$B$1:$C$9,2,TRUE))</f>
        <v>A~0</v>
      </c>
    </row>
    <row r="687" spans="1:12">
      <c r="A687">
        <v>1053</v>
      </c>
      <c r="B687" t="s">
        <v>21</v>
      </c>
      <c r="C687" s="3">
        <v>38617</v>
      </c>
      <c r="D687" s="3">
        <v>38745</v>
      </c>
      <c r="E687" t="s">
        <v>17</v>
      </c>
      <c r="F687">
        <v>32.799999999999997</v>
      </c>
      <c r="G687">
        <v>146.88</v>
      </c>
      <c r="H687">
        <v>4818</v>
      </c>
      <c r="I687" s="4">
        <v>38686</v>
      </c>
      <c r="J687" s="5">
        <f t="shared" si="20"/>
        <v>-59</v>
      </c>
      <c r="K687" s="6" t="str">
        <f t="shared" si="21"/>
        <v>A~0</v>
      </c>
      <c r="L687" t="str">
        <f>IF(J687&lt;0,"A~0",VLOOKUP(J687,[1]作法V!$B$1:$C$9,2,TRUE))</f>
        <v>A~0</v>
      </c>
    </row>
    <row r="688" spans="1:12">
      <c r="A688">
        <v>1053</v>
      </c>
      <c r="B688" t="s">
        <v>21</v>
      </c>
      <c r="C688" s="3">
        <v>38617</v>
      </c>
      <c r="D688" s="3">
        <v>38745</v>
      </c>
      <c r="E688" t="s">
        <v>17</v>
      </c>
      <c r="F688">
        <v>32.799999999999997</v>
      </c>
      <c r="G688">
        <v>334.77</v>
      </c>
      <c r="H688">
        <v>10980</v>
      </c>
      <c r="I688" s="4">
        <v>38686</v>
      </c>
      <c r="J688" s="5">
        <f t="shared" si="20"/>
        <v>-59</v>
      </c>
      <c r="K688" s="6" t="str">
        <f t="shared" si="21"/>
        <v>A~0</v>
      </c>
      <c r="L688" t="str">
        <f>IF(J688&lt;0,"A~0",VLOOKUP(J688,[1]作法V!$B$1:$C$9,2,TRUE))</f>
        <v>A~0</v>
      </c>
    </row>
    <row r="689" spans="1:12">
      <c r="A689">
        <v>1053</v>
      </c>
      <c r="B689" t="s">
        <v>21</v>
      </c>
      <c r="C689" s="3">
        <v>38617</v>
      </c>
      <c r="D689" s="3">
        <v>38745</v>
      </c>
      <c r="E689" t="s">
        <v>17</v>
      </c>
      <c r="F689">
        <v>32.799999999999997</v>
      </c>
      <c r="G689">
        <v>6156</v>
      </c>
      <c r="H689">
        <v>201917</v>
      </c>
      <c r="I689" s="4">
        <v>38686</v>
      </c>
      <c r="J689" s="5">
        <f t="shared" si="20"/>
        <v>-59</v>
      </c>
      <c r="K689" s="6" t="str">
        <f t="shared" si="21"/>
        <v>A~0</v>
      </c>
      <c r="L689" t="str">
        <f>IF(J689&lt;0,"A~0",VLOOKUP(J689,[1]作法V!$B$1:$C$9,2,TRUE))</f>
        <v>A~0</v>
      </c>
    </row>
    <row r="690" spans="1:12">
      <c r="A690">
        <v>1053</v>
      </c>
      <c r="B690" t="s">
        <v>21</v>
      </c>
      <c r="C690" s="3">
        <v>38617</v>
      </c>
      <c r="D690" s="3">
        <v>38745</v>
      </c>
      <c r="E690" t="s">
        <v>17</v>
      </c>
      <c r="F690">
        <v>32.799999999999997</v>
      </c>
      <c r="G690">
        <v>1526.6</v>
      </c>
      <c r="H690">
        <v>50072</v>
      </c>
      <c r="I690" s="4">
        <v>38686</v>
      </c>
      <c r="J690" s="5">
        <f t="shared" si="20"/>
        <v>-59</v>
      </c>
      <c r="K690" s="6" t="str">
        <f t="shared" si="21"/>
        <v>A~0</v>
      </c>
      <c r="L690" t="str">
        <f>IF(J690&lt;0,"A~0",VLOOKUP(J690,[1]作法V!$B$1:$C$9,2,TRUE))</f>
        <v>A~0</v>
      </c>
    </row>
    <row r="691" spans="1:12">
      <c r="A691">
        <v>1053</v>
      </c>
      <c r="B691" t="s">
        <v>21</v>
      </c>
      <c r="C691" s="3">
        <v>38617</v>
      </c>
      <c r="D691" s="3">
        <v>38745</v>
      </c>
      <c r="E691" t="s">
        <v>17</v>
      </c>
      <c r="F691">
        <v>32.799999999999997</v>
      </c>
      <c r="G691">
        <v>4740</v>
      </c>
      <c r="H691">
        <v>155472</v>
      </c>
      <c r="I691" s="4">
        <v>38686</v>
      </c>
      <c r="J691" s="5">
        <f t="shared" si="20"/>
        <v>-59</v>
      </c>
      <c r="K691" s="6" t="str">
        <f t="shared" si="21"/>
        <v>A~0</v>
      </c>
      <c r="L691" t="str">
        <f>IF(J691&lt;0,"A~0",VLOOKUP(J691,[1]作法V!$B$1:$C$9,2,TRUE))</f>
        <v>A~0</v>
      </c>
    </row>
    <row r="692" spans="1:12">
      <c r="A692">
        <v>1053</v>
      </c>
      <c r="B692" t="s">
        <v>21</v>
      </c>
      <c r="C692" s="3">
        <v>38617</v>
      </c>
      <c r="D692" s="3">
        <v>38745</v>
      </c>
      <c r="E692" t="s">
        <v>17</v>
      </c>
      <c r="F692">
        <v>32.799999999999997</v>
      </c>
      <c r="G692">
        <v>176.43</v>
      </c>
      <c r="H692">
        <v>5787</v>
      </c>
      <c r="I692" s="4">
        <v>38686</v>
      </c>
      <c r="J692" s="5">
        <f t="shared" si="20"/>
        <v>-59</v>
      </c>
      <c r="K692" s="6" t="str">
        <f t="shared" si="21"/>
        <v>A~0</v>
      </c>
      <c r="L692" t="str">
        <f>IF(J692&lt;0,"A~0",VLOOKUP(J692,[1]作法V!$B$1:$C$9,2,TRUE))</f>
        <v>A~0</v>
      </c>
    </row>
    <row r="693" spans="1:12">
      <c r="A693">
        <v>1053</v>
      </c>
      <c r="B693" t="s">
        <v>21</v>
      </c>
      <c r="C693" s="3">
        <v>38617</v>
      </c>
      <c r="D693" s="3">
        <v>38745</v>
      </c>
      <c r="E693" t="s">
        <v>17</v>
      </c>
      <c r="F693">
        <v>32.799999999999997</v>
      </c>
      <c r="G693">
        <v>5539.9</v>
      </c>
      <c r="H693">
        <v>181709</v>
      </c>
      <c r="I693" s="4">
        <v>38686</v>
      </c>
      <c r="J693" s="5">
        <f t="shared" si="20"/>
        <v>-59</v>
      </c>
      <c r="K693" s="6" t="str">
        <f t="shared" si="21"/>
        <v>A~0</v>
      </c>
      <c r="L693" t="str">
        <f>IF(J693&lt;0,"A~0",VLOOKUP(J693,[1]作法V!$B$1:$C$9,2,TRUE))</f>
        <v>A~0</v>
      </c>
    </row>
    <row r="694" spans="1:12">
      <c r="A694">
        <v>1053</v>
      </c>
      <c r="B694" t="s">
        <v>21</v>
      </c>
      <c r="C694" s="3">
        <v>38617</v>
      </c>
      <c r="D694" s="3">
        <v>38745</v>
      </c>
      <c r="E694" t="s">
        <v>17</v>
      </c>
      <c r="F694">
        <v>32.799999999999997</v>
      </c>
      <c r="G694">
        <v>1156.8</v>
      </c>
      <c r="H694">
        <v>37943</v>
      </c>
      <c r="I694" s="4">
        <v>38686</v>
      </c>
      <c r="J694" s="5">
        <f t="shared" si="20"/>
        <v>-59</v>
      </c>
      <c r="K694" s="6" t="str">
        <f t="shared" si="21"/>
        <v>A~0</v>
      </c>
      <c r="L694" t="str">
        <f>IF(J694&lt;0,"A~0",VLOOKUP(J694,[1]作法V!$B$1:$C$9,2,TRUE))</f>
        <v>A~0</v>
      </c>
    </row>
    <row r="695" spans="1:12">
      <c r="A695">
        <v>1053</v>
      </c>
      <c r="B695" t="s">
        <v>21</v>
      </c>
      <c r="C695" s="3">
        <v>38617</v>
      </c>
      <c r="D695" s="3">
        <v>38745</v>
      </c>
      <c r="E695" t="s">
        <v>17</v>
      </c>
      <c r="F695">
        <v>32.799999999999997</v>
      </c>
      <c r="G695">
        <v>5121.01</v>
      </c>
      <c r="H695">
        <v>167969</v>
      </c>
      <c r="I695" s="4">
        <v>38686</v>
      </c>
      <c r="J695" s="5">
        <f t="shared" si="20"/>
        <v>-59</v>
      </c>
      <c r="K695" s="6" t="str">
        <f t="shared" si="21"/>
        <v>A~0</v>
      </c>
      <c r="L695" t="str">
        <f>IF(J695&lt;0,"A~0",VLOOKUP(J695,[1]作法V!$B$1:$C$9,2,TRUE))</f>
        <v>A~0</v>
      </c>
    </row>
    <row r="696" spans="1:12">
      <c r="A696">
        <v>1053</v>
      </c>
      <c r="B696" t="s">
        <v>21</v>
      </c>
      <c r="C696" s="3">
        <v>38617</v>
      </c>
      <c r="D696" s="3">
        <v>38745</v>
      </c>
      <c r="E696" t="s">
        <v>17</v>
      </c>
      <c r="F696">
        <v>32.799999999999997</v>
      </c>
      <c r="G696">
        <v>240.8</v>
      </c>
      <c r="H696">
        <v>7898</v>
      </c>
      <c r="I696" s="4">
        <v>38686</v>
      </c>
      <c r="J696" s="5">
        <f t="shared" si="20"/>
        <v>-59</v>
      </c>
      <c r="K696" s="6" t="str">
        <f t="shared" si="21"/>
        <v>A~0</v>
      </c>
      <c r="L696" t="str">
        <f>IF(J696&lt;0,"A~0",VLOOKUP(J696,[1]作法V!$B$1:$C$9,2,TRUE))</f>
        <v>A~0</v>
      </c>
    </row>
    <row r="697" spans="1:12">
      <c r="A697">
        <v>1053</v>
      </c>
      <c r="B697" t="s">
        <v>21</v>
      </c>
      <c r="C697" s="3">
        <v>38617</v>
      </c>
      <c r="D697" s="3">
        <v>38745</v>
      </c>
      <c r="E697" t="s">
        <v>17</v>
      </c>
      <c r="F697">
        <v>32.799999999999997</v>
      </c>
      <c r="G697">
        <v>1964.32</v>
      </c>
      <c r="H697">
        <v>64430</v>
      </c>
      <c r="I697" s="4">
        <v>38686</v>
      </c>
      <c r="J697" s="5">
        <f t="shared" si="20"/>
        <v>-59</v>
      </c>
      <c r="K697" s="6" t="str">
        <f t="shared" si="21"/>
        <v>A~0</v>
      </c>
      <c r="L697" t="str">
        <f>IF(J697&lt;0,"A~0",VLOOKUP(J697,[1]作法V!$B$1:$C$9,2,TRUE))</f>
        <v>A~0</v>
      </c>
    </row>
    <row r="698" spans="1:12">
      <c r="A698">
        <v>1053</v>
      </c>
      <c r="B698" t="s">
        <v>21</v>
      </c>
      <c r="C698" s="3">
        <v>38618</v>
      </c>
      <c r="D698" s="3">
        <v>38745</v>
      </c>
      <c r="E698" t="s">
        <v>18</v>
      </c>
      <c r="F698">
        <v>1</v>
      </c>
      <c r="G698">
        <v>412523</v>
      </c>
      <c r="H698">
        <v>412523</v>
      </c>
      <c r="I698" s="4">
        <v>38686</v>
      </c>
      <c r="J698" s="5">
        <f t="shared" si="20"/>
        <v>-59</v>
      </c>
      <c r="K698" s="6" t="str">
        <f t="shared" si="21"/>
        <v>A~0</v>
      </c>
      <c r="L698" t="str">
        <f>IF(J698&lt;0,"A~0",VLOOKUP(J698,[1]作法V!$B$1:$C$9,2,TRUE))</f>
        <v>A~0</v>
      </c>
    </row>
    <row r="699" spans="1:12">
      <c r="A699">
        <v>1053</v>
      </c>
      <c r="B699" t="s">
        <v>21</v>
      </c>
      <c r="C699" s="3">
        <v>38618</v>
      </c>
      <c r="D699" s="3">
        <v>38745</v>
      </c>
      <c r="E699" t="s">
        <v>18</v>
      </c>
      <c r="F699">
        <v>1</v>
      </c>
      <c r="G699">
        <v>15227</v>
      </c>
      <c r="H699">
        <v>15227</v>
      </c>
      <c r="I699" s="4">
        <v>38686</v>
      </c>
      <c r="J699" s="5">
        <f t="shared" si="20"/>
        <v>-59</v>
      </c>
      <c r="K699" s="6" t="str">
        <f t="shared" si="21"/>
        <v>A~0</v>
      </c>
      <c r="L699" t="str">
        <f>IF(J699&lt;0,"A~0",VLOOKUP(J699,[1]作法V!$B$1:$C$9,2,TRUE))</f>
        <v>A~0</v>
      </c>
    </row>
    <row r="700" spans="1:12">
      <c r="A700">
        <v>1053</v>
      </c>
      <c r="B700" t="s">
        <v>21</v>
      </c>
      <c r="C700" s="3">
        <v>38618</v>
      </c>
      <c r="D700" s="3">
        <v>38745</v>
      </c>
      <c r="E700" t="s">
        <v>18</v>
      </c>
      <c r="F700">
        <v>1</v>
      </c>
      <c r="G700">
        <v>186200</v>
      </c>
      <c r="H700">
        <v>186200</v>
      </c>
      <c r="I700" s="4">
        <v>38686</v>
      </c>
      <c r="J700" s="5">
        <f t="shared" si="20"/>
        <v>-59</v>
      </c>
      <c r="K700" s="6" t="str">
        <f t="shared" si="21"/>
        <v>A~0</v>
      </c>
      <c r="L700" t="str">
        <f>IF(J700&lt;0,"A~0",VLOOKUP(J700,[1]作法V!$B$1:$C$9,2,TRUE))</f>
        <v>A~0</v>
      </c>
    </row>
    <row r="701" spans="1:12">
      <c r="A701">
        <v>1053</v>
      </c>
      <c r="B701" t="s">
        <v>21</v>
      </c>
      <c r="C701" s="3">
        <v>38618</v>
      </c>
      <c r="D701" s="3">
        <v>38745</v>
      </c>
      <c r="E701" t="s">
        <v>18</v>
      </c>
      <c r="F701">
        <v>1</v>
      </c>
      <c r="G701">
        <v>240680</v>
      </c>
      <c r="H701">
        <v>240680</v>
      </c>
      <c r="I701" s="4">
        <v>38686</v>
      </c>
      <c r="J701" s="5">
        <f t="shared" si="20"/>
        <v>-59</v>
      </c>
      <c r="K701" s="6" t="str">
        <f t="shared" si="21"/>
        <v>A~0</v>
      </c>
      <c r="L701" t="str">
        <f>IF(J701&lt;0,"A~0",VLOOKUP(J701,[1]作法V!$B$1:$C$9,2,TRUE))</f>
        <v>A~0</v>
      </c>
    </row>
    <row r="702" spans="1:12">
      <c r="A702">
        <v>1053</v>
      </c>
      <c r="B702" t="s">
        <v>21</v>
      </c>
      <c r="C702" s="3">
        <v>38618</v>
      </c>
      <c r="D702" s="3">
        <v>38745</v>
      </c>
      <c r="E702" t="s">
        <v>17</v>
      </c>
      <c r="F702">
        <v>32.799999999999997</v>
      </c>
      <c r="G702">
        <v>176.89</v>
      </c>
      <c r="H702">
        <v>5802</v>
      </c>
      <c r="I702" s="4">
        <v>38686</v>
      </c>
      <c r="J702" s="5">
        <f t="shared" si="20"/>
        <v>-59</v>
      </c>
      <c r="K702" s="6" t="str">
        <f t="shared" si="21"/>
        <v>A~0</v>
      </c>
      <c r="L702" t="str">
        <f>IF(J702&lt;0,"A~0",VLOOKUP(J702,[1]作法V!$B$1:$C$9,2,TRUE))</f>
        <v>A~0</v>
      </c>
    </row>
    <row r="703" spans="1:12">
      <c r="A703">
        <v>1053</v>
      </c>
      <c r="B703" t="s">
        <v>21</v>
      </c>
      <c r="C703" s="3">
        <v>38618</v>
      </c>
      <c r="D703" s="3">
        <v>38745</v>
      </c>
      <c r="E703" t="s">
        <v>17</v>
      </c>
      <c r="F703">
        <v>32.799999999999997</v>
      </c>
      <c r="G703">
        <v>2225.36</v>
      </c>
      <c r="H703">
        <v>72992</v>
      </c>
      <c r="I703" s="4">
        <v>38686</v>
      </c>
      <c r="J703" s="5">
        <f t="shared" si="20"/>
        <v>-59</v>
      </c>
      <c r="K703" s="6" t="str">
        <f t="shared" si="21"/>
        <v>A~0</v>
      </c>
      <c r="L703" t="str">
        <f>IF(J703&lt;0,"A~0",VLOOKUP(J703,[1]作法V!$B$1:$C$9,2,TRUE))</f>
        <v>A~0</v>
      </c>
    </row>
    <row r="704" spans="1:12">
      <c r="A704">
        <v>1053</v>
      </c>
      <c r="B704" t="s">
        <v>21</v>
      </c>
      <c r="C704" s="3">
        <v>38618</v>
      </c>
      <c r="D704" s="3">
        <v>38745</v>
      </c>
      <c r="E704" t="s">
        <v>17</v>
      </c>
      <c r="F704">
        <v>32.799999999999997</v>
      </c>
      <c r="G704">
        <v>53.4</v>
      </c>
      <c r="H704">
        <v>1752</v>
      </c>
      <c r="I704" s="4">
        <v>38686</v>
      </c>
      <c r="J704" s="5">
        <f t="shared" si="20"/>
        <v>-59</v>
      </c>
      <c r="K704" s="6" t="str">
        <f t="shared" si="21"/>
        <v>A~0</v>
      </c>
      <c r="L704" t="str">
        <f>IF(J704&lt;0,"A~0",VLOOKUP(J704,[1]作法V!$B$1:$C$9,2,TRUE))</f>
        <v>A~0</v>
      </c>
    </row>
    <row r="705" spans="1:12">
      <c r="A705">
        <v>1053</v>
      </c>
      <c r="B705" t="s">
        <v>21</v>
      </c>
      <c r="C705" s="3">
        <v>38618</v>
      </c>
      <c r="D705" s="3">
        <v>38745</v>
      </c>
      <c r="E705" t="s">
        <v>17</v>
      </c>
      <c r="F705">
        <v>32.799999999999997</v>
      </c>
      <c r="G705">
        <v>850.35</v>
      </c>
      <c r="H705">
        <v>27891</v>
      </c>
      <c r="I705" s="4">
        <v>38686</v>
      </c>
      <c r="J705" s="5">
        <f t="shared" si="20"/>
        <v>-59</v>
      </c>
      <c r="K705" s="6" t="str">
        <f t="shared" si="21"/>
        <v>A~0</v>
      </c>
      <c r="L705" t="str">
        <f>IF(J705&lt;0,"A~0",VLOOKUP(J705,[1]作法V!$B$1:$C$9,2,TRUE))</f>
        <v>A~0</v>
      </c>
    </row>
    <row r="706" spans="1:12">
      <c r="A706">
        <v>1053</v>
      </c>
      <c r="B706" t="s">
        <v>21</v>
      </c>
      <c r="C706" s="3">
        <v>38618</v>
      </c>
      <c r="D706" s="3">
        <v>38745</v>
      </c>
      <c r="E706" t="s">
        <v>17</v>
      </c>
      <c r="F706">
        <v>32.799999999999997</v>
      </c>
      <c r="G706">
        <v>3046.08</v>
      </c>
      <c r="H706">
        <v>99911</v>
      </c>
      <c r="I706" s="4">
        <v>38686</v>
      </c>
      <c r="J706" s="5">
        <f t="shared" ref="J706:J769" si="22">I706-D706</f>
        <v>-59</v>
      </c>
      <c r="K706" s="6" t="str">
        <f t="shared" ref="K706:K769" si="23">IF(J706&lt;1,"A~0",IF(J706&lt;31,"B1~30",IF(J706&lt;61,"C31~60",IF(J706&lt;91,"D61~90",IF(J706&lt;121,"E91~120",IF(J706&lt;181,"F121~180",IF(J706&lt;361,"G181~360","H361~")))))))</f>
        <v>A~0</v>
      </c>
      <c r="L706" t="str">
        <f>IF(J706&lt;0,"A~0",VLOOKUP(J706,[1]作法V!$B$1:$C$9,2,TRUE))</f>
        <v>A~0</v>
      </c>
    </row>
    <row r="707" spans="1:12">
      <c r="A707">
        <v>1053</v>
      </c>
      <c r="B707" t="s">
        <v>21</v>
      </c>
      <c r="C707" s="3">
        <v>38618</v>
      </c>
      <c r="D707" s="3">
        <v>38745</v>
      </c>
      <c r="E707" t="s">
        <v>17</v>
      </c>
      <c r="F707">
        <v>32.799999999999997</v>
      </c>
      <c r="G707">
        <v>114</v>
      </c>
      <c r="H707">
        <v>3739</v>
      </c>
      <c r="I707" s="4">
        <v>38686</v>
      </c>
      <c r="J707" s="5">
        <f t="shared" si="22"/>
        <v>-59</v>
      </c>
      <c r="K707" s="6" t="str">
        <f t="shared" si="23"/>
        <v>A~0</v>
      </c>
      <c r="L707" t="str">
        <f>IF(J707&lt;0,"A~0",VLOOKUP(J707,[1]作法V!$B$1:$C$9,2,TRUE))</f>
        <v>A~0</v>
      </c>
    </row>
    <row r="708" spans="1:12">
      <c r="A708">
        <v>1053</v>
      </c>
      <c r="B708" t="s">
        <v>21</v>
      </c>
      <c r="C708" s="3">
        <v>38618</v>
      </c>
      <c r="D708" s="3">
        <v>38745</v>
      </c>
      <c r="E708" t="s">
        <v>17</v>
      </c>
      <c r="F708">
        <v>32.799999999999997</v>
      </c>
      <c r="G708">
        <v>1751.4</v>
      </c>
      <c r="H708">
        <v>57446</v>
      </c>
      <c r="I708" s="4">
        <v>38686</v>
      </c>
      <c r="J708" s="5">
        <f t="shared" si="22"/>
        <v>-59</v>
      </c>
      <c r="K708" s="6" t="str">
        <f t="shared" si="23"/>
        <v>A~0</v>
      </c>
      <c r="L708" t="str">
        <f>IF(J708&lt;0,"A~0",VLOOKUP(J708,[1]作法V!$B$1:$C$9,2,TRUE))</f>
        <v>A~0</v>
      </c>
    </row>
    <row r="709" spans="1:12">
      <c r="A709">
        <v>1053</v>
      </c>
      <c r="B709" t="s">
        <v>21</v>
      </c>
      <c r="C709" s="3">
        <v>38618</v>
      </c>
      <c r="D709" s="3">
        <v>38745</v>
      </c>
      <c r="E709" t="s">
        <v>17</v>
      </c>
      <c r="F709">
        <v>32.799999999999997</v>
      </c>
      <c r="G709">
        <v>115.68</v>
      </c>
      <c r="H709">
        <v>3794</v>
      </c>
      <c r="I709" s="4">
        <v>38686</v>
      </c>
      <c r="J709" s="5">
        <f t="shared" si="22"/>
        <v>-59</v>
      </c>
      <c r="K709" s="6" t="str">
        <f t="shared" si="23"/>
        <v>A~0</v>
      </c>
      <c r="L709" t="str">
        <f>IF(J709&lt;0,"A~0",VLOOKUP(J709,[1]作法V!$B$1:$C$9,2,TRUE))</f>
        <v>A~0</v>
      </c>
    </row>
    <row r="710" spans="1:12">
      <c r="A710">
        <v>1053</v>
      </c>
      <c r="B710" t="s">
        <v>21</v>
      </c>
      <c r="C710" s="3">
        <v>38618</v>
      </c>
      <c r="D710" s="3">
        <v>38745</v>
      </c>
      <c r="E710" t="s">
        <v>17</v>
      </c>
      <c r="F710">
        <v>32.799999999999997</v>
      </c>
      <c r="G710">
        <v>4991.84</v>
      </c>
      <c r="H710">
        <v>163732</v>
      </c>
      <c r="I710" s="4">
        <v>38686</v>
      </c>
      <c r="J710" s="5">
        <f t="shared" si="22"/>
        <v>-59</v>
      </c>
      <c r="K710" s="6" t="str">
        <f t="shared" si="23"/>
        <v>A~0</v>
      </c>
      <c r="L710" t="str">
        <f>IF(J710&lt;0,"A~0",VLOOKUP(J710,[1]作法V!$B$1:$C$9,2,TRUE))</f>
        <v>A~0</v>
      </c>
    </row>
    <row r="711" spans="1:12">
      <c r="A711">
        <v>1053</v>
      </c>
      <c r="B711" t="s">
        <v>21</v>
      </c>
      <c r="C711" s="3">
        <v>38618</v>
      </c>
      <c r="D711" s="3">
        <v>38745</v>
      </c>
      <c r="E711" t="s">
        <v>17</v>
      </c>
      <c r="F711">
        <v>32.799999999999997</v>
      </c>
      <c r="G711">
        <v>6091.95</v>
      </c>
      <c r="H711">
        <v>199816</v>
      </c>
      <c r="I711" s="4">
        <v>38686</v>
      </c>
      <c r="J711" s="5">
        <f t="shared" si="22"/>
        <v>-59</v>
      </c>
      <c r="K711" s="6" t="str">
        <f t="shared" si="23"/>
        <v>A~0</v>
      </c>
      <c r="L711" t="str">
        <f>IF(J711&lt;0,"A~0",VLOOKUP(J711,[1]作法V!$B$1:$C$9,2,TRUE))</f>
        <v>A~0</v>
      </c>
    </row>
    <row r="712" spans="1:12">
      <c r="A712">
        <v>1053</v>
      </c>
      <c r="B712" t="s">
        <v>21</v>
      </c>
      <c r="C712" s="3">
        <v>38618</v>
      </c>
      <c r="D712" s="3">
        <v>38745</v>
      </c>
      <c r="E712" t="s">
        <v>17</v>
      </c>
      <c r="F712">
        <v>32.799999999999997</v>
      </c>
      <c r="G712">
        <v>16350.79</v>
      </c>
      <c r="H712">
        <v>536306</v>
      </c>
      <c r="I712" s="4">
        <v>38686</v>
      </c>
      <c r="J712" s="5">
        <f t="shared" si="22"/>
        <v>-59</v>
      </c>
      <c r="K712" s="6" t="str">
        <f t="shared" si="23"/>
        <v>A~0</v>
      </c>
      <c r="L712" t="str">
        <f>IF(J712&lt;0,"A~0",VLOOKUP(J712,[1]作法V!$B$1:$C$9,2,TRUE))</f>
        <v>A~0</v>
      </c>
    </row>
    <row r="713" spans="1:12">
      <c r="A713">
        <v>1053</v>
      </c>
      <c r="B713" t="s">
        <v>21</v>
      </c>
      <c r="C713" s="3">
        <v>38621</v>
      </c>
      <c r="D713" s="3">
        <v>38776</v>
      </c>
      <c r="E713" t="s">
        <v>18</v>
      </c>
      <c r="F713">
        <v>1</v>
      </c>
      <c r="G713">
        <v>252762</v>
      </c>
      <c r="H713">
        <v>252762</v>
      </c>
      <c r="I713" s="4">
        <v>38686</v>
      </c>
      <c r="J713" s="5">
        <f t="shared" si="22"/>
        <v>-90</v>
      </c>
      <c r="K713" s="6" t="str">
        <f t="shared" si="23"/>
        <v>A~0</v>
      </c>
      <c r="L713" t="str">
        <f>IF(J713&lt;0,"A~0",VLOOKUP(J713,[1]作法V!$B$1:$C$9,2,TRUE))</f>
        <v>A~0</v>
      </c>
    </row>
    <row r="714" spans="1:12">
      <c r="A714">
        <v>1053</v>
      </c>
      <c r="B714" t="s">
        <v>21</v>
      </c>
      <c r="C714" s="3">
        <v>38621</v>
      </c>
      <c r="D714" s="3">
        <v>38776</v>
      </c>
      <c r="E714" t="s">
        <v>18</v>
      </c>
      <c r="F714">
        <v>1</v>
      </c>
      <c r="G714">
        <v>455801</v>
      </c>
      <c r="H714">
        <v>455801</v>
      </c>
      <c r="I714" s="4">
        <v>38686</v>
      </c>
      <c r="J714" s="5">
        <f t="shared" si="22"/>
        <v>-90</v>
      </c>
      <c r="K714" s="6" t="str">
        <f t="shared" si="23"/>
        <v>A~0</v>
      </c>
      <c r="L714" t="str">
        <f>IF(J714&lt;0,"A~0",VLOOKUP(J714,[1]作法V!$B$1:$C$9,2,TRUE))</f>
        <v>A~0</v>
      </c>
    </row>
    <row r="715" spans="1:12">
      <c r="A715">
        <v>1053</v>
      </c>
      <c r="B715" t="s">
        <v>21</v>
      </c>
      <c r="C715" s="3">
        <v>38621</v>
      </c>
      <c r="D715" s="3">
        <v>38776</v>
      </c>
      <c r="E715" t="s">
        <v>18</v>
      </c>
      <c r="F715">
        <v>1</v>
      </c>
      <c r="G715">
        <v>260509</v>
      </c>
      <c r="H715">
        <v>260509</v>
      </c>
      <c r="I715" s="4">
        <v>38686</v>
      </c>
      <c r="J715" s="5">
        <f t="shared" si="22"/>
        <v>-90</v>
      </c>
      <c r="K715" s="6" t="str">
        <f t="shared" si="23"/>
        <v>A~0</v>
      </c>
      <c r="L715" t="str">
        <f>IF(J715&lt;0,"A~0",VLOOKUP(J715,[1]作法V!$B$1:$C$9,2,TRUE))</f>
        <v>A~0</v>
      </c>
    </row>
    <row r="716" spans="1:12">
      <c r="A716">
        <v>1053</v>
      </c>
      <c r="B716" t="s">
        <v>21</v>
      </c>
      <c r="C716" s="3">
        <v>38621</v>
      </c>
      <c r="D716" s="3">
        <v>38776</v>
      </c>
      <c r="E716" t="s">
        <v>17</v>
      </c>
      <c r="F716">
        <v>32.799999999999997</v>
      </c>
      <c r="G716">
        <v>1029.21</v>
      </c>
      <c r="H716">
        <v>33758</v>
      </c>
      <c r="I716" s="4">
        <v>38686</v>
      </c>
      <c r="J716" s="5">
        <f t="shared" si="22"/>
        <v>-90</v>
      </c>
      <c r="K716" s="6" t="str">
        <f t="shared" si="23"/>
        <v>A~0</v>
      </c>
      <c r="L716" t="str">
        <f>IF(J716&lt;0,"A~0",VLOOKUP(J716,[1]作法V!$B$1:$C$9,2,TRUE))</f>
        <v>A~0</v>
      </c>
    </row>
    <row r="717" spans="1:12">
      <c r="A717">
        <v>1053</v>
      </c>
      <c r="B717" t="s">
        <v>21</v>
      </c>
      <c r="C717" s="3">
        <v>38621</v>
      </c>
      <c r="D717" s="3">
        <v>38776</v>
      </c>
      <c r="E717" t="s">
        <v>17</v>
      </c>
      <c r="F717">
        <v>32.799999999999997</v>
      </c>
      <c r="G717">
        <v>432.26</v>
      </c>
      <c r="H717">
        <v>14178</v>
      </c>
      <c r="I717" s="4">
        <v>38686</v>
      </c>
      <c r="J717" s="5">
        <f t="shared" si="22"/>
        <v>-90</v>
      </c>
      <c r="K717" s="6" t="str">
        <f t="shared" si="23"/>
        <v>A~0</v>
      </c>
      <c r="L717" t="str">
        <f>IF(J717&lt;0,"A~0",VLOOKUP(J717,[1]作法V!$B$1:$C$9,2,TRUE))</f>
        <v>A~0</v>
      </c>
    </row>
    <row r="718" spans="1:12">
      <c r="A718">
        <v>1053</v>
      </c>
      <c r="B718" t="s">
        <v>21</v>
      </c>
      <c r="C718" s="3">
        <v>38621</v>
      </c>
      <c r="D718" s="3">
        <v>38776</v>
      </c>
      <c r="E718" t="s">
        <v>17</v>
      </c>
      <c r="F718">
        <v>32.799999999999997</v>
      </c>
      <c r="G718">
        <v>9978.19</v>
      </c>
      <c r="H718">
        <v>327285</v>
      </c>
      <c r="I718" s="4">
        <v>38686</v>
      </c>
      <c r="J718" s="5">
        <f t="shared" si="22"/>
        <v>-90</v>
      </c>
      <c r="K718" s="6" t="str">
        <f t="shared" si="23"/>
        <v>A~0</v>
      </c>
      <c r="L718" t="str">
        <f>IF(J718&lt;0,"A~0",VLOOKUP(J718,[1]作法V!$B$1:$C$9,2,TRUE))</f>
        <v>A~0</v>
      </c>
    </row>
    <row r="719" spans="1:12">
      <c r="A719">
        <v>1053</v>
      </c>
      <c r="B719" t="s">
        <v>21</v>
      </c>
      <c r="C719" s="3">
        <v>38621</v>
      </c>
      <c r="D719" s="3">
        <v>38776</v>
      </c>
      <c r="E719" t="s">
        <v>17</v>
      </c>
      <c r="F719">
        <v>32.799999999999997</v>
      </c>
      <c r="G719">
        <v>5193.92</v>
      </c>
      <c r="H719">
        <v>170361</v>
      </c>
      <c r="I719" s="4">
        <v>38686</v>
      </c>
      <c r="J719" s="5">
        <f t="shared" si="22"/>
        <v>-90</v>
      </c>
      <c r="K719" s="6" t="str">
        <f t="shared" si="23"/>
        <v>A~0</v>
      </c>
      <c r="L719" t="str">
        <f>IF(J719&lt;0,"A~0",VLOOKUP(J719,[1]作法V!$B$1:$C$9,2,TRUE))</f>
        <v>A~0</v>
      </c>
    </row>
    <row r="720" spans="1:12">
      <c r="A720">
        <v>1053</v>
      </c>
      <c r="B720" t="s">
        <v>21</v>
      </c>
      <c r="C720" s="3">
        <v>38621</v>
      </c>
      <c r="D720" s="3">
        <v>38776</v>
      </c>
      <c r="E720" t="s">
        <v>17</v>
      </c>
      <c r="F720">
        <v>32.799999999999997</v>
      </c>
      <c r="G720">
        <v>9480</v>
      </c>
      <c r="H720">
        <v>310944</v>
      </c>
      <c r="I720" s="4">
        <v>38686</v>
      </c>
      <c r="J720" s="5">
        <f t="shared" si="22"/>
        <v>-90</v>
      </c>
      <c r="K720" s="6" t="str">
        <f t="shared" si="23"/>
        <v>A~0</v>
      </c>
      <c r="L720" t="str">
        <f>IF(J720&lt;0,"A~0",VLOOKUP(J720,[1]作法V!$B$1:$C$9,2,TRUE))</f>
        <v>A~0</v>
      </c>
    </row>
    <row r="721" spans="1:12">
      <c r="A721">
        <v>1053</v>
      </c>
      <c r="B721" t="s">
        <v>21</v>
      </c>
      <c r="C721" s="3">
        <v>38621</v>
      </c>
      <c r="D721" s="3">
        <v>38776</v>
      </c>
      <c r="E721" t="s">
        <v>17</v>
      </c>
      <c r="F721">
        <v>32.799999999999997</v>
      </c>
      <c r="G721">
        <v>2069.7399999999998</v>
      </c>
      <c r="H721">
        <v>67887</v>
      </c>
      <c r="I721" s="4">
        <v>38686</v>
      </c>
      <c r="J721" s="5">
        <f t="shared" si="22"/>
        <v>-90</v>
      </c>
      <c r="K721" s="6" t="str">
        <f t="shared" si="23"/>
        <v>A~0</v>
      </c>
      <c r="L721" t="str">
        <f>IF(J721&lt;0,"A~0",VLOOKUP(J721,[1]作法V!$B$1:$C$9,2,TRUE))</f>
        <v>A~0</v>
      </c>
    </row>
    <row r="722" spans="1:12">
      <c r="A722">
        <v>1053</v>
      </c>
      <c r="B722" t="s">
        <v>21</v>
      </c>
      <c r="C722" s="3">
        <v>38621</v>
      </c>
      <c r="D722" s="3">
        <v>38776</v>
      </c>
      <c r="E722" t="s">
        <v>17</v>
      </c>
      <c r="F722">
        <v>32.799999999999997</v>
      </c>
      <c r="G722">
        <v>7009.83</v>
      </c>
      <c r="H722">
        <v>229922</v>
      </c>
      <c r="I722" s="4">
        <v>38686</v>
      </c>
      <c r="J722" s="5">
        <f t="shared" si="22"/>
        <v>-90</v>
      </c>
      <c r="K722" s="6" t="str">
        <f t="shared" si="23"/>
        <v>A~0</v>
      </c>
      <c r="L722" t="str">
        <f>IF(J722&lt;0,"A~0",VLOOKUP(J722,[1]作法V!$B$1:$C$9,2,TRUE))</f>
        <v>A~0</v>
      </c>
    </row>
    <row r="723" spans="1:12">
      <c r="A723">
        <v>1053</v>
      </c>
      <c r="B723" t="s">
        <v>21</v>
      </c>
      <c r="C723" s="3">
        <v>38621</v>
      </c>
      <c r="D723" s="3">
        <v>38776</v>
      </c>
      <c r="E723" t="s">
        <v>17</v>
      </c>
      <c r="F723">
        <v>32.799999999999997</v>
      </c>
      <c r="G723">
        <v>2646.08</v>
      </c>
      <c r="H723">
        <v>86791</v>
      </c>
      <c r="I723" s="4">
        <v>38686</v>
      </c>
      <c r="J723" s="5">
        <f t="shared" si="22"/>
        <v>-90</v>
      </c>
      <c r="K723" s="6" t="str">
        <f t="shared" si="23"/>
        <v>A~0</v>
      </c>
      <c r="L723" t="str">
        <f>IF(J723&lt;0,"A~0",VLOOKUP(J723,[1]作法V!$B$1:$C$9,2,TRUE))</f>
        <v>A~0</v>
      </c>
    </row>
    <row r="724" spans="1:12">
      <c r="A724">
        <v>1053</v>
      </c>
      <c r="B724" t="s">
        <v>21</v>
      </c>
      <c r="C724" s="3">
        <v>38622</v>
      </c>
      <c r="D724" s="3">
        <v>38776</v>
      </c>
      <c r="E724" t="s">
        <v>18</v>
      </c>
      <c r="F724">
        <v>1</v>
      </c>
      <c r="G724">
        <v>275063</v>
      </c>
      <c r="H724">
        <v>275063</v>
      </c>
      <c r="I724" s="4">
        <v>38686</v>
      </c>
      <c r="J724" s="5">
        <f t="shared" si="22"/>
        <v>-90</v>
      </c>
      <c r="K724" s="6" t="str">
        <f t="shared" si="23"/>
        <v>A~0</v>
      </c>
      <c r="L724" t="str">
        <f>IF(J724&lt;0,"A~0",VLOOKUP(J724,[1]作法V!$B$1:$C$9,2,TRUE))</f>
        <v>A~0</v>
      </c>
    </row>
    <row r="725" spans="1:12">
      <c r="A725">
        <v>1053</v>
      </c>
      <c r="B725" t="s">
        <v>21</v>
      </c>
      <c r="C725" s="3">
        <v>38622</v>
      </c>
      <c r="D725" s="3">
        <v>38776</v>
      </c>
      <c r="E725" t="s">
        <v>18</v>
      </c>
      <c r="F725">
        <v>1</v>
      </c>
      <c r="G725">
        <v>257622</v>
      </c>
      <c r="H725">
        <v>257622</v>
      </c>
      <c r="I725" s="4">
        <v>38686</v>
      </c>
      <c r="J725" s="5">
        <f t="shared" si="22"/>
        <v>-90</v>
      </c>
      <c r="K725" s="6" t="str">
        <f t="shared" si="23"/>
        <v>A~0</v>
      </c>
      <c r="L725" t="str">
        <f>IF(J725&lt;0,"A~0",VLOOKUP(J725,[1]作法V!$B$1:$C$9,2,TRUE))</f>
        <v>A~0</v>
      </c>
    </row>
    <row r="726" spans="1:12">
      <c r="A726">
        <v>1053</v>
      </c>
      <c r="B726" t="s">
        <v>21</v>
      </c>
      <c r="C726" s="3">
        <v>38622</v>
      </c>
      <c r="D726" s="3">
        <v>38776</v>
      </c>
      <c r="E726" t="s">
        <v>17</v>
      </c>
      <c r="F726">
        <v>32.799999999999997</v>
      </c>
      <c r="G726">
        <v>2947.96</v>
      </c>
      <c r="H726">
        <v>96693</v>
      </c>
      <c r="I726" s="4">
        <v>38686</v>
      </c>
      <c r="J726" s="5">
        <f t="shared" si="22"/>
        <v>-90</v>
      </c>
      <c r="K726" s="6" t="str">
        <f t="shared" si="23"/>
        <v>A~0</v>
      </c>
      <c r="L726" t="str">
        <f>IF(J726&lt;0,"A~0",VLOOKUP(J726,[1]作法V!$B$1:$C$9,2,TRUE))</f>
        <v>A~0</v>
      </c>
    </row>
    <row r="727" spans="1:12">
      <c r="A727">
        <v>1053</v>
      </c>
      <c r="B727" t="s">
        <v>21</v>
      </c>
      <c r="C727" s="3">
        <v>38622</v>
      </c>
      <c r="D727" s="3">
        <v>38776</v>
      </c>
      <c r="E727" t="s">
        <v>17</v>
      </c>
      <c r="F727">
        <v>32.799999999999997</v>
      </c>
      <c r="G727">
        <v>9820.64</v>
      </c>
      <c r="H727">
        <v>322117</v>
      </c>
      <c r="I727" s="4">
        <v>38686</v>
      </c>
      <c r="J727" s="5">
        <f t="shared" si="22"/>
        <v>-90</v>
      </c>
      <c r="K727" s="6" t="str">
        <f t="shared" si="23"/>
        <v>A~0</v>
      </c>
      <c r="L727" t="str">
        <f>IF(J727&lt;0,"A~0",VLOOKUP(J727,[1]作法V!$B$1:$C$9,2,TRUE))</f>
        <v>A~0</v>
      </c>
    </row>
    <row r="728" spans="1:12">
      <c r="A728">
        <v>1053</v>
      </c>
      <c r="B728" t="s">
        <v>21</v>
      </c>
      <c r="C728" s="3">
        <v>38622</v>
      </c>
      <c r="D728" s="3">
        <v>38776</v>
      </c>
      <c r="E728" t="s">
        <v>17</v>
      </c>
      <c r="F728">
        <v>32.799999999999997</v>
      </c>
      <c r="G728">
        <v>548.89</v>
      </c>
      <c r="H728">
        <v>18004</v>
      </c>
      <c r="I728" s="4">
        <v>38686</v>
      </c>
      <c r="J728" s="5">
        <f t="shared" si="22"/>
        <v>-90</v>
      </c>
      <c r="K728" s="6" t="str">
        <f t="shared" si="23"/>
        <v>A~0</v>
      </c>
      <c r="L728" t="str">
        <f>IF(J728&lt;0,"A~0",VLOOKUP(J728,[1]作法V!$B$1:$C$9,2,TRUE))</f>
        <v>A~0</v>
      </c>
    </row>
    <row r="729" spans="1:12">
      <c r="A729">
        <v>1053</v>
      </c>
      <c r="B729" t="s">
        <v>21</v>
      </c>
      <c r="C729" s="3">
        <v>38622</v>
      </c>
      <c r="D729" s="3">
        <v>38776</v>
      </c>
      <c r="E729" t="s">
        <v>17</v>
      </c>
      <c r="F729">
        <v>32.799999999999997</v>
      </c>
      <c r="G729">
        <v>6.95</v>
      </c>
      <c r="H729">
        <v>228</v>
      </c>
      <c r="I729" s="4">
        <v>38686</v>
      </c>
      <c r="J729" s="5">
        <f t="shared" si="22"/>
        <v>-90</v>
      </c>
      <c r="K729" s="6" t="str">
        <f t="shared" si="23"/>
        <v>A~0</v>
      </c>
      <c r="L729" t="str">
        <f>IF(J729&lt;0,"A~0",VLOOKUP(J729,[1]作法V!$B$1:$C$9,2,TRUE))</f>
        <v>A~0</v>
      </c>
    </row>
    <row r="730" spans="1:12">
      <c r="A730">
        <v>1053</v>
      </c>
      <c r="B730" t="s">
        <v>21</v>
      </c>
      <c r="C730" s="3">
        <v>38623</v>
      </c>
      <c r="D730" s="3">
        <v>38776</v>
      </c>
      <c r="E730" t="s">
        <v>18</v>
      </c>
      <c r="F730">
        <v>1</v>
      </c>
      <c r="G730">
        <v>105752</v>
      </c>
      <c r="H730">
        <v>105752</v>
      </c>
      <c r="I730" s="4">
        <v>38686</v>
      </c>
      <c r="J730" s="5">
        <f t="shared" si="22"/>
        <v>-90</v>
      </c>
      <c r="K730" s="6" t="str">
        <f t="shared" si="23"/>
        <v>A~0</v>
      </c>
      <c r="L730" t="str">
        <f>IF(J730&lt;0,"A~0",VLOOKUP(J730,[1]作法V!$B$1:$C$9,2,TRUE))</f>
        <v>A~0</v>
      </c>
    </row>
    <row r="731" spans="1:12">
      <c r="A731">
        <v>1053</v>
      </c>
      <c r="B731" t="s">
        <v>21</v>
      </c>
      <c r="C731" s="3">
        <v>38623</v>
      </c>
      <c r="D731" s="3">
        <v>38776</v>
      </c>
      <c r="E731" t="s">
        <v>18</v>
      </c>
      <c r="F731">
        <v>1</v>
      </c>
      <c r="G731">
        <v>56693</v>
      </c>
      <c r="H731">
        <v>56693</v>
      </c>
      <c r="I731" s="4">
        <v>38686</v>
      </c>
      <c r="J731" s="5">
        <f t="shared" si="22"/>
        <v>-90</v>
      </c>
      <c r="K731" s="6" t="str">
        <f t="shared" si="23"/>
        <v>A~0</v>
      </c>
      <c r="L731" t="str">
        <f>IF(J731&lt;0,"A~0",VLOOKUP(J731,[1]作法V!$B$1:$C$9,2,TRUE))</f>
        <v>A~0</v>
      </c>
    </row>
    <row r="732" spans="1:12">
      <c r="A732">
        <v>1053</v>
      </c>
      <c r="B732" t="s">
        <v>21</v>
      </c>
      <c r="C732" s="3">
        <v>38623</v>
      </c>
      <c r="D732" s="3">
        <v>38776</v>
      </c>
      <c r="E732" t="s">
        <v>18</v>
      </c>
      <c r="F732">
        <v>1</v>
      </c>
      <c r="G732">
        <v>90317</v>
      </c>
      <c r="H732">
        <v>90317</v>
      </c>
      <c r="I732" s="4">
        <v>38686</v>
      </c>
      <c r="J732" s="5">
        <f t="shared" si="22"/>
        <v>-90</v>
      </c>
      <c r="K732" s="6" t="str">
        <f t="shared" si="23"/>
        <v>A~0</v>
      </c>
      <c r="L732" t="str">
        <f>IF(J732&lt;0,"A~0",VLOOKUP(J732,[1]作法V!$B$1:$C$9,2,TRUE))</f>
        <v>A~0</v>
      </c>
    </row>
    <row r="733" spans="1:12">
      <c r="A733">
        <v>1053</v>
      </c>
      <c r="B733" t="s">
        <v>21</v>
      </c>
      <c r="C733" s="3">
        <v>38623</v>
      </c>
      <c r="D733" s="3">
        <v>38776</v>
      </c>
      <c r="E733" t="s">
        <v>18</v>
      </c>
      <c r="F733">
        <v>1</v>
      </c>
      <c r="G733">
        <v>146513</v>
      </c>
      <c r="H733">
        <v>146513</v>
      </c>
      <c r="I733" s="4">
        <v>38686</v>
      </c>
      <c r="J733" s="5">
        <f t="shared" si="22"/>
        <v>-90</v>
      </c>
      <c r="K733" s="6" t="str">
        <f t="shared" si="23"/>
        <v>A~0</v>
      </c>
      <c r="L733" t="str">
        <f>IF(J733&lt;0,"A~0",VLOOKUP(J733,[1]作法V!$B$1:$C$9,2,TRUE))</f>
        <v>A~0</v>
      </c>
    </row>
    <row r="734" spans="1:12">
      <c r="A734">
        <v>1053</v>
      </c>
      <c r="B734" t="s">
        <v>21</v>
      </c>
      <c r="C734" s="3">
        <v>38623</v>
      </c>
      <c r="D734" s="3">
        <v>38776</v>
      </c>
      <c r="E734" t="s">
        <v>18</v>
      </c>
      <c r="F734">
        <v>1</v>
      </c>
      <c r="G734">
        <v>115224</v>
      </c>
      <c r="H734">
        <v>115224</v>
      </c>
      <c r="I734" s="4">
        <v>38686</v>
      </c>
      <c r="J734" s="5">
        <f t="shared" si="22"/>
        <v>-90</v>
      </c>
      <c r="K734" s="6" t="str">
        <f t="shared" si="23"/>
        <v>A~0</v>
      </c>
      <c r="L734" t="str">
        <f>IF(J734&lt;0,"A~0",VLOOKUP(J734,[1]作法V!$B$1:$C$9,2,TRUE))</f>
        <v>A~0</v>
      </c>
    </row>
    <row r="735" spans="1:12">
      <c r="A735">
        <v>1053</v>
      </c>
      <c r="B735" t="s">
        <v>21</v>
      </c>
      <c r="C735" s="3">
        <v>38623</v>
      </c>
      <c r="D735" s="3">
        <v>38776</v>
      </c>
      <c r="E735" t="s">
        <v>18</v>
      </c>
      <c r="F735">
        <v>1</v>
      </c>
      <c r="G735">
        <v>275063</v>
      </c>
      <c r="H735">
        <v>275063</v>
      </c>
      <c r="I735" s="4">
        <v>38686</v>
      </c>
      <c r="J735" s="5">
        <f t="shared" si="22"/>
        <v>-90</v>
      </c>
      <c r="K735" s="6" t="str">
        <f t="shared" si="23"/>
        <v>A~0</v>
      </c>
      <c r="L735" t="str">
        <f>IF(J735&lt;0,"A~0",VLOOKUP(J735,[1]作法V!$B$1:$C$9,2,TRUE))</f>
        <v>A~0</v>
      </c>
    </row>
    <row r="736" spans="1:12">
      <c r="A736">
        <v>1053</v>
      </c>
      <c r="B736" t="s">
        <v>21</v>
      </c>
      <c r="C736" s="3">
        <v>38624</v>
      </c>
      <c r="D736" s="3">
        <v>38776</v>
      </c>
      <c r="E736" t="s">
        <v>18</v>
      </c>
      <c r="F736">
        <v>1</v>
      </c>
      <c r="G736">
        <v>142803</v>
      </c>
      <c r="H736">
        <v>142803</v>
      </c>
      <c r="I736" s="4">
        <v>38686</v>
      </c>
      <c r="J736" s="5">
        <f t="shared" si="22"/>
        <v>-90</v>
      </c>
      <c r="K736" s="6" t="str">
        <f t="shared" si="23"/>
        <v>A~0</v>
      </c>
      <c r="L736" t="str">
        <f>IF(J736&lt;0,"A~0",VLOOKUP(J736,[1]作法V!$B$1:$C$9,2,TRUE))</f>
        <v>A~0</v>
      </c>
    </row>
    <row r="737" spans="1:12">
      <c r="A737">
        <v>1053</v>
      </c>
      <c r="B737" t="s">
        <v>21</v>
      </c>
      <c r="C737" s="3">
        <v>38624</v>
      </c>
      <c r="D737" s="3">
        <v>38776</v>
      </c>
      <c r="E737" t="s">
        <v>18</v>
      </c>
      <c r="F737">
        <v>1</v>
      </c>
      <c r="G737">
        <v>42899</v>
      </c>
      <c r="H737">
        <v>42899</v>
      </c>
      <c r="I737" s="4">
        <v>38686</v>
      </c>
      <c r="J737" s="5">
        <f t="shared" si="22"/>
        <v>-90</v>
      </c>
      <c r="K737" s="6" t="str">
        <f t="shared" si="23"/>
        <v>A~0</v>
      </c>
      <c r="L737" t="str">
        <f>IF(J737&lt;0,"A~0",VLOOKUP(J737,[1]作法V!$B$1:$C$9,2,TRUE))</f>
        <v>A~0</v>
      </c>
    </row>
    <row r="738" spans="1:12">
      <c r="A738">
        <v>1053</v>
      </c>
      <c r="B738" t="s">
        <v>21</v>
      </c>
      <c r="C738" s="3">
        <v>38624</v>
      </c>
      <c r="D738" s="3">
        <v>38776</v>
      </c>
      <c r="E738" t="s">
        <v>18</v>
      </c>
      <c r="F738">
        <v>1</v>
      </c>
      <c r="G738">
        <v>67059</v>
      </c>
      <c r="H738">
        <v>67059</v>
      </c>
      <c r="I738" s="4">
        <v>38686</v>
      </c>
      <c r="J738" s="5">
        <f t="shared" si="22"/>
        <v>-90</v>
      </c>
      <c r="K738" s="6" t="str">
        <f t="shared" si="23"/>
        <v>A~0</v>
      </c>
      <c r="L738" t="str">
        <f>IF(J738&lt;0,"A~0",VLOOKUP(J738,[1]作法V!$B$1:$C$9,2,TRUE))</f>
        <v>A~0</v>
      </c>
    </row>
    <row r="739" spans="1:12">
      <c r="A739">
        <v>1053</v>
      </c>
      <c r="B739" t="s">
        <v>21</v>
      </c>
      <c r="C739" s="3">
        <v>38624</v>
      </c>
      <c r="D739" s="3">
        <v>38776</v>
      </c>
      <c r="E739" t="s">
        <v>18</v>
      </c>
      <c r="F739">
        <v>1</v>
      </c>
      <c r="G739">
        <v>137970</v>
      </c>
      <c r="H739">
        <v>137970</v>
      </c>
      <c r="I739" s="4">
        <v>38686</v>
      </c>
      <c r="J739" s="5">
        <f t="shared" si="22"/>
        <v>-90</v>
      </c>
      <c r="K739" s="6" t="str">
        <f t="shared" si="23"/>
        <v>A~0</v>
      </c>
      <c r="L739" t="str">
        <f>IF(J739&lt;0,"A~0",VLOOKUP(J739,[1]作法V!$B$1:$C$9,2,TRUE))</f>
        <v>A~0</v>
      </c>
    </row>
    <row r="740" spans="1:12">
      <c r="A740">
        <v>1053</v>
      </c>
      <c r="B740" t="s">
        <v>21</v>
      </c>
      <c r="C740" s="3">
        <v>38624</v>
      </c>
      <c r="D740" s="3">
        <v>38776</v>
      </c>
      <c r="E740" t="s">
        <v>18</v>
      </c>
      <c r="F740">
        <v>1</v>
      </c>
      <c r="G740">
        <v>52802</v>
      </c>
      <c r="H740">
        <v>52802</v>
      </c>
      <c r="I740" s="4">
        <v>38686</v>
      </c>
      <c r="J740" s="5">
        <f t="shared" si="22"/>
        <v>-90</v>
      </c>
      <c r="K740" s="6" t="str">
        <f t="shared" si="23"/>
        <v>A~0</v>
      </c>
      <c r="L740" t="str">
        <f>IF(J740&lt;0,"A~0",VLOOKUP(J740,[1]作法V!$B$1:$C$9,2,TRUE))</f>
        <v>A~0</v>
      </c>
    </row>
    <row r="741" spans="1:12">
      <c r="A741">
        <v>1053</v>
      </c>
      <c r="B741" t="s">
        <v>21</v>
      </c>
      <c r="C741" s="3">
        <v>38624</v>
      </c>
      <c r="D741" s="3">
        <v>38776</v>
      </c>
      <c r="E741" t="s">
        <v>18</v>
      </c>
      <c r="F741">
        <v>1</v>
      </c>
      <c r="G741">
        <v>22027</v>
      </c>
      <c r="H741">
        <v>22027</v>
      </c>
      <c r="I741" s="4">
        <v>38686</v>
      </c>
      <c r="J741" s="5">
        <f t="shared" si="22"/>
        <v>-90</v>
      </c>
      <c r="K741" s="6" t="str">
        <f t="shared" si="23"/>
        <v>A~0</v>
      </c>
      <c r="L741" t="str">
        <f>IF(J741&lt;0,"A~0",VLOOKUP(J741,[1]作法V!$B$1:$C$9,2,TRUE))</f>
        <v>A~0</v>
      </c>
    </row>
    <row r="742" spans="1:12">
      <c r="A742">
        <v>1053</v>
      </c>
      <c r="B742" t="s">
        <v>21</v>
      </c>
      <c r="C742" s="3">
        <v>38624</v>
      </c>
      <c r="D742" s="3">
        <v>38776</v>
      </c>
      <c r="E742" t="s">
        <v>18</v>
      </c>
      <c r="F742">
        <v>1</v>
      </c>
      <c r="G742">
        <v>275063</v>
      </c>
      <c r="H742">
        <v>275063</v>
      </c>
      <c r="I742" s="4">
        <v>38686</v>
      </c>
      <c r="J742" s="5">
        <f t="shared" si="22"/>
        <v>-90</v>
      </c>
      <c r="K742" s="6" t="str">
        <f t="shared" si="23"/>
        <v>A~0</v>
      </c>
      <c r="L742" t="str">
        <f>IF(J742&lt;0,"A~0",VLOOKUP(J742,[1]作法V!$B$1:$C$9,2,TRUE))</f>
        <v>A~0</v>
      </c>
    </row>
    <row r="743" spans="1:12">
      <c r="A743">
        <v>1053</v>
      </c>
      <c r="B743" t="s">
        <v>21</v>
      </c>
      <c r="C743" s="3">
        <v>38624</v>
      </c>
      <c r="D743" s="3">
        <v>38776</v>
      </c>
      <c r="E743" t="s">
        <v>18</v>
      </c>
      <c r="F743">
        <v>1</v>
      </c>
      <c r="G743">
        <v>93421</v>
      </c>
      <c r="H743">
        <v>93421</v>
      </c>
      <c r="I743" s="4">
        <v>38686</v>
      </c>
      <c r="J743" s="5">
        <f t="shared" si="22"/>
        <v>-90</v>
      </c>
      <c r="K743" s="6" t="str">
        <f t="shared" si="23"/>
        <v>A~0</v>
      </c>
      <c r="L743" t="str">
        <f>IF(J743&lt;0,"A~0",VLOOKUP(J743,[1]作法V!$B$1:$C$9,2,TRUE))</f>
        <v>A~0</v>
      </c>
    </row>
    <row r="744" spans="1:12">
      <c r="A744">
        <v>1053</v>
      </c>
      <c r="B744" t="s">
        <v>21</v>
      </c>
      <c r="C744" s="3">
        <v>38624</v>
      </c>
      <c r="D744" s="3">
        <v>38776</v>
      </c>
      <c r="E744" t="s">
        <v>18</v>
      </c>
      <c r="F744">
        <v>1</v>
      </c>
      <c r="G744">
        <v>56347</v>
      </c>
      <c r="H744">
        <v>56347</v>
      </c>
      <c r="I744" s="4">
        <v>38686</v>
      </c>
      <c r="J744" s="5">
        <f t="shared" si="22"/>
        <v>-90</v>
      </c>
      <c r="K744" s="6" t="str">
        <f t="shared" si="23"/>
        <v>A~0</v>
      </c>
      <c r="L744" t="str">
        <f>IF(J744&lt;0,"A~0",VLOOKUP(J744,[1]作法V!$B$1:$C$9,2,TRUE))</f>
        <v>A~0</v>
      </c>
    </row>
    <row r="745" spans="1:12">
      <c r="A745">
        <v>1053</v>
      </c>
      <c r="B745" t="s">
        <v>21</v>
      </c>
      <c r="C745" s="3">
        <v>38625</v>
      </c>
      <c r="D745" s="3">
        <v>38776</v>
      </c>
      <c r="E745" t="s">
        <v>18</v>
      </c>
      <c r="F745">
        <v>1</v>
      </c>
      <c r="G745">
        <v>201022</v>
      </c>
      <c r="H745">
        <v>201022</v>
      </c>
      <c r="I745" s="4">
        <v>38686</v>
      </c>
      <c r="J745" s="5">
        <f t="shared" si="22"/>
        <v>-90</v>
      </c>
      <c r="K745" s="6" t="str">
        <f t="shared" si="23"/>
        <v>A~0</v>
      </c>
      <c r="L745" t="str">
        <f>IF(J745&lt;0,"A~0",VLOOKUP(J745,[1]作法V!$B$1:$C$9,2,TRUE))</f>
        <v>A~0</v>
      </c>
    </row>
    <row r="746" spans="1:12">
      <c r="A746">
        <v>1053</v>
      </c>
      <c r="B746" t="s">
        <v>21</v>
      </c>
      <c r="C746" s="3">
        <v>38625</v>
      </c>
      <c r="D746" s="3">
        <v>38776</v>
      </c>
      <c r="E746" t="s">
        <v>18</v>
      </c>
      <c r="F746">
        <v>1</v>
      </c>
      <c r="G746">
        <v>74041</v>
      </c>
      <c r="H746">
        <v>74041</v>
      </c>
      <c r="I746" s="4">
        <v>38686</v>
      </c>
      <c r="J746" s="5">
        <f t="shared" si="22"/>
        <v>-90</v>
      </c>
      <c r="K746" s="6" t="str">
        <f t="shared" si="23"/>
        <v>A~0</v>
      </c>
      <c r="L746" t="str">
        <f>IF(J746&lt;0,"A~0",VLOOKUP(J746,[1]作法V!$B$1:$C$9,2,TRUE))</f>
        <v>A~0</v>
      </c>
    </row>
    <row r="747" spans="1:12">
      <c r="A747">
        <v>1053</v>
      </c>
      <c r="B747" t="s">
        <v>21</v>
      </c>
      <c r="C747" s="3">
        <v>38625</v>
      </c>
      <c r="D747" s="3">
        <v>38776</v>
      </c>
      <c r="E747" t="s">
        <v>18</v>
      </c>
      <c r="F747">
        <v>1</v>
      </c>
      <c r="G747">
        <v>8395</v>
      </c>
      <c r="H747">
        <v>8395</v>
      </c>
      <c r="I747" s="4">
        <v>38686</v>
      </c>
      <c r="J747" s="5">
        <f t="shared" si="22"/>
        <v>-90</v>
      </c>
      <c r="K747" s="6" t="str">
        <f t="shared" si="23"/>
        <v>A~0</v>
      </c>
      <c r="L747" t="str">
        <f>IF(J747&lt;0,"A~0",VLOOKUP(J747,[1]作法V!$B$1:$C$9,2,TRUE))</f>
        <v>A~0</v>
      </c>
    </row>
    <row r="748" spans="1:12">
      <c r="A748">
        <v>1053</v>
      </c>
      <c r="B748" t="s">
        <v>21</v>
      </c>
      <c r="C748" s="3">
        <v>38625</v>
      </c>
      <c r="D748" s="3">
        <v>38776</v>
      </c>
      <c r="E748" t="s">
        <v>18</v>
      </c>
      <c r="F748">
        <v>1</v>
      </c>
      <c r="G748">
        <v>154397</v>
      </c>
      <c r="H748">
        <v>154397</v>
      </c>
      <c r="I748" s="4">
        <v>38686</v>
      </c>
      <c r="J748" s="5">
        <f t="shared" si="22"/>
        <v>-90</v>
      </c>
      <c r="K748" s="6" t="str">
        <f t="shared" si="23"/>
        <v>A~0</v>
      </c>
      <c r="L748" t="str">
        <f>IF(J748&lt;0,"A~0",VLOOKUP(J748,[1]作法V!$B$1:$C$9,2,TRUE))</f>
        <v>A~0</v>
      </c>
    </row>
    <row r="749" spans="1:12">
      <c r="A749">
        <v>1053</v>
      </c>
      <c r="B749" t="s">
        <v>21</v>
      </c>
      <c r="C749" s="3">
        <v>38628</v>
      </c>
      <c r="D749" s="3">
        <v>38776</v>
      </c>
      <c r="E749" t="s">
        <v>18</v>
      </c>
      <c r="F749">
        <v>1</v>
      </c>
      <c r="G749">
        <v>681927</v>
      </c>
      <c r="H749">
        <v>681927</v>
      </c>
      <c r="I749" s="4">
        <v>38686</v>
      </c>
      <c r="J749" s="5">
        <f t="shared" si="22"/>
        <v>-90</v>
      </c>
      <c r="K749" s="6" t="str">
        <f t="shared" si="23"/>
        <v>A~0</v>
      </c>
      <c r="L749" t="str">
        <f>IF(J749&lt;0,"A~0",VLOOKUP(J749,[1]作法V!$B$1:$C$9,2,TRUE))</f>
        <v>A~0</v>
      </c>
    </row>
    <row r="750" spans="1:12">
      <c r="A750">
        <v>1053</v>
      </c>
      <c r="B750" t="s">
        <v>21</v>
      </c>
      <c r="C750" s="3">
        <v>38628</v>
      </c>
      <c r="D750" s="3">
        <v>38776</v>
      </c>
      <c r="E750" t="s">
        <v>18</v>
      </c>
      <c r="F750">
        <v>1</v>
      </c>
      <c r="G750">
        <v>67110</v>
      </c>
      <c r="H750">
        <v>67110</v>
      </c>
      <c r="I750" s="4">
        <v>38686</v>
      </c>
      <c r="J750" s="5">
        <f t="shared" si="22"/>
        <v>-90</v>
      </c>
      <c r="K750" s="6" t="str">
        <f t="shared" si="23"/>
        <v>A~0</v>
      </c>
      <c r="L750" t="str">
        <f>IF(J750&lt;0,"A~0",VLOOKUP(J750,[1]作法V!$B$1:$C$9,2,TRUE))</f>
        <v>A~0</v>
      </c>
    </row>
    <row r="751" spans="1:12">
      <c r="A751">
        <v>1053</v>
      </c>
      <c r="B751" t="s">
        <v>21</v>
      </c>
      <c r="C751" s="3">
        <v>38628</v>
      </c>
      <c r="D751" s="3">
        <v>38776</v>
      </c>
      <c r="E751" t="s">
        <v>17</v>
      </c>
      <c r="F751">
        <v>33.15</v>
      </c>
      <c r="G751">
        <v>596.67999999999995</v>
      </c>
      <c r="H751">
        <v>19780</v>
      </c>
      <c r="I751" s="4">
        <v>38686</v>
      </c>
      <c r="J751" s="5">
        <f t="shared" si="22"/>
        <v>-90</v>
      </c>
      <c r="K751" s="6" t="str">
        <f t="shared" si="23"/>
        <v>A~0</v>
      </c>
      <c r="L751" t="str">
        <f>IF(J751&lt;0,"A~0",VLOOKUP(J751,[1]作法V!$B$1:$C$9,2,TRUE))</f>
        <v>A~0</v>
      </c>
    </row>
    <row r="752" spans="1:12">
      <c r="A752">
        <v>1053</v>
      </c>
      <c r="B752" t="s">
        <v>21</v>
      </c>
      <c r="C752" s="3">
        <v>38628</v>
      </c>
      <c r="D752" s="3">
        <v>38776</v>
      </c>
      <c r="E752" t="s">
        <v>17</v>
      </c>
      <c r="F752">
        <v>33.15</v>
      </c>
      <c r="G752">
        <v>4160</v>
      </c>
      <c r="H752">
        <v>137904</v>
      </c>
      <c r="I752" s="4">
        <v>38686</v>
      </c>
      <c r="J752" s="5">
        <f t="shared" si="22"/>
        <v>-90</v>
      </c>
      <c r="K752" s="6" t="str">
        <f t="shared" si="23"/>
        <v>A~0</v>
      </c>
      <c r="L752" t="str">
        <f>IF(J752&lt;0,"A~0",VLOOKUP(J752,[1]作法V!$B$1:$C$9,2,TRUE))</f>
        <v>A~0</v>
      </c>
    </row>
    <row r="753" spans="1:12">
      <c r="A753">
        <v>1053</v>
      </c>
      <c r="B753" t="s">
        <v>21</v>
      </c>
      <c r="C753" s="3">
        <v>38628</v>
      </c>
      <c r="D753" s="3">
        <v>38776</v>
      </c>
      <c r="E753" t="s">
        <v>17</v>
      </c>
      <c r="F753">
        <v>33.15</v>
      </c>
      <c r="G753">
        <v>6103.44</v>
      </c>
      <c r="H753">
        <v>202329</v>
      </c>
      <c r="I753" s="4">
        <v>38686</v>
      </c>
      <c r="J753" s="5">
        <f t="shared" si="22"/>
        <v>-90</v>
      </c>
      <c r="K753" s="6" t="str">
        <f t="shared" si="23"/>
        <v>A~0</v>
      </c>
      <c r="L753" t="str">
        <f>IF(J753&lt;0,"A~0",VLOOKUP(J753,[1]作法V!$B$1:$C$9,2,TRUE))</f>
        <v>A~0</v>
      </c>
    </row>
    <row r="754" spans="1:12">
      <c r="A754">
        <v>1053</v>
      </c>
      <c r="B754" t="s">
        <v>21</v>
      </c>
      <c r="C754" s="3">
        <v>38628</v>
      </c>
      <c r="D754" s="3">
        <v>38776</v>
      </c>
      <c r="E754" t="s">
        <v>17</v>
      </c>
      <c r="F754">
        <v>33.15</v>
      </c>
      <c r="G754">
        <v>3721.99</v>
      </c>
      <c r="H754">
        <v>123384</v>
      </c>
      <c r="I754" s="4">
        <v>38686</v>
      </c>
      <c r="J754" s="5">
        <f t="shared" si="22"/>
        <v>-90</v>
      </c>
      <c r="K754" s="6" t="str">
        <f t="shared" si="23"/>
        <v>A~0</v>
      </c>
      <c r="L754" t="str">
        <f>IF(J754&lt;0,"A~0",VLOOKUP(J754,[1]作法V!$B$1:$C$9,2,TRUE))</f>
        <v>A~0</v>
      </c>
    </row>
    <row r="755" spans="1:12">
      <c r="A755">
        <v>1053</v>
      </c>
      <c r="B755" t="s">
        <v>21</v>
      </c>
      <c r="C755" s="3">
        <v>38628</v>
      </c>
      <c r="D755" s="3">
        <v>38776</v>
      </c>
      <c r="E755" t="s">
        <v>17</v>
      </c>
      <c r="F755">
        <v>33.15</v>
      </c>
      <c r="G755">
        <v>526.84</v>
      </c>
      <c r="H755">
        <v>17465</v>
      </c>
      <c r="I755" s="4">
        <v>38686</v>
      </c>
      <c r="J755" s="5">
        <f t="shared" si="22"/>
        <v>-90</v>
      </c>
      <c r="K755" s="6" t="str">
        <f t="shared" si="23"/>
        <v>A~0</v>
      </c>
      <c r="L755" t="str">
        <f>IF(J755&lt;0,"A~0",VLOOKUP(J755,[1]作法V!$B$1:$C$9,2,TRUE))</f>
        <v>A~0</v>
      </c>
    </row>
    <row r="756" spans="1:12">
      <c r="A756">
        <v>1053</v>
      </c>
      <c r="B756" t="s">
        <v>21</v>
      </c>
      <c r="C756" s="3">
        <v>38628</v>
      </c>
      <c r="D756" s="3">
        <v>38776</v>
      </c>
      <c r="E756" t="s">
        <v>17</v>
      </c>
      <c r="F756">
        <v>33.15</v>
      </c>
      <c r="G756">
        <v>7381.04</v>
      </c>
      <c r="H756">
        <v>244681</v>
      </c>
      <c r="I756" s="4">
        <v>38686</v>
      </c>
      <c r="J756" s="5">
        <f t="shared" si="22"/>
        <v>-90</v>
      </c>
      <c r="K756" s="6" t="str">
        <f t="shared" si="23"/>
        <v>A~0</v>
      </c>
      <c r="L756" t="str">
        <f>IF(J756&lt;0,"A~0",VLOOKUP(J756,[1]作法V!$B$1:$C$9,2,TRUE))</f>
        <v>A~0</v>
      </c>
    </row>
    <row r="757" spans="1:12">
      <c r="A757">
        <v>1053</v>
      </c>
      <c r="B757" t="s">
        <v>21</v>
      </c>
      <c r="C757" s="3">
        <v>38628</v>
      </c>
      <c r="D757" s="3">
        <v>38776</v>
      </c>
      <c r="E757" t="s">
        <v>17</v>
      </c>
      <c r="F757">
        <v>33.15</v>
      </c>
      <c r="G757">
        <v>73.92</v>
      </c>
      <c r="H757">
        <v>2450</v>
      </c>
      <c r="I757" s="4">
        <v>38686</v>
      </c>
      <c r="J757" s="5">
        <f t="shared" si="22"/>
        <v>-90</v>
      </c>
      <c r="K757" s="6" t="str">
        <f t="shared" si="23"/>
        <v>A~0</v>
      </c>
      <c r="L757" t="str">
        <f>IF(J757&lt;0,"A~0",VLOOKUP(J757,[1]作法V!$B$1:$C$9,2,TRUE))</f>
        <v>A~0</v>
      </c>
    </row>
    <row r="758" spans="1:12">
      <c r="A758">
        <v>1053</v>
      </c>
      <c r="B758" t="s">
        <v>21</v>
      </c>
      <c r="C758" s="3">
        <v>38628</v>
      </c>
      <c r="D758" s="3">
        <v>38776</v>
      </c>
      <c r="E758" t="s">
        <v>17</v>
      </c>
      <c r="F758">
        <v>33.15</v>
      </c>
      <c r="G758">
        <v>3111.28</v>
      </c>
      <c r="H758">
        <v>103139</v>
      </c>
      <c r="I758" s="4">
        <v>38686</v>
      </c>
      <c r="J758" s="5">
        <f t="shared" si="22"/>
        <v>-90</v>
      </c>
      <c r="K758" s="6" t="str">
        <f t="shared" si="23"/>
        <v>A~0</v>
      </c>
      <c r="L758" t="str">
        <f>IF(J758&lt;0,"A~0",VLOOKUP(J758,[1]作法V!$B$1:$C$9,2,TRUE))</f>
        <v>A~0</v>
      </c>
    </row>
    <row r="759" spans="1:12">
      <c r="A759">
        <v>1053</v>
      </c>
      <c r="B759" t="s">
        <v>21</v>
      </c>
      <c r="C759" s="3">
        <v>38628</v>
      </c>
      <c r="D759" s="3">
        <v>38776</v>
      </c>
      <c r="E759" t="s">
        <v>17</v>
      </c>
      <c r="F759">
        <v>33.15</v>
      </c>
      <c r="G759">
        <v>10083.02</v>
      </c>
      <c r="H759">
        <v>334252</v>
      </c>
      <c r="I759" s="4">
        <v>38686</v>
      </c>
      <c r="J759" s="5">
        <f t="shared" si="22"/>
        <v>-90</v>
      </c>
      <c r="K759" s="6" t="str">
        <f t="shared" si="23"/>
        <v>A~0</v>
      </c>
      <c r="L759" t="str">
        <f>IF(J759&lt;0,"A~0",VLOOKUP(J759,[1]作法V!$B$1:$C$9,2,TRUE))</f>
        <v>A~0</v>
      </c>
    </row>
    <row r="760" spans="1:12">
      <c r="A760">
        <v>1053</v>
      </c>
      <c r="B760" t="s">
        <v>21</v>
      </c>
      <c r="C760" s="3">
        <v>38628</v>
      </c>
      <c r="D760" s="3">
        <v>38776</v>
      </c>
      <c r="E760" t="s">
        <v>17</v>
      </c>
      <c r="F760">
        <v>33.15</v>
      </c>
      <c r="G760">
        <v>367.83</v>
      </c>
      <c r="H760">
        <v>12194</v>
      </c>
      <c r="I760" s="4">
        <v>38686</v>
      </c>
      <c r="J760" s="5">
        <f t="shared" si="22"/>
        <v>-90</v>
      </c>
      <c r="K760" s="6" t="str">
        <f t="shared" si="23"/>
        <v>A~0</v>
      </c>
      <c r="L760" t="str">
        <f>IF(J760&lt;0,"A~0",VLOOKUP(J760,[1]作法V!$B$1:$C$9,2,TRUE))</f>
        <v>A~0</v>
      </c>
    </row>
    <row r="761" spans="1:12">
      <c r="A761">
        <v>1053</v>
      </c>
      <c r="B761" t="s">
        <v>21</v>
      </c>
      <c r="C761" s="3">
        <v>38628</v>
      </c>
      <c r="D761" s="3">
        <v>38776</v>
      </c>
      <c r="E761" t="s">
        <v>17</v>
      </c>
      <c r="F761">
        <v>33.15</v>
      </c>
      <c r="G761">
        <v>2538.9</v>
      </c>
      <c r="H761">
        <v>84165</v>
      </c>
      <c r="I761" s="4">
        <v>38686</v>
      </c>
      <c r="J761" s="5">
        <f t="shared" si="22"/>
        <v>-90</v>
      </c>
      <c r="K761" s="6" t="str">
        <f t="shared" si="23"/>
        <v>A~0</v>
      </c>
      <c r="L761" t="str">
        <f>IF(J761&lt;0,"A~0",VLOOKUP(J761,[1]作法V!$B$1:$C$9,2,TRUE))</f>
        <v>A~0</v>
      </c>
    </row>
    <row r="762" spans="1:12">
      <c r="A762">
        <v>1053</v>
      </c>
      <c r="B762" t="s">
        <v>21</v>
      </c>
      <c r="C762" s="3">
        <v>38629</v>
      </c>
      <c r="D762" s="3">
        <v>38776</v>
      </c>
      <c r="E762" t="s">
        <v>18</v>
      </c>
      <c r="F762">
        <v>1</v>
      </c>
      <c r="G762">
        <v>275063</v>
      </c>
      <c r="H762">
        <v>275063</v>
      </c>
      <c r="I762" s="4">
        <v>38686</v>
      </c>
      <c r="J762" s="5">
        <f t="shared" si="22"/>
        <v>-90</v>
      </c>
      <c r="K762" s="6" t="str">
        <f t="shared" si="23"/>
        <v>A~0</v>
      </c>
      <c r="L762" t="str">
        <f>IF(J762&lt;0,"A~0",VLOOKUP(J762,[1]作法V!$B$1:$C$9,2,TRUE))</f>
        <v>A~0</v>
      </c>
    </row>
    <row r="763" spans="1:12">
      <c r="A763">
        <v>1053</v>
      </c>
      <c r="B763" t="s">
        <v>21</v>
      </c>
      <c r="C763" s="3">
        <v>38630</v>
      </c>
      <c r="D763" s="3">
        <v>38776</v>
      </c>
      <c r="E763" t="s">
        <v>18</v>
      </c>
      <c r="F763">
        <v>1</v>
      </c>
      <c r="G763">
        <v>133000</v>
      </c>
      <c r="H763">
        <v>133000</v>
      </c>
      <c r="I763" s="4">
        <v>38686</v>
      </c>
      <c r="J763" s="5">
        <f t="shared" si="22"/>
        <v>-90</v>
      </c>
      <c r="K763" s="6" t="str">
        <f t="shared" si="23"/>
        <v>A~0</v>
      </c>
      <c r="L763" t="str">
        <f>IF(J763&lt;0,"A~0",VLOOKUP(J763,[1]作法V!$B$1:$C$9,2,TRUE))</f>
        <v>A~0</v>
      </c>
    </row>
    <row r="764" spans="1:12">
      <c r="A764">
        <v>1053</v>
      </c>
      <c r="B764" t="s">
        <v>21</v>
      </c>
      <c r="C764" s="3">
        <v>38630</v>
      </c>
      <c r="D764" s="3">
        <v>38776</v>
      </c>
      <c r="E764" t="s">
        <v>18</v>
      </c>
      <c r="F764">
        <v>1</v>
      </c>
      <c r="G764">
        <v>263238</v>
      </c>
      <c r="H764">
        <v>263238</v>
      </c>
      <c r="I764" s="4">
        <v>38686</v>
      </c>
      <c r="J764" s="5">
        <f t="shared" si="22"/>
        <v>-90</v>
      </c>
      <c r="K764" s="6" t="str">
        <f t="shared" si="23"/>
        <v>A~0</v>
      </c>
      <c r="L764" t="str">
        <f>IF(J764&lt;0,"A~0",VLOOKUP(J764,[1]作法V!$B$1:$C$9,2,TRUE))</f>
        <v>A~0</v>
      </c>
    </row>
    <row r="765" spans="1:12">
      <c r="A765">
        <v>1053</v>
      </c>
      <c r="B765" t="s">
        <v>21</v>
      </c>
      <c r="C765" s="3">
        <v>38630</v>
      </c>
      <c r="D765" s="3">
        <v>38776</v>
      </c>
      <c r="E765" t="s">
        <v>18</v>
      </c>
      <c r="F765">
        <v>1</v>
      </c>
      <c r="G765">
        <v>51938</v>
      </c>
      <c r="H765">
        <v>51938</v>
      </c>
      <c r="I765" s="4">
        <v>38686</v>
      </c>
      <c r="J765" s="5">
        <f t="shared" si="22"/>
        <v>-90</v>
      </c>
      <c r="K765" s="6" t="str">
        <f t="shared" si="23"/>
        <v>A~0</v>
      </c>
      <c r="L765" t="str">
        <f>IF(J765&lt;0,"A~0",VLOOKUP(J765,[1]作法V!$B$1:$C$9,2,TRUE))</f>
        <v>A~0</v>
      </c>
    </row>
    <row r="766" spans="1:12">
      <c r="A766">
        <v>1053</v>
      </c>
      <c r="B766" t="s">
        <v>21</v>
      </c>
      <c r="C766" s="3">
        <v>38630</v>
      </c>
      <c r="D766" s="3">
        <v>38776</v>
      </c>
      <c r="E766" t="s">
        <v>17</v>
      </c>
      <c r="F766">
        <v>33.15</v>
      </c>
      <c r="G766">
        <v>7968.17</v>
      </c>
      <c r="H766">
        <v>264145</v>
      </c>
      <c r="I766" s="4">
        <v>38686</v>
      </c>
      <c r="J766" s="5">
        <f t="shared" si="22"/>
        <v>-90</v>
      </c>
      <c r="K766" s="6" t="str">
        <f t="shared" si="23"/>
        <v>A~0</v>
      </c>
      <c r="L766" t="str">
        <f>IF(J766&lt;0,"A~0",VLOOKUP(J766,[1]作法V!$B$1:$C$9,2,TRUE))</f>
        <v>A~0</v>
      </c>
    </row>
    <row r="767" spans="1:12">
      <c r="A767">
        <v>1053</v>
      </c>
      <c r="B767" t="s">
        <v>21</v>
      </c>
      <c r="C767" s="3">
        <v>38630</v>
      </c>
      <c r="D767" s="3">
        <v>38776</v>
      </c>
      <c r="E767" t="s">
        <v>17</v>
      </c>
      <c r="F767">
        <v>33.15</v>
      </c>
      <c r="G767">
        <v>1181.44</v>
      </c>
      <c r="H767">
        <v>39165</v>
      </c>
      <c r="I767" s="4">
        <v>38686</v>
      </c>
      <c r="J767" s="5">
        <f t="shared" si="22"/>
        <v>-90</v>
      </c>
      <c r="K767" s="6" t="str">
        <f t="shared" si="23"/>
        <v>A~0</v>
      </c>
      <c r="L767" t="str">
        <f>IF(J767&lt;0,"A~0",VLOOKUP(J767,[1]作法V!$B$1:$C$9,2,TRUE))</f>
        <v>A~0</v>
      </c>
    </row>
    <row r="768" spans="1:12">
      <c r="A768">
        <v>1053</v>
      </c>
      <c r="B768" t="s">
        <v>21</v>
      </c>
      <c r="C768" s="3">
        <v>38630</v>
      </c>
      <c r="D768" s="3">
        <v>38776</v>
      </c>
      <c r="E768" t="s">
        <v>17</v>
      </c>
      <c r="F768">
        <v>33.15</v>
      </c>
      <c r="G768">
        <v>72.959999999999994</v>
      </c>
      <c r="H768">
        <v>2419</v>
      </c>
      <c r="I768" s="4">
        <v>38686</v>
      </c>
      <c r="J768" s="5">
        <f t="shared" si="22"/>
        <v>-90</v>
      </c>
      <c r="K768" s="6" t="str">
        <f t="shared" si="23"/>
        <v>A~0</v>
      </c>
      <c r="L768" t="str">
        <f>IF(J768&lt;0,"A~0",VLOOKUP(J768,[1]作法V!$B$1:$C$9,2,TRUE))</f>
        <v>A~0</v>
      </c>
    </row>
    <row r="769" spans="1:12">
      <c r="A769">
        <v>1053</v>
      </c>
      <c r="B769" t="s">
        <v>21</v>
      </c>
      <c r="C769" s="3">
        <v>38630</v>
      </c>
      <c r="D769" s="3">
        <v>38776</v>
      </c>
      <c r="E769" t="s">
        <v>17</v>
      </c>
      <c r="F769">
        <v>33.15</v>
      </c>
      <c r="G769">
        <v>7786.87</v>
      </c>
      <c r="H769">
        <v>258135</v>
      </c>
      <c r="I769" s="4">
        <v>38686</v>
      </c>
      <c r="J769" s="5">
        <f t="shared" si="22"/>
        <v>-90</v>
      </c>
      <c r="K769" s="6" t="str">
        <f t="shared" si="23"/>
        <v>A~0</v>
      </c>
      <c r="L769" t="str">
        <f>IF(J769&lt;0,"A~0",VLOOKUP(J769,[1]作法V!$B$1:$C$9,2,TRUE))</f>
        <v>A~0</v>
      </c>
    </row>
    <row r="770" spans="1:12">
      <c r="A770">
        <v>1053</v>
      </c>
      <c r="B770" t="s">
        <v>21</v>
      </c>
      <c r="C770" s="3">
        <v>38631</v>
      </c>
      <c r="D770" s="3">
        <v>38776</v>
      </c>
      <c r="E770" t="s">
        <v>18</v>
      </c>
      <c r="F770">
        <v>1</v>
      </c>
      <c r="G770">
        <v>315176</v>
      </c>
      <c r="H770">
        <v>315176</v>
      </c>
      <c r="I770" s="4">
        <v>38686</v>
      </c>
      <c r="J770" s="5">
        <f t="shared" ref="J770:J833" si="24">I770-D770</f>
        <v>-90</v>
      </c>
      <c r="K770" s="6" t="str">
        <f t="shared" ref="K770:K833" si="25">IF(J770&lt;1,"A~0",IF(J770&lt;31,"B1~30",IF(J770&lt;61,"C31~60",IF(J770&lt;91,"D61~90",IF(J770&lt;121,"E91~120",IF(J770&lt;181,"F121~180",IF(J770&lt;361,"G181~360","H361~")))))))</f>
        <v>A~0</v>
      </c>
      <c r="L770" t="str">
        <f>IF(J770&lt;0,"A~0",VLOOKUP(J770,[1]作法V!$B$1:$C$9,2,TRUE))</f>
        <v>A~0</v>
      </c>
    </row>
    <row r="771" spans="1:12">
      <c r="A771">
        <v>1053</v>
      </c>
      <c r="B771" t="s">
        <v>21</v>
      </c>
      <c r="C771" s="3">
        <v>38632</v>
      </c>
      <c r="D771" s="3">
        <v>38776</v>
      </c>
      <c r="E771" t="s">
        <v>18</v>
      </c>
      <c r="F771">
        <v>1</v>
      </c>
      <c r="G771">
        <v>154800</v>
      </c>
      <c r="H771">
        <v>154800</v>
      </c>
      <c r="I771" s="4">
        <v>38686</v>
      </c>
      <c r="J771" s="5">
        <f t="shared" si="24"/>
        <v>-90</v>
      </c>
      <c r="K771" s="6" t="str">
        <f t="shared" si="25"/>
        <v>A~0</v>
      </c>
      <c r="L771" t="str">
        <f>IF(J771&lt;0,"A~0",VLOOKUP(J771,[1]作法V!$B$1:$C$9,2,TRUE))</f>
        <v>A~0</v>
      </c>
    </row>
    <row r="772" spans="1:12">
      <c r="A772">
        <v>1053</v>
      </c>
      <c r="B772" t="s">
        <v>21</v>
      </c>
      <c r="C772" s="3">
        <v>38632</v>
      </c>
      <c r="D772" s="3">
        <v>38776</v>
      </c>
      <c r="E772" t="s">
        <v>18</v>
      </c>
      <c r="F772">
        <v>1</v>
      </c>
      <c r="G772">
        <v>452054</v>
      </c>
      <c r="H772">
        <v>452054</v>
      </c>
      <c r="I772" s="4">
        <v>38686</v>
      </c>
      <c r="J772" s="5">
        <f t="shared" si="24"/>
        <v>-90</v>
      </c>
      <c r="K772" s="6" t="str">
        <f t="shared" si="25"/>
        <v>A~0</v>
      </c>
      <c r="L772" t="str">
        <f>IF(J772&lt;0,"A~0",VLOOKUP(J772,[1]作法V!$B$1:$C$9,2,TRUE))</f>
        <v>A~0</v>
      </c>
    </row>
    <row r="773" spans="1:12">
      <c r="A773">
        <v>1053</v>
      </c>
      <c r="B773" t="s">
        <v>21</v>
      </c>
      <c r="C773" s="3">
        <v>38632</v>
      </c>
      <c r="D773" s="3">
        <v>38776</v>
      </c>
      <c r="E773" t="s">
        <v>18</v>
      </c>
      <c r="F773">
        <v>1</v>
      </c>
      <c r="G773">
        <v>276380</v>
      </c>
      <c r="H773">
        <v>276380</v>
      </c>
      <c r="I773" s="4">
        <v>38686</v>
      </c>
      <c r="J773" s="5">
        <f t="shared" si="24"/>
        <v>-90</v>
      </c>
      <c r="K773" s="6" t="str">
        <f t="shared" si="25"/>
        <v>A~0</v>
      </c>
      <c r="L773" t="str">
        <f>IF(J773&lt;0,"A~0",VLOOKUP(J773,[1]作法V!$B$1:$C$9,2,TRUE))</f>
        <v>A~0</v>
      </c>
    </row>
    <row r="774" spans="1:12">
      <c r="A774">
        <v>1053</v>
      </c>
      <c r="B774" t="s">
        <v>21</v>
      </c>
      <c r="C774" s="3">
        <v>38632</v>
      </c>
      <c r="D774" s="3">
        <v>38776</v>
      </c>
      <c r="E774" t="s">
        <v>18</v>
      </c>
      <c r="F774">
        <v>1</v>
      </c>
      <c r="G774">
        <v>24255</v>
      </c>
      <c r="H774">
        <v>24255</v>
      </c>
      <c r="I774" s="4">
        <v>38686</v>
      </c>
      <c r="J774" s="5">
        <f t="shared" si="24"/>
        <v>-90</v>
      </c>
      <c r="K774" s="6" t="str">
        <f t="shared" si="25"/>
        <v>A~0</v>
      </c>
      <c r="L774" t="str">
        <f>IF(J774&lt;0,"A~0",VLOOKUP(J774,[1]作法V!$B$1:$C$9,2,TRUE))</f>
        <v>A~0</v>
      </c>
    </row>
    <row r="775" spans="1:12">
      <c r="A775">
        <v>1053</v>
      </c>
      <c r="B775" t="s">
        <v>21</v>
      </c>
      <c r="C775" s="3">
        <v>38632</v>
      </c>
      <c r="D775" s="3">
        <v>38776</v>
      </c>
      <c r="E775" t="s">
        <v>18</v>
      </c>
      <c r="F775">
        <v>1</v>
      </c>
      <c r="G775">
        <v>299376</v>
      </c>
      <c r="H775">
        <v>299376</v>
      </c>
      <c r="I775" s="4">
        <v>38686</v>
      </c>
      <c r="J775" s="5">
        <f t="shared" si="24"/>
        <v>-90</v>
      </c>
      <c r="K775" s="6" t="str">
        <f t="shared" si="25"/>
        <v>A~0</v>
      </c>
      <c r="L775" t="str">
        <f>IF(J775&lt;0,"A~0",VLOOKUP(J775,[1]作法V!$B$1:$C$9,2,TRUE))</f>
        <v>A~0</v>
      </c>
    </row>
    <row r="776" spans="1:12">
      <c r="A776">
        <v>1053</v>
      </c>
      <c r="B776" t="s">
        <v>21</v>
      </c>
      <c r="C776" s="3">
        <v>38632</v>
      </c>
      <c r="D776" s="3">
        <v>38776</v>
      </c>
      <c r="E776" t="s">
        <v>17</v>
      </c>
      <c r="F776">
        <v>33.15</v>
      </c>
      <c r="G776">
        <v>17015.439999999999</v>
      </c>
      <c r="H776">
        <v>564062</v>
      </c>
      <c r="I776" s="4">
        <v>38686</v>
      </c>
      <c r="J776" s="5">
        <f t="shared" si="24"/>
        <v>-90</v>
      </c>
      <c r="K776" s="6" t="str">
        <f t="shared" si="25"/>
        <v>A~0</v>
      </c>
      <c r="L776" t="str">
        <f>IF(J776&lt;0,"A~0",VLOOKUP(J776,[1]作法V!$B$1:$C$9,2,TRUE))</f>
        <v>A~0</v>
      </c>
    </row>
    <row r="777" spans="1:12">
      <c r="A777">
        <v>1053</v>
      </c>
      <c r="B777" t="s">
        <v>21</v>
      </c>
      <c r="C777" s="3">
        <v>38632</v>
      </c>
      <c r="D777" s="3">
        <v>38776</v>
      </c>
      <c r="E777" t="s">
        <v>17</v>
      </c>
      <c r="F777">
        <v>33.15</v>
      </c>
      <c r="G777">
        <v>31461.91</v>
      </c>
      <c r="H777">
        <v>1042962</v>
      </c>
      <c r="I777" s="4">
        <v>38686</v>
      </c>
      <c r="J777" s="5">
        <f t="shared" si="24"/>
        <v>-90</v>
      </c>
      <c r="K777" s="6" t="str">
        <f t="shared" si="25"/>
        <v>A~0</v>
      </c>
      <c r="L777" t="str">
        <f>IF(J777&lt;0,"A~0",VLOOKUP(J777,[1]作法V!$B$1:$C$9,2,TRUE))</f>
        <v>A~0</v>
      </c>
    </row>
    <row r="778" spans="1:12">
      <c r="A778">
        <v>1053</v>
      </c>
      <c r="B778" t="s">
        <v>21</v>
      </c>
      <c r="C778" s="3">
        <v>38632</v>
      </c>
      <c r="D778" s="3">
        <v>38776</v>
      </c>
      <c r="E778" t="s">
        <v>17</v>
      </c>
      <c r="F778">
        <v>33.15</v>
      </c>
      <c r="G778">
        <v>65.849999999999994</v>
      </c>
      <c r="H778">
        <v>2183</v>
      </c>
      <c r="I778" s="4">
        <v>38686</v>
      </c>
      <c r="J778" s="5">
        <f t="shared" si="24"/>
        <v>-90</v>
      </c>
      <c r="K778" s="6" t="str">
        <f t="shared" si="25"/>
        <v>A~0</v>
      </c>
      <c r="L778" t="str">
        <f>IF(J778&lt;0,"A~0",VLOOKUP(J778,[1]作法V!$B$1:$C$9,2,TRUE))</f>
        <v>A~0</v>
      </c>
    </row>
    <row r="779" spans="1:12">
      <c r="A779">
        <v>1053</v>
      </c>
      <c r="B779" t="s">
        <v>21</v>
      </c>
      <c r="C779" s="3">
        <v>38632</v>
      </c>
      <c r="D779" s="3">
        <v>38776</v>
      </c>
      <c r="E779" t="s">
        <v>17</v>
      </c>
      <c r="F779">
        <v>33.15</v>
      </c>
      <c r="G779">
        <v>17173.03</v>
      </c>
      <c r="H779">
        <v>569286</v>
      </c>
      <c r="I779" s="4">
        <v>38686</v>
      </c>
      <c r="J779" s="5">
        <f t="shared" si="24"/>
        <v>-90</v>
      </c>
      <c r="K779" s="6" t="str">
        <f t="shared" si="25"/>
        <v>A~0</v>
      </c>
      <c r="L779" t="str">
        <f>IF(J779&lt;0,"A~0",VLOOKUP(J779,[1]作法V!$B$1:$C$9,2,TRUE))</f>
        <v>A~0</v>
      </c>
    </row>
    <row r="780" spans="1:12">
      <c r="A780">
        <v>1053</v>
      </c>
      <c r="B780" t="s">
        <v>21</v>
      </c>
      <c r="C780" s="3">
        <v>38632</v>
      </c>
      <c r="D780" s="3">
        <v>38776</v>
      </c>
      <c r="E780" t="s">
        <v>17</v>
      </c>
      <c r="F780">
        <v>33.15</v>
      </c>
      <c r="G780">
        <v>141.12</v>
      </c>
      <c r="H780">
        <v>4678</v>
      </c>
      <c r="I780" s="4">
        <v>38686</v>
      </c>
      <c r="J780" s="5">
        <f t="shared" si="24"/>
        <v>-90</v>
      </c>
      <c r="K780" s="6" t="str">
        <f t="shared" si="25"/>
        <v>A~0</v>
      </c>
      <c r="L780" t="str">
        <f>IF(J780&lt;0,"A~0",VLOOKUP(J780,[1]作法V!$B$1:$C$9,2,TRUE))</f>
        <v>A~0</v>
      </c>
    </row>
    <row r="781" spans="1:12">
      <c r="A781">
        <v>1053</v>
      </c>
      <c r="B781" t="s">
        <v>21</v>
      </c>
      <c r="C781" s="3">
        <v>38632</v>
      </c>
      <c r="D781" s="3">
        <v>38776</v>
      </c>
      <c r="E781" t="s">
        <v>17</v>
      </c>
      <c r="F781">
        <v>33.15</v>
      </c>
      <c r="G781">
        <v>72.36</v>
      </c>
      <c r="H781">
        <v>2399</v>
      </c>
      <c r="I781" s="4">
        <v>38686</v>
      </c>
      <c r="J781" s="5">
        <f t="shared" si="24"/>
        <v>-90</v>
      </c>
      <c r="K781" s="6" t="str">
        <f t="shared" si="25"/>
        <v>A~0</v>
      </c>
      <c r="L781" t="str">
        <f>IF(J781&lt;0,"A~0",VLOOKUP(J781,[1]作法V!$B$1:$C$9,2,TRUE))</f>
        <v>A~0</v>
      </c>
    </row>
    <row r="782" spans="1:12">
      <c r="A782">
        <v>1053</v>
      </c>
      <c r="B782" t="s">
        <v>21</v>
      </c>
      <c r="C782" s="3">
        <v>38636</v>
      </c>
      <c r="D782" s="3">
        <v>38776</v>
      </c>
      <c r="E782" t="s">
        <v>18</v>
      </c>
      <c r="F782">
        <v>1</v>
      </c>
      <c r="G782">
        <v>248486</v>
      </c>
      <c r="H782">
        <v>248486</v>
      </c>
      <c r="I782" s="4">
        <v>38686</v>
      </c>
      <c r="J782" s="5">
        <f t="shared" si="24"/>
        <v>-90</v>
      </c>
      <c r="K782" s="6" t="str">
        <f t="shared" si="25"/>
        <v>A~0</v>
      </c>
      <c r="L782" t="str">
        <f>IF(J782&lt;0,"A~0",VLOOKUP(J782,[1]作法V!$B$1:$C$9,2,TRUE))</f>
        <v>A~0</v>
      </c>
    </row>
    <row r="783" spans="1:12">
      <c r="A783">
        <v>1053</v>
      </c>
      <c r="B783" t="s">
        <v>21</v>
      </c>
      <c r="C783" s="3">
        <v>38636</v>
      </c>
      <c r="D783" s="3">
        <v>38776</v>
      </c>
      <c r="E783" t="s">
        <v>18</v>
      </c>
      <c r="F783">
        <v>1</v>
      </c>
      <c r="G783">
        <v>431914</v>
      </c>
      <c r="H783">
        <v>431914</v>
      </c>
      <c r="I783" s="4">
        <v>38686</v>
      </c>
      <c r="J783" s="5">
        <f t="shared" si="24"/>
        <v>-90</v>
      </c>
      <c r="K783" s="6" t="str">
        <f t="shared" si="25"/>
        <v>A~0</v>
      </c>
      <c r="L783" t="str">
        <f>IF(J783&lt;0,"A~0",VLOOKUP(J783,[1]作法V!$B$1:$C$9,2,TRUE))</f>
        <v>A~0</v>
      </c>
    </row>
    <row r="784" spans="1:12">
      <c r="A784">
        <v>1053</v>
      </c>
      <c r="B784" t="s">
        <v>21</v>
      </c>
      <c r="C784" s="3">
        <v>38636</v>
      </c>
      <c r="D784" s="3">
        <v>38776</v>
      </c>
      <c r="E784" t="s">
        <v>18</v>
      </c>
      <c r="F784">
        <v>1</v>
      </c>
      <c r="G784">
        <v>493920</v>
      </c>
      <c r="H784">
        <v>493920</v>
      </c>
      <c r="I784" s="4">
        <v>38686</v>
      </c>
      <c r="J784" s="5">
        <f t="shared" si="24"/>
        <v>-90</v>
      </c>
      <c r="K784" s="6" t="str">
        <f t="shared" si="25"/>
        <v>A~0</v>
      </c>
      <c r="L784" t="str">
        <f>IF(J784&lt;0,"A~0",VLOOKUP(J784,[1]作法V!$B$1:$C$9,2,TRUE))</f>
        <v>A~0</v>
      </c>
    </row>
    <row r="785" spans="1:12">
      <c r="A785">
        <v>1053</v>
      </c>
      <c r="B785" t="s">
        <v>21</v>
      </c>
      <c r="C785" s="3">
        <v>38636</v>
      </c>
      <c r="D785" s="3">
        <v>38776</v>
      </c>
      <c r="E785" t="s">
        <v>17</v>
      </c>
      <c r="F785">
        <v>33.195</v>
      </c>
      <c r="G785">
        <v>9584.94</v>
      </c>
      <c r="H785">
        <v>318172</v>
      </c>
      <c r="I785" s="4">
        <v>38686</v>
      </c>
      <c r="J785" s="5">
        <f t="shared" si="24"/>
        <v>-90</v>
      </c>
      <c r="K785" s="6" t="str">
        <f t="shared" si="25"/>
        <v>A~0</v>
      </c>
      <c r="L785" t="str">
        <f>IF(J785&lt;0,"A~0",VLOOKUP(J785,[1]作法V!$B$1:$C$9,2,TRUE))</f>
        <v>A~0</v>
      </c>
    </row>
    <row r="786" spans="1:12">
      <c r="A786">
        <v>1053</v>
      </c>
      <c r="B786" t="s">
        <v>21</v>
      </c>
      <c r="C786" s="3">
        <v>38636</v>
      </c>
      <c r="D786" s="3">
        <v>38776</v>
      </c>
      <c r="E786" t="s">
        <v>17</v>
      </c>
      <c r="F786">
        <v>33.195</v>
      </c>
      <c r="G786">
        <v>9583.69</v>
      </c>
      <c r="H786">
        <v>318131</v>
      </c>
      <c r="I786" s="4">
        <v>38686</v>
      </c>
      <c r="J786" s="5">
        <f t="shared" si="24"/>
        <v>-90</v>
      </c>
      <c r="K786" s="6" t="str">
        <f t="shared" si="25"/>
        <v>A~0</v>
      </c>
      <c r="L786" t="str">
        <f>IF(J786&lt;0,"A~0",VLOOKUP(J786,[1]作法V!$B$1:$C$9,2,TRUE))</f>
        <v>A~0</v>
      </c>
    </row>
    <row r="787" spans="1:12">
      <c r="A787">
        <v>1053</v>
      </c>
      <c r="B787" t="s">
        <v>21</v>
      </c>
      <c r="C787" s="3">
        <v>38636</v>
      </c>
      <c r="D787" s="3">
        <v>38776</v>
      </c>
      <c r="E787" t="s">
        <v>17</v>
      </c>
      <c r="F787">
        <v>33.195</v>
      </c>
      <c r="G787">
        <v>8310.4</v>
      </c>
      <c r="H787">
        <v>275864</v>
      </c>
      <c r="I787" s="4">
        <v>38686</v>
      </c>
      <c r="J787" s="5">
        <f t="shared" si="24"/>
        <v>-90</v>
      </c>
      <c r="K787" s="6" t="str">
        <f t="shared" si="25"/>
        <v>A~0</v>
      </c>
      <c r="L787" t="str">
        <f>IF(J787&lt;0,"A~0",VLOOKUP(J787,[1]作法V!$B$1:$C$9,2,TRUE))</f>
        <v>A~0</v>
      </c>
    </row>
    <row r="788" spans="1:12">
      <c r="A788">
        <v>1053</v>
      </c>
      <c r="B788" t="s">
        <v>21</v>
      </c>
      <c r="C788" s="3">
        <v>38637</v>
      </c>
      <c r="D788" s="3">
        <v>38776</v>
      </c>
      <c r="E788" t="s">
        <v>18</v>
      </c>
      <c r="F788">
        <v>1</v>
      </c>
      <c r="G788">
        <v>293933</v>
      </c>
      <c r="H788">
        <v>293933</v>
      </c>
      <c r="I788" s="4">
        <v>38686</v>
      </c>
      <c r="J788" s="5">
        <f t="shared" si="24"/>
        <v>-90</v>
      </c>
      <c r="K788" s="6" t="str">
        <f t="shared" si="25"/>
        <v>A~0</v>
      </c>
      <c r="L788" t="str">
        <f>IF(J788&lt;0,"A~0",VLOOKUP(J788,[1]作法V!$B$1:$C$9,2,TRUE))</f>
        <v>A~0</v>
      </c>
    </row>
    <row r="789" spans="1:12">
      <c r="A789">
        <v>1053</v>
      </c>
      <c r="B789" t="s">
        <v>21</v>
      </c>
      <c r="C789" s="3">
        <v>38637</v>
      </c>
      <c r="D789" s="3">
        <v>38776</v>
      </c>
      <c r="E789" t="s">
        <v>18</v>
      </c>
      <c r="F789">
        <v>1</v>
      </c>
      <c r="G789">
        <v>6450</v>
      </c>
      <c r="H789">
        <v>6450</v>
      </c>
      <c r="I789" s="4">
        <v>38686</v>
      </c>
      <c r="J789" s="5">
        <f t="shared" si="24"/>
        <v>-90</v>
      </c>
      <c r="K789" s="6" t="str">
        <f t="shared" si="25"/>
        <v>A~0</v>
      </c>
      <c r="L789" t="str">
        <f>IF(J789&lt;0,"A~0",VLOOKUP(J789,[1]作法V!$B$1:$C$9,2,TRUE))</f>
        <v>A~0</v>
      </c>
    </row>
    <row r="790" spans="1:12">
      <c r="A790">
        <v>1053</v>
      </c>
      <c r="B790" t="s">
        <v>21</v>
      </c>
      <c r="C790" s="3">
        <v>38637</v>
      </c>
      <c r="D790" s="3">
        <v>38776</v>
      </c>
      <c r="E790" t="s">
        <v>18</v>
      </c>
      <c r="F790">
        <v>1</v>
      </c>
      <c r="G790">
        <v>49392</v>
      </c>
      <c r="H790">
        <v>49392</v>
      </c>
      <c r="I790" s="4">
        <v>38686</v>
      </c>
      <c r="J790" s="5">
        <f t="shared" si="24"/>
        <v>-90</v>
      </c>
      <c r="K790" s="6" t="str">
        <f t="shared" si="25"/>
        <v>A~0</v>
      </c>
      <c r="L790" t="str">
        <f>IF(J790&lt;0,"A~0",VLOOKUP(J790,[1]作法V!$B$1:$C$9,2,TRUE))</f>
        <v>A~0</v>
      </c>
    </row>
    <row r="791" spans="1:12">
      <c r="A791">
        <v>1053</v>
      </c>
      <c r="B791" t="s">
        <v>21</v>
      </c>
      <c r="C791" s="3">
        <v>38637</v>
      </c>
      <c r="D791" s="3">
        <v>38776</v>
      </c>
      <c r="E791" t="s">
        <v>18</v>
      </c>
      <c r="F791">
        <v>1</v>
      </c>
      <c r="G791">
        <v>14582</v>
      </c>
      <c r="H791">
        <v>14582</v>
      </c>
      <c r="I791" s="4">
        <v>38686</v>
      </c>
      <c r="J791" s="5">
        <f t="shared" si="24"/>
        <v>-90</v>
      </c>
      <c r="K791" s="6" t="str">
        <f t="shared" si="25"/>
        <v>A~0</v>
      </c>
      <c r="L791" t="str">
        <f>IF(J791&lt;0,"A~0",VLOOKUP(J791,[1]作法V!$B$1:$C$9,2,TRUE))</f>
        <v>A~0</v>
      </c>
    </row>
    <row r="792" spans="1:12">
      <c r="A792">
        <v>1053</v>
      </c>
      <c r="B792" t="s">
        <v>21</v>
      </c>
      <c r="C792" s="3">
        <v>38638</v>
      </c>
      <c r="D792" s="3">
        <v>38776</v>
      </c>
      <c r="E792" t="s">
        <v>18</v>
      </c>
      <c r="F792">
        <v>1</v>
      </c>
      <c r="G792">
        <v>108662</v>
      </c>
      <c r="H792">
        <v>108662</v>
      </c>
      <c r="I792" s="4">
        <v>38686</v>
      </c>
      <c r="J792" s="5">
        <f t="shared" si="24"/>
        <v>-90</v>
      </c>
      <c r="K792" s="6" t="str">
        <f t="shared" si="25"/>
        <v>A~0</v>
      </c>
      <c r="L792" t="str">
        <f>IF(J792&lt;0,"A~0",VLOOKUP(J792,[1]作法V!$B$1:$C$9,2,TRUE))</f>
        <v>A~0</v>
      </c>
    </row>
    <row r="793" spans="1:12">
      <c r="A793">
        <v>1053</v>
      </c>
      <c r="B793" t="s">
        <v>21</v>
      </c>
      <c r="C793" s="3">
        <v>38638</v>
      </c>
      <c r="D793" s="3">
        <v>38776</v>
      </c>
      <c r="E793" t="s">
        <v>18</v>
      </c>
      <c r="F793">
        <v>1</v>
      </c>
      <c r="G793">
        <v>435456</v>
      </c>
      <c r="H793">
        <v>435456</v>
      </c>
      <c r="I793" s="4">
        <v>38686</v>
      </c>
      <c r="J793" s="5">
        <f t="shared" si="24"/>
        <v>-90</v>
      </c>
      <c r="K793" s="6" t="str">
        <f t="shared" si="25"/>
        <v>A~0</v>
      </c>
      <c r="L793" t="str">
        <f>IF(J793&lt;0,"A~0",VLOOKUP(J793,[1]作法V!$B$1:$C$9,2,TRUE))</f>
        <v>A~0</v>
      </c>
    </row>
    <row r="794" spans="1:12">
      <c r="A794">
        <v>1053</v>
      </c>
      <c r="B794" t="s">
        <v>21</v>
      </c>
      <c r="C794" s="3">
        <v>38638</v>
      </c>
      <c r="D794" s="3">
        <v>38776</v>
      </c>
      <c r="E794" t="s">
        <v>17</v>
      </c>
      <c r="F794">
        <v>33.195</v>
      </c>
      <c r="G794">
        <v>12651.03</v>
      </c>
      <c r="H794">
        <v>419951</v>
      </c>
      <c r="I794" s="4">
        <v>38686</v>
      </c>
      <c r="J794" s="5">
        <f t="shared" si="24"/>
        <v>-90</v>
      </c>
      <c r="K794" s="6" t="str">
        <f t="shared" si="25"/>
        <v>A~0</v>
      </c>
      <c r="L794" t="str">
        <f>IF(J794&lt;0,"A~0",VLOOKUP(J794,[1]作法V!$B$1:$C$9,2,TRUE))</f>
        <v>A~0</v>
      </c>
    </row>
    <row r="795" spans="1:12">
      <c r="A795">
        <v>1053</v>
      </c>
      <c r="B795" t="s">
        <v>21</v>
      </c>
      <c r="C795" s="3">
        <v>38638</v>
      </c>
      <c r="D795" s="3">
        <v>38776</v>
      </c>
      <c r="E795" t="s">
        <v>17</v>
      </c>
      <c r="F795">
        <v>33.195</v>
      </c>
      <c r="G795">
        <v>8545.86</v>
      </c>
      <c r="H795">
        <v>283680</v>
      </c>
      <c r="I795" s="4">
        <v>38686</v>
      </c>
      <c r="J795" s="5">
        <f t="shared" si="24"/>
        <v>-90</v>
      </c>
      <c r="K795" s="6" t="str">
        <f t="shared" si="25"/>
        <v>A~0</v>
      </c>
      <c r="L795" t="str">
        <f>IF(J795&lt;0,"A~0",VLOOKUP(J795,[1]作法V!$B$1:$C$9,2,TRUE))</f>
        <v>A~0</v>
      </c>
    </row>
    <row r="796" spans="1:12">
      <c r="A796">
        <v>1053</v>
      </c>
      <c r="B796" t="s">
        <v>21</v>
      </c>
      <c r="C796" s="3">
        <v>38638</v>
      </c>
      <c r="D796" s="3">
        <v>38776</v>
      </c>
      <c r="E796" t="s">
        <v>17</v>
      </c>
      <c r="F796">
        <v>33.195</v>
      </c>
      <c r="G796">
        <v>2015</v>
      </c>
      <c r="H796">
        <v>66888</v>
      </c>
      <c r="I796" s="4">
        <v>38686</v>
      </c>
      <c r="J796" s="5">
        <f t="shared" si="24"/>
        <v>-90</v>
      </c>
      <c r="K796" s="6" t="str">
        <f t="shared" si="25"/>
        <v>A~0</v>
      </c>
      <c r="L796" t="str">
        <f>IF(J796&lt;0,"A~0",VLOOKUP(J796,[1]作法V!$B$1:$C$9,2,TRUE))</f>
        <v>A~0</v>
      </c>
    </row>
    <row r="797" spans="1:12">
      <c r="A797">
        <v>1053</v>
      </c>
      <c r="B797" t="s">
        <v>21</v>
      </c>
      <c r="C797" s="3">
        <v>38638</v>
      </c>
      <c r="D797" s="3">
        <v>38776</v>
      </c>
      <c r="E797" t="s">
        <v>17</v>
      </c>
      <c r="F797">
        <v>33.195</v>
      </c>
      <c r="G797">
        <v>1187.04</v>
      </c>
      <c r="H797">
        <v>39404</v>
      </c>
      <c r="I797" s="4">
        <v>38686</v>
      </c>
      <c r="J797" s="5">
        <f t="shared" si="24"/>
        <v>-90</v>
      </c>
      <c r="K797" s="6" t="str">
        <f t="shared" si="25"/>
        <v>A~0</v>
      </c>
      <c r="L797" t="str">
        <f>IF(J797&lt;0,"A~0",VLOOKUP(J797,[1]作法V!$B$1:$C$9,2,TRUE))</f>
        <v>A~0</v>
      </c>
    </row>
    <row r="798" spans="1:12">
      <c r="A798">
        <v>1053</v>
      </c>
      <c r="B798" t="s">
        <v>21</v>
      </c>
      <c r="C798" s="3">
        <v>38638</v>
      </c>
      <c r="D798" s="3">
        <v>38776</v>
      </c>
      <c r="E798" t="s">
        <v>17</v>
      </c>
      <c r="F798">
        <v>33.195</v>
      </c>
      <c r="G798">
        <v>13779.04</v>
      </c>
      <c r="H798">
        <v>457395</v>
      </c>
      <c r="I798" s="4">
        <v>38686</v>
      </c>
      <c r="J798" s="5">
        <f t="shared" si="24"/>
        <v>-90</v>
      </c>
      <c r="K798" s="6" t="str">
        <f t="shared" si="25"/>
        <v>A~0</v>
      </c>
      <c r="L798" t="str">
        <f>IF(J798&lt;0,"A~0",VLOOKUP(J798,[1]作法V!$B$1:$C$9,2,TRUE))</f>
        <v>A~0</v>
      </c>
    </row>
    <row r="799" spans="1:12">
      <c r="A799">
        <v>1053</v>
      </c>
      <c r="B799" t="s">
        <v>21</v>
      </c>
      <c r="C799" s="3">
        <v>38638</v>
      </c>
      <c r="D799" s="3">
        <v>38776</v>
      </c>
      <c r="E799" t="s">
        <v>17</v>
      </c>
      <c r="F799">
        <v>33.195</v>
      </c>
      <c r="G799">
        <v>3185.28</v>
      </c>
      <c r="H799">
        <v>105735</v>
      </c>
      <c r="I799" s="4">
        <v>38686</v>
      </c>
      <c r="J799" s="5">
        <f t="shared" si="24"/>
        <v>-90</v>
      </c>
      <c r="K799" s="6" t="str">
        <f t="shared" si="25"/>
        <v>A~0</v>
      </c>
      <c r="L799" t="str">
        <f>IF(J799&lt;0,"A~0",VLOOKUP(J799,[1]作法V!$B$1:$C$9,2,TRUE))</f>
        <v>A~0</v>
      </c>
    </row>
    <row r="800" spans="1:12">
      <c r="A800">
        <v>1053</v>
      </c>
      <c r="B800" t="s">
        <v>21</v>
      </c>
      <c r="C800" s="3">
        <v>38638</v>
      </c>
      <c r="D800" s="3">
        <v>38776</v>
      </c>
      <c r="E800" t="s">
        <v>17</v>
      </c>
      <c r="F800">
        <v>33.195</v>
      </c>
      <c r="G800">
        <v>555.57000000000005</v>
      </c>
      <c r="H800">
        <v>18442</v>
      </c>
      <c r="I800" s="4">
        <v>38686</v>
      </c>
      <c r="J800" s="5">
        <f t="shared" si="24"/>
        <v>-90</v>
      </c>
      <c r="K800" s="6" t="str">
        <f t="shared" si="25"/>
        <v>A~0</v>
      </c>
      <c r="L800" t="str">
        <f>IF(J800&lt;0,"A~0",VLOOKUP(J800,[1]作法V!$B$1:$C$9,2,TRUE))</f>
        <v>A~0</v>
      </c>
    </row>
    <row r="801" spans="1:12">
      <c r="A801">
        <v>1053</v>
      </c>
      <c r="B801" t="s">
        <v>21</v>
      </c>
      <c r="C801" s="3">
        <v>38638</v>
      </c>
      <c r="D801" s="3">
        <v>38776</v>
      </c>
      <c r="E801" t="s">
        <v>17</v>
      </c>
      <c r="F801">
        <v>33.195</v>
      </c>
      <c r="G801">
        <v>2090.1999999999998</v>
      </c>
      <c r="H801">
        <v>69384</v>
      </c>
      <c r="I801" s="4">
        <v>38686</v>
      </c>
      <c r="J801" s="5">
        <f t="shared" si="24"/>
        <v>-90</v>
      </c>
      <c r="K801" s="6" t="str">
        <f t="shared" si="25"/>
        <v>A~0</v>
      </c>
      <c r="L801" t="str">
        <f>IF(J801&lt;0,"A~0",VLOOKUP(J801,[1]作法V!$B$1:$C$9,2,TRUE))</f>
        <v>A~0</v>
      </c>
    </row>
    <row r="802" spans="1:12">
      <c r="A802">
        <v>1053</v>
      </c>
      <c r="B802" t="s">
        <v>21</v>
      </c>
      <c r="C802" s="3">
        <v>38638</v>
      </c>
      <c r="D802" s="3">
        <v>38776</v>
      </c>
      <c r="E802" t="s">
        <v>17</v>
      </c>
      <c r="F802">
        <v>33.195</v>
      </c>
      <c r="G802">
        <v>6709.95</v>
      </c>
      <c r="H802">
        <v>222737</v>
      </c>
      <c r="I802" s="4">
        <v>38686</v>
      </c>
      <c r="J802" s="5">
        <f t="shared" si="24"/>
        <v>-90</v>
      </c>
      <c r="K802" s="6" t="str">
        <f t="shared" si="25"/>
        <v>A~0</v>
      </c>
      <c r="L802" t="str">
        <f>IF(J802&lt;0,"A~0",VLOOKUP(J802,[1]作法V!$B$1:$C$9,2,TRUE))</f>
        <v>A~0</v>
      </c>
    </row>
    <row r="803" spans="1:12">
      <c r="A803">
        <v>1053</v>
      </c>
      <c r="B803" t="s">
        <v>21</v>
      </c>
      <c r="C803" s="3">
        <v>38639</v>
      </c>
      <c r="D803" s="3">
        <v>38776</v>
      </c>
      <c r="E803" t="s">
        <v>18</v>
      </c>
      <c r="F803">
        <v>1</v>
      </c>
      <c r="G803">
        <v>489888</v>
      </c>
      <c r="H803">
        <v>489888</v>
      </c>
      <c r="I803" s="4">
        <v>38686</v>
      </c>
      <c r="J803" s="5">
        <f t="shared" si="24"/>
        <v>-90</v>
      </c>
      <c r="K803" s="6" t="str">
        <f t="shared" si="25"/>
        <v>A~0</v>
      </c>
      <c r="L803" t="str">
        <f>IF(J803&lt;0,"A~0",VLOOKUP(J803,[1]作法V!$B$1:$C$9,2,TRUE))</f>
        <v>A~0</v>
      </c>
    </row>
    <row r="804" spans="1:12">
      <c r="A804">
        <v>1053</v>
      </c>
      <c r="B804" t="s">
        <v>21</v>
      </c>
      <c r="C804" s="3">
        <v>38642</v>
      </c>
      <c r="D804" s="3">
        <v>38776</v>
      </c>
      <c r="E804" t="s">
        <v>18</v>
      </c>
      <c r="F804">
        <v>1</v>
      </c>
      <c r="G804">
        <v>99696</v>
      </c>
      <c r="H804">
        <v>99696</v>
      </c>
      <c r="I804" s="4">
        <v>38686</v>
      </c>
      <c r="J804" s="5">
        <f t="shared" si="24"/>
        <v>-90</v>
      </c>
      <c r="K804" s="6" t="str">
        <f t="shared" si="25"/>
        <v>A~0</v>
      </c>
      <c r="L804" t="str">
        <f>IF(J804&lt;0,"A~0",VLOOKUP(J804,[1]作法V!$B$1:$C$9,2,TRUE))</f>
        <v>A~0</v>
      </c>
    </row>
    <row r="805" spans="1:12">
      <c r="A805">
        <v>1053</v>
      </c>
      <c r="B805" t="s">
        <v>21</v>
      </c>
      <c r="C805" s="3">
        <v>38642</v>
      </c>
      <c r="D805" s="3">
        <v>38776</v>
      </c>
      <c r="E805" t="s">
        <v>18</v>
      </c>
      <c r="F805">
        <v>1</v>
      </c>
      <c r="G805">
        <v>143344</v>
      </c>
      <c r="H805">
        <v>143344</v>
      </c>
      <c r="I805" s="4">
        <v>38686</v>
      </c>
      <c r="J805" s="5">
        <f t="shared" si="24"/>
        <v>-90</v>
      </c>
      <c r="K805" s="6" t="str">
        <f t="shared" si="25"/>
        <v>A~0</v>
      </c>
      <c r="L805" t="str">
        <f>IF(J805&lt;0,"A~0",VLOOKUP(J805,[1]作法V!$B$1:$C$9,2,TRUE))</f>
        <v>A~0</v>
      </c>
    </row>
    <row r="806" spans="1:12">
      <c r="A806">
        <v>1053</v>
      </c>
      <c r="B806" t="s">
        <v>21</v>
      </c>
      <c r="C806" s="3">
        <v>38642</v>
      </c>
      <c r="D806" s="3">
        <v>38776</v>
      </c>
      <c r="E806" t="s">
        <v>18</v>
      </c>
      <c r="F806">
        <v>1</v>
      </c>
      <c r="G806">
        <v>44420</v>
      </c>
      <c r="H806">
        <v>44420</v>
      </c>
      <c r="I806" s="4">
        <v>38686</v>
      </c>
      <c r="J806" s="5">
        <f t="shared" si="24"/>
        <v>-90</v>
      </c>
      <c r="K806" s="6" t="str">
        <f t="shared" si="25"/>
        <v>A~0</v>
      </c>
      <c r="L806" t="str">
        <f>IF(J806&lt;0,"A~0",VLOOKUP(J806,[1]作法V!$B$1:$C$9,2,TRUE))</f>
        <v>A~0</v>
      </c>
    </row>
    <row r="807" spans="1:12">
      <c r="A807">
        <v>1053</v>
      </c>
      <c r="B807" t="s">
        <v>21</v>
      </c>
      <c r="C807" s="3">
        <v>38642</v>
      </c>
      <c r="D807" s="3">
        <v>38776</v>
      </c>
      <c r="E807" t="s">
        <v>18</v>
      </c>
      <c r="F807">
        <v>1</v>
      </c>
      <c r="G807">
        <v>69825</v>
      </c>
      <c r="H807">
        <v>69825</v>
      </c>
      <c r="I807" s="4">
        <v>38686</v>
      </c>
      <c r="J807" s="5">
        <f t="shared" si="24"/>
        <v>-90</v>
      </c>
      <c r="K807" s="6" t="str">
        <f t="shared" si="25"/>
        <v>A~0</v>
      </c>
      <c r="L807" t="str">
        <f>IF(J807&lt;0,"A~0",VLOOKUP(J807,[1]作法V!$B$1:$C$9,2,TRUE))</f>
        <v>A~0</v>
      </c>
    </row>
    <row r="808" spans="1:12">
      <c r="A808">
        <v>1053</v>
      </c>
      <c r="B808" t="s">
        <v>21</v>
      </c>
      <c r="C808" s="3">
        <v>38642</v>
      </c>
      <c r="D808" s="3">
        <v>38776</v>
      </c>
      <c r="E808" t="s">
        <v>18</v>
      </c>
      <c r="F808">
        <v>1</v>
      </c>
      <c r="G808">
        <v>66355</v>
      </c>
      <c r="H808">
        <v>66355</v>
      </c>
      <c r="I808" s="4">
        <v>38686</v>
      </c>
      <c r="J808" s="5">
        <f t="shared" si="24"/>
        <v>-90</v>
      </c>
      <c r="K808" s="6" t="str">
        <f t="shared" si="25"/>
        <v>A~0</v>
      </c>
      <c r="L808" t="str">
        <f>IF(J808&lt;0,"A~0",VLOOKUP(J808,[1]作法V!$B$1:$C$9,2,TRUE))</f>
        <v>A~0</v>
      </c>
    </row>
    <row r="809" spans="1:12">
      <c r="A809">
        <v>1053</v>
      </c>
      <c r="B809" t="s">
        <v>21</v>
      </c>
      <c r="C809" s="3">
        <v>38642</v>
      </c>
      <c r="D809" s="3">
        <v>38776</v>
      </c>
      <c r="E809" t="s">
        <v>18</v>
      </c>
      <c r="F809">
        <v>1</v>
      </c>
      <c r="G809">
        <v>83808</v>
      </c>
      <c r="H809">
        <v>83808</v>
      </c>
      <c r="I809" s="4">
        <v>38686</v>
      </c>
      <c r="J809" s="5">
        <f t="shared" si="24"/>
        <v>-90</v>
      </c>
      <c r="K809" s="6" t="str">
        <f t="shared" si="25"/>
        <v>A~0</v>
      </c>
      <c r="L809" t="str">
        <f>IF(J809&lt;0,"A~0",VLOOKUP(J809,[1]作法V!$B$1:$C$9,2,TRUE))</f>
        <v>A~0</v>
      </c>
    </row>
    <row r="810" spans="1:12">
      <c r="A810">
        <v>1053</v>
      </c>
      <c r="B810" t="s">
        <v>21</v>
      </c>
      <c r="C810" s="3">
        <v>38642</v>
      </c>
      <c r="D810" s="3">
        <v>38776</v>
      </c>
      <c r="E810" t="s">
        <v>18</v>
      </c>
      <c r="F810">
        <v>1</v>
      </c>
      <c r="G810">
        <v>33264</v>
      </c>
      <c r="H810">
        <v>33264</v>
      </c>
      <c r="I810" s="4">
        <v>38686</v>
      </c>
      <c r="J810" s="5">
        <f t="shared" si="24"/>
        <v>-90</v>
      </c>
      <c r="K810" s="6" t="str">
        <f t="shared" si="25"/>
        <v>A~0</v>
      </c>
      <c r="L810" t="str">
        <f>IF(J810&lt;0,"A~0",VLOOKUP(J810,[1]作法V!$B$1:$C$9,2,TRUE))</f>
        <v>A~0</v>
      </c>
    </row>
    <row r="811" spans="1:12">
      <c r="A811">
        <v>1053</v>
      </c>
      <c r="B811" t="s">
        <v>21</v>
      </c>
      <c r="C811" s="3">
        <v>38642</v>
      </c>
      <c r="D811" s="3">
        <v>38776</v>
      </c>
      <c r="E811" t="s">
        <v>18</v>
      </c>
      <c r="F811">
        <v>1</v>
      </c>
      <c r="G811">
        <v>489802</v>
      </c>
      <c r="H811">
        <v>489802</v>
      </c>
      <c r="I811" s="4">
        <v>38686</v>
      </c>
      <c r="J811" s="5">
        <f t="shared" si="24"/>
        <v>-90</v>
      </c>
      <c r="K811" s="6" t="str">
        <f t="shared" si="25"/>
        <v>A~0</v>
      </c>
      <c r="L811" t="str">
        <f>IF(J811&lt;0,"A~0",VLOOKUP(J811,[1]作法V!$B$1:$C$9,2,TRUE))</f>
        <v>A~0</v>
      </c>
    </row>
    <row r="812" spans="1:12">
      <c r="A812">
        <v>1053</v>
      </c>
      <c r="B812" t="s">
        <v>21</v>
      </c>
      <c r="C812" s="3">
        <v>38642</v>
      </c>
      <c r="D812" s="3">
        <v>38776</v>
      </c>
      <c r="E812" t="s">
        <v>18</v>
      </c>
      <c r="F812">
        <v>1</v>
      </c>
      <c r="G812">
        <v>89856</v>
      </c>
      <c r="H812">
        <v>89856</v>
      </c>
      <c r="I812" s="4">
        <v>38686</v>
      </c>
      <c r="J812" s="5">
        <f t="shared" si="24"/>
        <v>-90</v>
      </c>
      <c r="K812" s="6" t="str">
        <f t="shared" si="25"/>
        <v>A~0</v>
      </c>
      <c r="L812" t="str">
        <f>IF(J812&lt;0,"A~0",VLOOKUP(J812,[1]作法V!$B$1:$C$9,2,TRUE))</f>
        <v>A~0</v>
      </c>
    </row>
    <row r="813" spans="1:12">
      <c r="A813">
        <v>1053</v>
      </c>
      <c r="B813" t="s">
        <v>21</v>
      </c>
      <c r="C813" s="3">
        <v>38642</v>
      </c>
      <c r="D813" s="3">
        <v>38776</v>
      </c>
      <c r="E813" t="s">
        <v>18</v>
      </c>
      <c r="F813">
        <v>1</v>
      </c>
      <c r="G813">
        <v>87091</v>
      </c>
      <c r="H813">
        <v>87091</v>
      </c>
      <c r="I813" s="4">
        <v>38686</v>
      </c>
      <c r="J813" s="5">
        <f t="shared" si="24"/>
        <v>-90</v>
      </c>
      <c r="K813" s="6" t="str">
        <f t="shared" si="25"/>
        <v>A~0</v>
      </c>
      <c r="L813" t="str">
        <f>IF(J813&lt;0,"A~0",VLOOKUP(J813,[1]作法V!$B$1:$C$9,2,TRUE))</f>
        <v>A~0</v>
      </c>
    </row>
    <row r="814" spans="1:12">
      <c r="A814">
        <v>1053</v>
      </c>
      <c r="B814" t="s">
        <v>21</v>
      </c>
      <c r="C814" s="3">
        <v>38642</v>
      </c>
      <c r="D814" s="3">
        <v>38776</v>
      </c>
      <c r="E814" t="s">
        <v>18</v>
      </c>
      <c r="F814">
        <v>1</v>
      </c>
      <c r="G814">
        <v>21773</v>
      </c>
      <c r="H814">
        <v>21773</v>
      </c>
      <c r="I814" s="4">
        <v>38686</v>
      </c>
      <c r="J814" s="5">
        <f t="shared" si="24"/>
        <v>-90</v>
      </c>
      <c r="K814" s="6" t="str">
        <f t="shared" si="25"/>
        <v>A~0</v>
      </c>
      <c r="L814" t="str">
        <f>IF(J814&lt;0,"A~0",VLOOKUP(J814,[1]作法V!$B$1:$C$9,2,TRUE))</f>
        <v>A~0</v>
      </c>
    </row>
    <row r="815" spans="1:12">
      <c r="A815">
        <v>1053</v>
      </c>
      <c r="B815" t="s">
        <v>21</v>
      </c>
      <c r="C815" s="3">
        <v>38642</v>
      </c>
      <c r="D815" s="3">
        <v>38776</v>
      </c>
      <c r="E815" t="s">
        <v>17</v>
      </c>
      <c r="F815">
        <v>33.195</v>
      </c>
      <c r="G815">
        <v>940.8</v>
      </c>
      <c r="H815">
        <v>31230</v>
      </c>
      <c r="I815" s="4">
        <v>38686</v>
      </c>
      <c r="J815" s="5">
        <f t="shared" si="24"/>
        <v>-90</v>
      </c>
      <c r="K815" s="6" t="str">
        <f t="shared" si="25"/>
        <v>A~0</v>
      </c>
      <c r="L815" t="str">
        <f>IF(J815&lt;0,"A~0",VLOOKUP(J815,[1]作法V!$B$1:$C$9,2,TRUE))</f>
        <v>A~0</v>
      </c>
    </row>
    <row r="816" spans="1:12">
      <c r="A816">
        <v>1053</v>
      </c>
      <c r="B816" t="s">
        <v>21</v>
      </c>
      <c r="C816" s="3">
        <v>38642</v>
      </c>
      <c r="D816" s="3">
        <v>38776</v>
      </c>
      <c r="E816" t="s">
        <v>17</v>
      </c>
      <c r="F816">
        <v>33.195</v>
      </c>
      <c r="G816">
        <v>9578.4699999999993</v>
      </c>
      <c r="H816">
        <v>317957</v>
      </c>
      <c r="I816" s="4">
        <v>38686</v>
      </c>
      <c r="J816" s="5">
        <f t="shared" si="24"/>
        <v>-90</v>
      </c>
      <c r="K816" s="6" t="str">
        <f t="shared" si="25"/>
        <v>A~0</v>
      </c>
      <c r="L816" t="str">
        <f>IF(J816&lt;0,"A~0",VLOOKUP(J816,[1]作法V!$B$1:$C$9,2,TRUE))</f>
        <v>A~0</v>
      </c>
    </row>
    <row r="817" spans="1:12">
      <c r="A817">
        <v>1053</v>
      </c>
      <c r="B817" t="s">
        <v>21</v>
      </c>
      <c r="C817" s="3">
        <v>38642</v>
      </c>
      <c r="D817" s="3">
        <v>38776</v>
      </c>
      <c r="E817" t="s">
        <v>17</v>
      </c>
      <c r="F817">
        <v>33.195</v>
      </c>
      <c r="G817">
        <v>16119</v>
      </c>
      <c r="H817">
        <v>535070</v>
      </c>
      <c r="I817" s="4">
        <v>38686</v>
      </c>
      <c r="J817" s="5">
        <f t="shared" si="24"/>
        <v>-90</v>
      </c>
      <c r="K817" s="6" t="str">
        <f t="shared" si="25"/>
        <v>A~0</v>
      </c>
      <c r="L817" t="str">
        <f>IF(J817&lt;0,"A~0",VLOOKUP(J817,[1]作法V!$B$1:$C$9,2,TRUE))</f>
        <v>A~0</v>
      </c>
    </row>
    <row r="818" spans="1:12">
      <c r="A818">
        <v>1053</v>
      </c>
      <c r="B818" t="s">
        <v>21</v>
      </c>
      <c r="C818" s="3">
        <v>38642</v>
      </c>
      <c r="D818" s="3">
        <v>38776</v>
      </c>
      <c r="E818" t="s">
        <v>17</v>
      </c>
      <c r="F818">
        <v>33.195</v>
      </c>
      <c r="G818">
        <v>880.97</v>
      </c>
      <c r="H818">
        <v>29244</v>
      </c>
      <c r="I818" s="4">
        <v>38686</v>
      </c>
      <c r="J818" s="5">
        <f t="shared" si="24"/>
        <v>-90</v>
      </c>
      <c r="K818" s="6" t="str">
        <f t="shared" si="25"/>
        <v>A~0</v>
      </c>
      <c r="L818" t="str">
        <f>IF(J818&lt;0,"A~0",VLOOKUP(J818,[1]作法V!$B$1:$C$9,2,TRUE))</f>
        <v>A~0</v>
      </c>
    </row>
    <row r="819" spans="1:12">
      <c r="A819">
        <v>1053</v>
      </c>
      <c r="B819" t="s">
        <v>21</v>
      </c>
      <c r="C819" s="3">
        <v>38643</v>
      </c>
      <c r="D819" s="3">
        <v>38776</v>
      </c>
      <c r="E819" t="s">
        <v>18</v>
      </c>
      <c r="F819">
        <v>1</v>
      </c>
      <c r="G819">
        <v>348365</v>
      </c>
      <c r="H819">
        <v>348365</v>
      </c>
      <c r="I819" s="4">
        <v>38686</v>
      </c>
      <c r="J819" s="5">
        <f t="shared" si="24"/>
        <v>-90</v>
      </c>
      <c r="K819" s="6" t="str">
        <f t="shared" si="25"/>
        <v>A~0</v>
      </c>
      <c r="L819" t="str">
        <f>IF(J819&lt;0,"A~0",VLOOKUP(J819,[1]作法V!$B$1:$C$9,2,TRUE))</f>
        <v>A~0</v>
      </c>
    </row>
    <row r="820" spans="1:12">
      <c r="A820">
        <v>1053</v>
      </c>
      <c r="B820" t="s">
        <v>21</v>
      </c>
      <c r="C820" s="3">
        <v>38644</v>
      </c>
      <c r="D820" s="3">
        <v>38776</v>
      </c>
      <c r="E820" t="s">
        <v>18</v>
      </c>
      <c r="F820">
        <v>1</v>
      </c>
      <c r="G820">
        <v>252762</v>
      </c>
      <c r="H820">
        <v>252762</v>
      </c>
      <c r="I820" s="4">
        <v>38686</v>
      </c>
      <c r="J820" s="5">
        <f t="shared" si="24"/>
        <v>-90</v>
      </c>
      <c r="K820" s="6" t="str">
        <f t="shared" si="25"/>
        <v>A~0</v>
      </c>
      <c r="L820" t="str">
        <f>IF(J820&lt;0,"A~0",VLOOKUP(J820,[1]作法V!$B$1:$C$9,2,TRUE))</f>
        <v>A~0</v>
      </c>
    </row>
    <row r="821" spans="1:12">
      <c r="A821">
        <v>1053</v>
      </c>
      <c r="B821" t="s">
        <v>21</v>
      </c>
      <c r="C821" s="3">
        <v>38644</v>
      </c>
      <c r="D821" s="3">
        <v>38776</v>
      </c>
      <c r="E821" t="s">
        <v>18</v>
      </c>
      <c r="F821">
        <v>1</v>
      </c>
      <c r="G821">
        <v>353808</v>
      </c>
      <c r="H821">
        <v>353808</v>
      </c>
      <c r="I821" s="4">
        <v>38686</v>
      </c>
      <c r="J821" s="5">
        <f t="shared" si="24"/>
        <v>-90</v>
      </c>
      <c r="K821" s="6" t="str">
        <f t="shared" si="25"/>
        <v>A~0</v>
      </c>
      <c r="L821" t="str">
        <f>IF(J821&lt;0,"A~0",VLOOKUP(J821,[1]作法V!$B$1:$C$9,2,TRUE))</f>
        <v>A~0</v>
      </c>
    </row>
    <row r="822" spans="1:12">
      <c r="A822">
        <v>1053</v>
      </c>
      <c r="B822" t="s">
        <v>21</v>
      </c>
      <c r="C822" s="3">
        <v>38644</v>
      </c>
      <c r="D822" s="3">
        <v>38776</v>
      </c>
      <c r="E822" t="s">
        <v>17</v>
      </c>
      <c r="F822">
        <v>33.195</v>
      </c>
      <c r="G822">
        <v>14414.17</v>
      </c>
      <c r="H822">
        <v>478478</v>
      </c>
      <c r="I822" s="4">
        <v>38686</v>
      </c>
      <c r="J822" s="5">
        <f t="shared" si="24"/>
        <v>-90</v>
      </c>
      <c r="K822" s="6" t="str">
        <f t="shared" si="25"/>
        <v>A~0</v>
      </c>
      <c r="L822" t="str">
        <f>IF(J822&lt;0,"A~0",VLOOKUP(J822,[1]作法V!$B$1:$C$9,2,TRUE))</f>
        <v>A~0</v>
      </c>
    </row>
    <row r="823" spans="1:12">
      <c r="A823">
        <v>1053</v>
      </c>
      <c r="B823" t="s">
        <v>21</v>
      </c>
      <c r="C823" s="3">
        <v>38644</v>
      </c>
      <c r="D823" s="3">
        <v>38776</v>
      </c>
      <c r="E823" t="s">
        <v>17</v>
      </c>
      <c r="F823">
        <v>33.195</v>
      </c>
      <c r="G823">
        <v>5645.03</v>
      </c>
      <c r="H823">
        <v>187387</v>
      </c>
      <c r="I823" s="4">
        <v>38686</v>
      </c>
      <c r="J823" s="5">
        <f t="shared" si="24"/>
        <v>-90</v>
      </c>
      <c r="K823" s="6" t="str">
        <f t="shared" si="25"/>
        <v>A~0</v>
      </c>
      <c r="L823" t="str">
        <f>IF(J823&lt;0,"A~0",VLOOKUP(J823,[1]作法V!$B$1:$C$9,2,TRUE))</f>
        <v>A~0</v>
      </c>
    </row>
    <row r="824" spans="1:12">
      <c r="A824">
        <v>1053</v>
      </c>
      <c r="B824" t="s">
        <v>21</v>
      </c>
      <c r="C824" s="3">
        <v>38645</v>
      </c>
      <c r="D824" s="3">
        <v>38776</v>
      </c>
      <c r="E824" t="s">
        <v>18</v>
      </c>
      <c r="F824">
        <v>1</v>
      </c>
      <c r="G824">
        <v>258000</v>
      </c>
      <c r="H824">
        <v>258000</v>
      </c>
      <c r="I824" s="4">
        <v>38686</v>
      </c>
      <c r="J824" s="5">
        <f t="shared" si="24"/>
        <v>-90</v>
      </c>
      <c r="K824" s="6" t="str">
        <f t="shared" si="25"/>
        <v>A~0</v>
      </c>
      <c r="L824" t="str">
        <f>IF(J824&lt;0,"A~0",VLOOKUP(J824,[1]作法V!$B$1:$C$9,2,TRUE))</f>
        <v>A~0</v>
      </c>
    </row>
    <row r="825" spans="1:12">
      <c r="A825">
        <v>1053</v>
      </c>
      <c r="B825" t="s">
        <v>21</v>
      </c>
      <c r="C825" s="3">
        <v>38645</v>
      </c>
      <c r="D825" s="3">
        <v>38776</v>
      </c>
      <c r="E825" t="s">
        <v>18</v>
      </c>
      <c r="F825">
        <v>1</v>
      </c>
      <c r="G825">
        <v>348365</v>
      </c>
      <c r="H825">
        <v>348365</v>
      </c>
      <c r="I825" s="4">
        <v>38686</v>
      </c>
      <c r="J825" s="5">
        <f t="shared" si="24"/>
        <v>-90</v>
      </c>
      <c r="K825" s="6" t="str">
        <f t="shared" si="25"/>
        <v>A~0</v>
      </c>
      <c r="L825" t="str">
        <f>IF(J825&lt;0,"A~0",VLOOKUP(J825,[1]作法V!$B$1:$C$9,2,TRUE))</f>
        <v>A~0</v>
      </c>
    </row>
    <row r="826" spans="1:12">
      <c r="A826">
        <v>1053</v>
      </c>
      <c r="B826" t="s">
        <v>21</v>
      </c>
      <c r="C826" s="3">
        <v>38646</v>
      </c>
      <c r="D826" s="3">
        <v>38776</v>
      </c>
      <c r="E826" t="s">
        <v>18</v>
      </c>
      <c r="F826">
        <v>1</v>
      </c>
      <c r="G826">
        <v>12400</v>
      </c>
      <c r="H826">
        <v>12400</v>
      </c>
      <c r="I826" s="4">
        <v>38686</v>
      </c>
      <c r="J826" s="5">
        <f t="shared" si="24"/>
        <v>-90</v>
      </c>
      <c r="K826" s="6" t="str">
        <f t="shared" si="25"/>
        <v>A~0</v>
      </c>
      <c r="L826" t="str">
        <f>IF(J826&lt;0,"A~0",VLOOKUP(J826,[1]作法V!$B$1:$C$9,2,TRUE))</f>
        <v>A~0</v>
      </c>
    </row>
    <row r="827" spans="1:12">
      <c r="A827">
        <v>1053</v>
      </c>
      <c r="B827" t="s">
        <v>21</v>
      </c>
      <c r="C827" s="3">
        <v>38646</v>
      </c>
      <c r="D827" s="3">
        <v>38776</v>
      </c>
      <c r="E827" t="s">
        <v>18</v>
      </c>
      <c r="F827">
        <v>1</v>
      </c>
      <c r="G827">
        <v>6450</v>
      </c>
      <c r="H827">
        <v>6450</v>
      </c>
      <c r="I827" s="4">
        <v>38686</v>
      </c>
      <c r="J827" s="5">
        <f t="shared" si="24"/>
        <v>-90</v>
      </c>
      <c r="K827" s="6" t="str">
        <f t="shared" si="25"/>
        <v>A~0</v>
      </c>
      <c r="L827" t="str">
        <f>IF(J827&lt;0,"A~0",VLOOKUP(J827,[1]作法V!$B$1:$C$9,2,TRUE))</f>
        <v>A~0</v>
      </c>
    </row>
    <row r="828" spans="1:12">
      <c r="A828">
        <v>1053</v>
      </c>
      <c r="B828" t="s">
        <v>21</v>
      </c>
      <c r="C828" s="3">
        <v>38646</v>
      </c>
      <c r="D828" s="3">
        <v>38776</v>
      </c>
      <c r="E828" t="s">
        <v>18</v>
      </c>
      <c r="F828">
        <v>1</v>
      </c>
      <c r="G828">
        <v>293933</v>
      </c>
      <c r="H828">
        <v>293933</v>
      </c>
      <c r="I828" s="4">
        <v>38686</v>
      </c>
      <c r="J828" s="5">
        <f t="shared" si="24"/>
        <v>-90</v>
      </c>
      <c r="K828" s="6" t="str">
        <f t="shared" si="25"/>
        <v>A~0</v>
      </c>
      <c r="L828" t="str">
        <f>IF(J828&lt;0,"A~0",VLOOKUP(J828,[1]作法V!$B$1:$C$9,2,TRUE))</f>
        <v>A~0</v>
      </c>
    </row>
    <row r="829" spans="1:12">
      <c r="A829">
        <v>1053</v>
      </c>
      <c r="B829" t="s">
        <v>21</v>
      </c>
      <c r="C829" s="3">
        <v>38646</v>
      </c>
      <c r="D829" s="3">
        <v>38776</v>
      </c>
      <c r="E829" t="s">
        <v>17</v>
      </c>
      <c r="F829">
        <v>33.4</v>
      </c>
      <c r="G829">
        <v>8281.73</v>
      </c>
      <c r="H829">
        <v>276610</v>
      </c>
      <c r="I829" s="4">
        <v>38686</v>
      </c>
      <c r="J829" s="5">
        <f t="shared" si="24"/>
        <v>-90</v>
      </c>
      <c r="K829" s="6" t="str">
        <f t="shared" si="25"/>
        <v>A~0</v>
      </c>
      <c r="L829" t="str">
        <f>IF(J829&lt;0,"A~0",VLOOKUP(J829,[1]作法V!$B$1:$C$9,2,TRUE))</f>
        <v>A~0</v>
      </c>
    </row>
    <row r="830" spans="1:12">
      <c r="A830">
        <v>1053</v>
      </c>
      <c r="B830" t="s">
        <v>21</v>
      </c>
      <c r="C830" s="3">
        <v>38646</v>
      </c>
      <c r="D830" s="3">
        <v>38776</v>
      </c>
      <c r="E830" t="s">
        <v>17</v>
      </c>
      <c r="F830">
        <v>33.4</v>
      </c>
      <c r="G830">
        <v>2671.48</v>
      </c>
      <c r="H830">
        <v>89227</v>
      </c>
      <c r="I830" s="4">
        <v>38686</v>
      </c>
      <c r="J830" s="5">
        <f t="shared" si="24"/>
        <v>-90</v>
      </c>
      <c r="K830" s="6" t="str">
        <f t="shared" si="25"/>
        <v>A~0</v>
      </c>
      <c r="L830" t="str">
        <f>IF(J830&lt;0,"A~0",VLOOKUP(J830,[1]作法V!$B$1:$C$9,2,TRUE))</f>
        <v>A~0</v>
      </c>
    </row>
    <row r="831" spans="1:12">
      <c r="A831">
        <v>1053</v>
      </c>
      <c r="B831" t="s">
        <v>21</v>
      </c>
      <c r="C831" s="3">
        <v>38646</v>
      </c>
      <c r="D831" s="3">
        <v>38776</v>
      </c>
      <c r="E831" t="s">
        <v>17</v>
      </c>
      <c r="F831">
        <v>33.4</v>
      </c>
      <c r="G831">
        <v>1506.93</v>
      </c>
      <c r="H831">
        <v>50331</v>
      </c>
      <c r="I831" s="4">
        <v>38686</v>
      </c>
      <c r="J831" s="5">
        <f t="shared" si="24"/>
        <v>-90</v>
      </c>
      <c r="K831" s="6" t="str">
        <f t="shared" si="25"/>
        <v>A~0</v>
      </c>
      <c r="L831" t="str">
        <f>IF(J831&lt;0,"A~0",VLOOKUP(J831,[1]作法V!$B$1:$C$9,2,TRUE))</f>
        <v>A~0</v>
      </c>
    </row>
    <row r="832" spans="1:12">
      <c r="A832">
        <v>1053</v>
      </c>
      <c r="B832" t="s">
        <v>21</v>
      </c>
      <c r="C832" s="3">
        <v>38646</v>
      </c>
      <c r="D832" s="3">
        <v>38776</v>
      </c>
      <c r="E832" t="s">
        <v>17</v>
      </c>
      <c r="F832">
        <v>33.4</v>
      </c>
      <c r="G832">
        <v>13346.33</v>
      </c>
      <c r="H832">
        <v>445767</v>
      </c>
      <c r="I832" s="4">
        <v>38686</v>
      </c>
      <c r="J832" s="5">
        <f t="shared" si="24"/>
        <v>-90</v>
      </c>
      <c r="K832" s="6" t="str">
        <f t="shared" si="25"/>
        <v>A~0</v>
      </c>
      <c r="L832" t="str">
        <f>IF(J832&lt;0,"A~0",VLOOKUP(J832,[1]作法V!$B$1:$C$9,2,TRUE))</f>
        <v>A~0</v>
      </c>
    </row>
    <row r="833" spans="1:12">
      <c r="A833">
        <v>1053</v>
      </c>
      <c r="B833" t="s">
        <v>21</v>
      </c>
      <c r="C833" s="3">
        <v>38646</v>
      </c>
      <c r="D833" s="3">
        <v>38776</v>
      </c>
      <c r="E833" t="s">
        <v>17</v>
      </c>
      <c r="F833">
        <v>33.4</v>
      </c>
      <c r="G833">
        <v>2384.02</v>
      </c>
      <c r="H833">
        <v>79626</v>
      </c>
      <c r="I833" s="4">
        <v>38686</v>
      </c>
      <c r="J833" s="5">
        <f t="shared" si="24"/>
        <v>-90</v>
      </c>
      <c r="K833" s="6" t="str">
        <f t="shared" si="25"/>
        <v>A~0</v>
      </c>
      <c r="L833" t="str">
        <f>IF(J833&lt;0,"A~0",VLOOKUP(J833,[1]作法V!$B$1:$C$9,2,TRUE))</f>
        <v>A~0</v>
      </c>
    </row>
    <row r="834" spans="1:12">
      <c r="A834">
        <v>1053</v>
      </c>
      <c r="B834" t="s">
        <v>21</v>
      </c>
      <c r="C834" s="3">
        <v>38649</v>
      </c>
      <c r="D834" s="3">
        <v>38776</v>
      </c>
      <c r="E834" t="s">
        <v>18</v>
      </c>
      <c r="F834">
        <v>1</v>
      </c>
      <c r="G834">
        <v>94900</v>
      </c>
      <c r="H834">
        <v>94900</v>
      </c>
      <c r="I834" s="4">
        <v>38686</v>
      </c>
      <c r="J834" s="5">
        <f t="shared" ref="J834:J897" si="26">I834-D834</f>
        <v>-90</v>
      </c>
      <c r="K834" s="6" t="str">
        <f t="shared" ref="K834:K897" si="27">IF(J834&lt;1,"A~0",IF(J834&lt;31,"B1~30",IF(J834&lt;61,"C31~60",IF(J834&lt;91,"D61~90",IF(J834&lt;121,"E91~120",IF(J834&lt;181,"F121~180",IF(J834&lt;361,"G181~360","H361~")))))))</f>
        <v>A~0</v>
      </c>
      <c r="L834" t="str">
        <f>IF(J834&lt;0,"A~0",VLOOKUP(J834,[1]作法V!$B$1:$C$9,2,TRUE))</f>
        <v>A~0</v>
      </c>
    </row>
    <row r="835" spans="1:12">
      <c r="A835">
        <v>1053</v>
      </c>
      <c r="B835" t="s">
        <v>21</v>
      </c>
      <c r="C835" s="3">
        <v>38649</v>
      </c>
      <c r="D835" s="3">
        <v>38776</v>
      </c>
      <c r="E835" t="s">
        <v>18</v>
      </c>
      <c r="F835">
        <v>1</v>
      </c>
      <c r="G835">
        <v>59900</v>
      </c>
      <c r="H835">
        <v>59900</v>
      </c>
      <c r="I835" s="4">
        <v>38686</v>
      </c>
      <c r="J835" s="5">
        <f t="shared" si="26"/>
        <v>-90</v>
      </c>
      <c r="K835" s="6" t="str">
        <f t="shared" si="27"/>
        <v>A~0</v>
      </c>
      <c r="L835" t="str">
        <f>IF(J835&lt;0,"A~0",VLOOKUP(J835,[1]作法V!$B$1:$C$9,2,TRUE))</f>
        <v>A~0</v>
      </c>
    </row>
    <row r="836" spans="1:12">
      <c r="A836">
        <v>1053</v>
      </c>
      <c r="B836" t="s">
        <v>21</v>
      </c>
      <c r="C836" s="3">
        <v>38649</v>
      </c>
      <c r="D836" s="3">
        <v>38776</v>
      </c>
      <c r="E836" t="s">
        <v>18</v>
      </c>
      <c r="F836">
        <v>1</v>
      </c>
      <c r="G836">
        <v>413168</v>
      </c>
      <c r="H836">
        <v>413168</v>
      </c>
      <c r="I836" s="4">
        <v>38686</v>
      </c>
      <c r="J836" s="5">
        <f t="shared" si="26"/>
        <v>-90</v>
      </c>
      <c r="K836" s="6" t="str">
        <f t="shared" si="27"/>
        <v>A~0</v>
      </c>
      <c r="L836" t="str">
        <f>IF(J836&lt;0,"A~0",VLOOKUP(J836,[1]作法V!$B$1:$C$9,2,TRUE))</f>
        <v>A~0</v>
      </c>
    </row>
    <row r="837" spans="1:12">
      <c r="A837">
        <v>1053</v>
      </c>
      <c r="B837" t="s">
        <v>21</v>
      </c>
      <c r="C837" s="3">
        <v>38649</v>
      </c>
      <c r="D837" s="3">
        <v>38776</v>
      </c>
      <c r="E837" t="s">
        <v>18</v>
      </c>
      <c r="F837">
        <v>1</v>
      </c>
      <c r="G837">
        <v>273542</v>
      </c>
      <c r="H837">
        <v>273542</v>
      </c>
      <c r="I837" s="4">
        <v>38686</v>
      </c>
      <c r="J837" s="5">
        <f t="shared" si="26"/>
        <v>-90</v>
      </c>
      <c r="K837" s="6" t="str">
        <f t="shared" si="27"/>
        <v>A~0</v>
      </c>
      <c r="L837" t="str">
        <f>IF(J837&lt;0,"A~0",VLOOKUP(J837,[1]作法V!$B$1:$C$9,2,TRUE))</f>
        <v>A~0</v>
      </c>
    </row>
    <row r="838" spans="1:12">
      <c r="A838">
        <v>1053</v>
      </c>
      <c r="B838" t="s">
        <v>21</v>
      </c>
      <c r="C838" s="3">
        <v>38649</v>
      </c>
      <c r="D838" s="3">
        <v>38776</v>
      </c>
      <c r="E838" t="s">
        <v>18</v>
      </c>
      <c r="F838">
        <v>1</v>
      </c>
      <c r="G838">
        <v>434074</v>
      </c>
      <c r="H838">
        <v>434074</v>
      </c>
      <c r="I838" s="4">
        <v>38686</v>
      </c>
      <c r="J838" s="5">
        <f t="shared" si="26"/>
        <v>-90</v>
      </c>
      <c r="K838" s="6" t="str">
        <f t="shared" si="27"/>
        <v>A~0</v>
      </c>
      <c r="L838" t="str">
        <f>IF(J838&lt;0,"A~0",VLOOKUP(J838,[1]作法V!$B$1:$C$9,2,TRUE))</f>
        <v>A~0</v>
      </c>
    </row>
    <row r="839" spans="1:12">
      <c r="A839">
        <v>1053</v>
      </c>
      <c r="B839" t="s">
        <v>21</v>
      </c>
      <c r="C839" s="3">
        <v>38649</v>
      </c>
      <c r="D839" s="3">
        <v>38776</v>
      </c>
      <c r="E839" t="s">
        <v>18</v>
      </c>
      <c r="F839">
        <v>1</v>
      </c>
      <c r="G839">
        <v>91640</v>
      </c>
      <c r="H839">
        <v>91640</v>
      </c>
      <c r="I839" s="4">
        <v>38686</v>
      </c>
      <c r="J839" s="5">
        <f t="shared" si="26"/>
        <v>-90</v>
      </c>
      <c r="K839" s="6" t="str">
        <f t="shared" si="27"/>
        <v>A~0</v>
      </c>
      <c r="L839" t="str">
        <f>IF(J839&lt;0,"A~0",VLOOKUP(J839,[1]作法V!$B$1:$C$9,2,TRUE))</f>
        <v>A~0</v>
      </c>
    </row>
    <row r="840" spans="1:12">
      <c r="A840">
        <v>1053</v>
      </c>
      <c r="B840" t="s">
        <v>21</v>
      </c>
      <c r="C840" s="3">
        <v>38649</v>
      </c>
      <c r="D840" s="3">
        <v>38776</v>
      </c>
      <c r="E840" t="s">
        <v>18</v>
      </c>
      <c r="F840">
        <v>1</v>
      </c>
      <c r="G840">
        <v>169285</v>
      </c>
      <c r="H840">
        <v>169285</v>
      </c>
      <c r="I840" s="4">
        <v>38686</v>
      </c>
      <c r="J840" s="5">
        <f t="shared" si="26"/>
        <v>-90</v>
      </c>
      <c r="K840" s="6" t="str">
        <f t="shared" si="27"/>
        <v>A~0</v>
      </c>
      <c r="L840" t="str">
        <f>IF(J840&lt;0,"A~0",VLOOKUP(J840,[1]作法V!$B$1:$C$9,2,TRUE))</f>
        <v>A~0</v>
      </c>
    </row>
    <row r="841" spans="1:12">
      <c r="A841">
        <v>1053</v>
      </c>
      <c r="B841" t="s">
        <v>21</v>
      </c>
      <c r="C841" s="3">
        <v>38649</v>
      </c>
      <c r="D841" s="3">
        <v>38776</v>
      </c>
      <c r="E841" t="s">
        <v>18</v>
      </c>
      <c r="F841">
        <v>1</v>
      </c>
      <c r="G841">
        <v>186200</v>
      </c>
      <c r="H841">
        <v>186200</v>
      </c>
      <c r="I841" s="4">
        <v>38686</v>
      </c>
      <c r="J841" s="5">
        <f t="shared" si="26"/>
        <v>-90</v>
      </c>
      <c r="K841" s="6" t="str">
        <f t="shared" si="27"/>
        <v>A~0</v>
      </c>
      <c r="L841" t="str">
        <f>IF(J841&lt;0,"A~0",VLOOKUP(J841,[1]作法V!$B$1:$C$9,2,TRUE))</f>
        <v>A~0</v>
      </c>
    </row>
    <row r="842" spans="1:12">
      <c r="A842">
        <v>1053</v>
      </c>
      <c r="B842" t="s">
        <v>21</v>
      </c>
      <c r="C842" s="3">
        <v>38649</v>
      </c>
      <c r="D842" s="3">
        <v>38776</v>
      </c>
      <c r="E842" t="s">
        <v>18</v>
      </c>
      <c r="F842">
        <v>1</v>
      </c>
      <c r="G842">
        <v>39171</v>
      </c>
      <c r="H842">
        <v>39171</v>
      </c>
      <c r="I842" s="4">
        <v>38686</v>
      </c>
      <c r="J842" s="5">
        <f t="shared" si="26"/>
        <v>-90</v>
      </c>
      <c r="K842" s="6" t="str">
        <f t="shared" si="27"/>
        <v>A~0</v>
      </c>
      <c r="L842" t="str">
        <f>IF(J842&lt;0,"A~0",VLOOKUP(J842,[1]作法V!$B$1:$C$9,2,TRUE))</f>
        <v>A~0</v>
      </c>
    </row>
    <row r="843" spans="1:12">
      <c r="A843">
        <v>1053</v>
      </c>
      <c r="B843" t="s">
        <v>21</v>
      </c>
      <c r="C843" s="3">
        <v>38649</v>
      </c>
      <c r="D843" s="3">
        <v>38776</v>
      </c>
      <c r="E843" t="s">
        <v>17</v>
      </c>
      <c r="F843">
        <v>33.4</v>
      </c>
      <c r="G843">
        <v>20059.2</v>
      </c>
      <c r="H843">
        <v>669977</v>
      </c>
      <c r="I843" s="4">
        <v>38686</v>
      </c>
      <c r="J843" s="5">
        <f t="shared" si="26"/>
        <v>-90</v>
      </c>
      <c r="K843" s="6" t="str">
        <f t="shared" si="27"/>
        <v>A~0</v>
      </c>
      <c r="L843" t="str">
        <f>IF(J843&lt;0,"A~0",VLOOKUP(J843,[1]作法V!$B$1:$C$9,2,TRUE))</f>
        <v>A~0</v>
      </c>
    </row>
    <row r="844" spans="1:12">
      <c r="A844">
        <v>1053</v>
      </c>
      <c r="B844" t="s">
        <v>21</v>
      </c>
      <c r="C844" s="3">
        <v>38650</v>
      </c>
      <c r="D844" s="3">
        <v>38804</v>
      </c>
      <c r="E844" t="s">
        <v>18</v>
      </c>
      <c r="F844">
        <v>1</v>
      </c>
      <c r="G844">
        <v>54432</v>
      </c>
      <c r="H844">
        <v>54432</v>
      </c>
      <c r="I844" s="4">
        <v>38686</v>
      </c>
      <c r="J844" s="5">
        <f t="shared" si="26"/>
        <v>-118</v>
      </c>
      <c r="K844" s="6" t="str">
        <f t="shared" si="27"/>
        <v>A~0</v>
      </c>
      <c r="L844" t="str">
        <f>IF(J844&lt;0,"A~0",VLOOKUP(J844,[1]作法V!$B$1:$C$9,2,TRUE))</f>
        <v>A~0</v>
      </c>
    </row>
    <row r="845" spans="1:12">
      <c r="A845">
        <v>1053</v>
      </c>
      <c r="B845" t="s">
        <v>21</v>
      </c>
      <c r="C845" s="3">
        <v>38650</v>
      </c>
      <c r="D845" s="3">
        <v>38804</v>
      </c>
      <c r="E845" t="s">
        <v>18</v>
      </c>
      <c r="F845">
        <v>1</v>
      </c>
      <c r="G845">
        <v>5443</v>
      </c>
      <c r="H845">
        <v>5443</v>
      </c>
      <c r="I845" s="4">
        <v>38686</v>
      </c>
      <c r="J845" s="5">
        <f t="shared" si="26"/>
        <v>-118</v>
      </c>
      <c r="K845" s="6" t="str">
        <f t="shared" si="27"/>
        <v>A~0</v>
      </c>
      <c r="L845" t="str">
        <f>IF(J845&lt;0,"A~0",VLOOKUP(J845,[1]作法V!$B$1:$C$9,2,TRUE))</f>
        <v>A~0</v>
      </c>
    </row>
    <row r="846" spans="1:12">
      <c r="A846">
        <v>1053</v>
      </c>
      <c r="B846" t="s">
        <v>21</v>
      </c>
      <c r="C846" s="3">
        <v>38650</v>
      </c>
      <c r="D846" s="3">
        <v>38804</v>
      </c>
      <c r="E846" t="s">
        <v>18</v>
      </c>
      <c r="F846">
        <v>1</v>
      </c>
      <c r="G846">
        <v>342922</v>
      </c>
      <c r="H846">
        <v>342922</v>
      </c>
      <c r="I846" s="4">
        <v>38686</v>
      </c>
      <c r="J846" s="5">
        <f t="shared" si="26"/>
        <v>-118</v>
      </c>
      <c r="K846" s="6" t="str">
        <f t="shared" si="27"/>
        <v>A~0</v>
      </c>
      <c r="L846" t="str">
        <f>IF(J846&lt;0,"A~0",VLOOKUP(J846,[1]作法V!$B$1:$C$9,2,TRUE))</f>
        <v>A~0</v>
      </c>
    </row>
    <row r="847" spans="1:12">
      <c r="A847">
        <v>1053</v>
      </c>
      <c r="B847" t="s">
        <v>21</v>
      </c>
      <c r="C847" s="3">
        <v>38651</v>
      </c>
      <c r="D847" s="3">
        <v>38804</v>
      </c>
      <c r="E847" t="s">
        <v>18</v>
      </c>
      <c r="F847">
        <v>1</v>
      </c>
      <c r="G847">
        <v>348365</v>
      </c>
      <c r="H847">
        <v>348365</v>
      </c>
      <c r="I847" s="4">
        <v>38686</v>
      </c>
      <c r="J847" s="5">
        <f t="shared" si="26"/>
        <v>-118</v>
      </c>
      <c r="K847" s="6" t="str">
        <f t="shared" si="27"/>
        <v>A~0</v>
      </c>
      <c r="L847" t="str">
        <f>IF(J847&lt;0,"A~0",VLOOKUP(J847,[1]作法V!$B$1:$C$9,2,TRUE))</f>
        <v>A~0</v>
      </c>
    </row>
    <row r="848" spans="1:12">
      <c r="A848">
        <v>1053</v>
      </c>
      <c r="B848" t="s">
        <v>21</v>
      </c>
      <c r="C848" s="3">
        <v>38651</v>
      </c>
      <c r="D848" s="3">
        <v>38804</v>
      </c>
      <c r="E848" t="s">
        <v>17</v>
      </c>
      <c r="F848">
        <v>33.4</v>
      </c>
      <c r="G848">
        <v>7121.02</v>
      </c>
      <c r="H848">
        <v>237842</v>
      </c>
      <c r="I848" s="4">
        <v>38686</v>
      </c>
      <c r="J848" s="5">
        <f t="shared" si="26"/>
        <v>-118</v>
      </c>
      <c r="K848" s="6" t="str">
        <f t="shared" si="27"/>
        <v>A~0</v>
      </c>
      <c r="L848" t="str">
        <f>IF(J848&lt;0,"A~0",VLOOKUP(J848,[1]作法V!$B$1:$C$9,2,TRUE))</f>
        <v>A~0</v>
      </c>
    </row>
    <row r="849" spans="1:12">
      <c r="A849">
        <v>1053</v>
      </c>
      <c r="B849" t="s">
        <v>21</v>
      </c>
      <c r="C849" s="3">
        <v>38651</v>
      </c>
      <c r="D849" s="3">
        <v>38804</v>
      </c>
      <c r="E849" t="s">
        <v>17</v>
      </c>
      <c r="F849">
        <v>33.4</v>
      </c>
      <c r="G849">
        <v>14815.03</v>
      </c>
      <c r="H849">
        <v>494822</v>
      </c>
      <c r="I849" s="4">
        <v>38686</v>
      </c>
      <c r="J849" s="5">
        <f t="shared" si="26"/>
        <v>-118</v>
      </c>
      <c r="K849" s="6" t="str">
        <f t="shared" si="27"/>
        <v>A~0</v>
      </c>
      <c r="L849" t="str">
        <f>IF(J849&lt;0,"A~0",VLOOKUP(J849,[1]作法V!$B$1:$C$9,2,TRUE))</f>
        <v>A~0</v>
      </c>
    </row>
    <row r="850" spans="1:12">
      <c r="A850">
        <v>1053</v>
      </c>
      <c r="B850" t="s">
        <v>21</v>
      </c>
      <c r="C850" s="3">
        <v>38651</v>
      </c>
      <c r="D850" s="3">
        <v>38804</v>
      </c>
      <c r="E850" t="s">
        <v>17</v>
      </c>
      <c r="F850">
        <v>33.4</v>
      </c>
      <c r="G850">
        <v>6367.08</v>
      </c>
      <c r="H850">
        <v>212660</v>
      </c>
      <c r="I850" s="4">
        <v>38686</v>
      </c>
      <c r="J850" s="5">
        <f t="shared" si="26"/>
        <v>-118</v>
      </c>
      <c r="K850" s="6" t="str">
        <f t="shared" si="27"/>
        <v>A~0</v>
      </c>
      <c r="L850" t="str">
        <f>IF(J850&lt;0,"A~0",VLOOKUP(J850,[1]作法V!$B$1:$C$9,2,TRUE))</f>
        <v>A~0</v>
      </c>
    </row>
    <row r="851" spans="1:12">
      <c r="A851">
        <v>1053</v>
      </c>
      <c r="B851" t="s">
        <v>21</v>
      </c>
      <c r="C851" s="3">
        <v>38652</v>
      </c>
      <c r="D851" s="3">
        <v>38804</v>
      </c>
      <c r="E851" t="s">
        <v>17</v>
      </c>
      <c r="F851">
        <v>33.4</v>
      </c>
      <c r="G851">
        <v>19899.8</v>
      </c>
      <c r="H851">
        <v>664653</v>
      </c>
      <c r="I851" s="4">
        <v>38686</v>
      </c>
      <c r="J851" s="5">
        <f t="shared" si="26"/>
        <v>-118</v>
      </c>
      <c r="K851" s="6" t="str">
        <f t="shared" si="27"/>
        <v>A~0</v>
      </c>
      <c r="L851" t="str">
        <f>IF(J851&lt;0,"A~0",VLOOKUP(J851,[1]作法V!$B$1:$C$9,2,TRUE))</f>
        <v>A~0</v>
      </c>
    </row>
    <row r="852" spans="1:12">
      <c r="A852">
        <v>1053</v>
      </c>
      <c r="B852" t="s">
        <v>21</v>
      </c>
      <c r="C852" s="3">
        <v>38652</v>
      </c>
      <c r="D852" s="3">
        <v>38804</v>
      </c>
      <c r="E852" t="s">
        <v>17</v>
      </c>
      <c r="F852">
        <v>33.4</v>
      </c>
      <c r="G852">
        <v>359.99</v>
      </c>
      <c r="H852">
        <v>12024</v>
      </c>
      <c r="I852" s="4">
        <v>38686</v>
      </c>
      <c r="J852" s="5">
        <f t="shared" si="26"/>
        <v>-118</v>
      </c>
      <c r="K852" s="6" t="str">
        <f t="shared" si="27"/>
        <v>A~0</v>
      </c>
      <c r="L852" t="str">
        <f>IF(J852&lt;0,"A~0",VLOOKUP(J852,[1]作法V!$B$1:$C$9,2,TRUE))</f>
        <v>A~0</v>
      </c>
    </row>
    <row r="853" spans="1:12">
      <c r="A853">
        <v>1053</v>
      </c>
      <c r="B853" t="s">
        <v>21</v>
      </c>
      <c r="C853" s="3">
        <v>38652</v>
      </c>
      <c r="D853" s="3">
        <v>38804</v>
      </c>
      <c r="E853" t="s">
        <v>18</v>
      </c>
      <c r="F853">
        <v>1</v>
      </c>
      <c r="G853">
        <v>348365</v>
      </c>
      <c r="H853">
        <v>348365</v>
      </c>
      <c r="I853" s="4">
        <v>38686</v>
      </c>
      <c r="J853" s="5">
        <f t="shared" si="26"/>
        <v>-118</v>
      </c>
      <c r="K853" s="6" t="str">
        <f t="shared" si="27"/>
        <v>A~0</v>
      </c>
      <c r="L853" t="str">
        <f>IF(J853&lt;0,"A~0",VLOOKUP(J853,[1]作法V!$B$1:$C$9,2,TRUE))</f>
        <v>A~0</v>
      </c>
    </row>
    <row r="854" spans="1:12">
      <c r="A854">
        <v>1053</v>
      </c>
      <c r="B854" t="s">
        <v>21</v>
      </c>
      <c r="C854" s="3">
        <v>38653</v>
      </c>
      <c r="D854" s="3">
        <v>38804</v>
      </c>
      <c r="E854" t="s">
        <v>18</v>
      </c>
      <c r="F854">
        <v>1</v>
      </c>
      <c r="G854">
        <v>348365</v>
      </c>
      <c r="H854">
        <v>348365</v>
      </c>
      <c r="I854" s="4">
        <v>38686</v>
      </c>
      <c r="J854" s="5">
        <f t="shared" si="26"/>
        <v>-118</v>
      </c>
      <c r="K854" s="6" t="str">
        <f t="shared" si="27"/>
        <v>A~0</v>
      </c>
      <c r="L854" t="str">
        <f>IF(J854&lt;0,"A~0",VLOOKUP(J854,[1]作法V!$B$1:$C$9,2,TRUE))</f>
        <v>A~0</v>
      </c>
    </row>
    <row r="855" spans="1:12">
      <c r="A855">
        <v>1053</v>
      </c>
      <c r="B855" t="s">
        <v>21</v>
      </c>
      <c r="C855" s="3">
        <v>38656</v>
      </c>
      <c r="D855" s="3">
        <v>38804</v>
      </c>
      <c r="E855" t="s">
        <v>17</v>
      </c>
      <c r="F855">
        <v>33.4</v>
      </c>
      <c r="G855">
        <v>20704.32</v>
      </c>
      <c r="H855">
        <v>691524</v>
      </c>
      <c r="I855" s="4">
        <v>38686</v>
      </c>
      <c r="J855" s="5">
        <f t="shared" si="26"/>
        <v>-118</v>
      </c>
      <c r="K855" s="6" t="str">
        <f t="shared" si="27"/>
        <v>A~0</v>
      </c>
      <c r="L855" t="str">
        <f>IF(J855&lt;0,"A~0",VLOOKUP(J855,[1]作法V!$B$1:$C$9,2,TRUE))</f>
        <v>A~0</v>
      </c>
    </row>
    <row r="856" spans="1:12">
      <c r="A856">
        <v>1053</v>
      </c>
      <c r="B856" t="s">
        <v>21</v>
      </c>
      <c r="C856" s="3">
        <v>38656</v>
      </c>
      <c r="D856" s="3">
        <v>38804</v>
      </c>
      <c r="E856" t="s">
        <v>18</v>
      </c>
      <c r="F856">
        <v>1</v>
      </c>
      <c r="G856">
        <v>177206</v>
      </c>
      <c r="H856">
        <v>177206</v>
      </c>
      <c r="I856" s="4">
        <v>38686</v>
      </c>
      <c r="J856" s="5">
        <f t="shared" si="26"/>
        <v>-118</v>
      </c>
      <c r="K856" s="6" t="str">
        <f t="shared" si="27"/>
        <v>A~0</v>
      </c>
      <c r="L856" t="str">
        <f>IF(J856&lt;0,"A~0",VLOOKUP(J856,[1]作法V!$B$1:$C$9,2,TRUE))</f>
        <v>A~0</v>
      </c>
    </row>
    <row r="857" spans="1:12">
      <c r="A857">
        <v>1053</v>
      </c>
      <c r="B857" t="s">
        <v>21</v>
      </c>
      <c r="C857" s="3">
        <v>38656</v>
      </c>
      <c r="D857" s="3">
        <v>38804</v>
      </c>
      <c r="E857" t="s">
        <v>18</v>
      </c>
      <c r="F857">
        <v>1</v>
      </c>
      <c r="G857">
        <v>323568</v>
      </c>
      <c r="H857">
        <v>323568</v>
      </c>
      <c r="I857" s="4">
        <v>38686</v>
      </c>
      <c r="J857" s="5">
        <f t="shared" si="26"/>
        <v>-118</v>
      </c>
      <c r="K857" s="6" t="str">
        <f t="shared" si="27"/>
        <v>A~0</v>
      </c>
      <c r="L857" t="str">
        <f>IF(J857&lt;0,"A~0",VLOOKUP(J857,[1]作法V!$B$1:$C$9,2,TRUE))</f>
        <v>A~0</v>
      </c>
    </row>
    <row r="858" spans="1:12">
      <c r="A858">
        <v>1053</v>
      </c>
      <c r="B858" t="s">
        <v>21</v>
      </c>
      <c r="C858" s="3">
        <v>38656</v>
      </c>
      <c r="D858" s="3">
        <v>38804</v>
      </c>
      <c r="E858" t="s">
        <v>18</v>
      </c>
      <c r="F858">
        <v>1</v>
      </c>
      <c r="G858">
        <v>191635</v>
      </c>
      <c r="H858">
        <v>191635</v>
      </c>
      <c r="I858" s="4">
        <v>38686</v>
      </c>
      <c r="J858" s="5">
        <f t="shared" si="26"/>
        <v>-118</v>
      </c>
      <c r="K858" s="6" t="str">
        <f t="shared" si="27"/>
        <v>A~0</v>
      </c>
      <c r="L858" t="str">
        <f>IF(J858&lt;0,"A~0",VLOOKUP(J858,[1]作法V!$B$1:$C$9,2,TRUE))</f>
        <v>A~0</v>
      </c>
    </row>
    <row r="859" spans="1:12">
      <c r="A859">
        <v>1053</v>
      </c>
      <c r="B859" t="s">
        <v>21</v>
      </c>
      <c r="C859" s="3">
        <v>38657</v>
      </c>
      <c r="D859" s="3">
        <v>38804</v>
      </c>
      <c r="E859" t="s">
        <v>18</v>
      </c>
      <c r="F859">
        <v>1</v>
      </c>
      <c r="G859">
        <v>325775</v>
      </c>
      <c r="H859">
        <v>325775</v>
      </c>
      <c r="I859" s="4">
        <v>38686</v>
      </c>
      <c r="J859" s="5">
        <f t="shared" si="26"/>
        <v>-118</v>
      </c>
      <c r="K859" s="6" t="str">
        <f t="shared" si="27"/>
        <v>A~0</v>
      </c>
      <c r="L859" t="str">
        <f>IF(J859&lt;0,"A~0",VLOOKUP(J859,[1]作法V!$B$1:$C$9,2,TRUE))</f>
        <v>A~0</v>
      </c>
    </row>
    <row r="860" spans="1:12">
      <c r="A860">
        <v>1053</v>
      </c>
      <c r="B860" t="s">
        <v>21</v>
      </c>
      <c r="C860" s="3">
        <v>38657</v>
      </c>
      <c r="D860" s="3">
        <v>38804</v>
      </c>
      <c r="E860" t="s">
        <v>18</v>
      </c>
      <c r="F860">
        <v>1</v>
      </c>
      <c r="G860">
        <v>41187</v>
      </c>
      <c r="H860">
        <v>41187</v>
      </c>
      <c r="I860" s="4">
        <v>38686</v>
      </c>
      <c r="J860" s="5">
        <f t="shared" si="26"/>
        <v>-118</v>
      </c>
      <c r="K860" s="6" t="str">
        <f t="shared" si="27"/>
        <v>A~0</v>
      </c>
      <c r="L860" t="str">
        <f>IF(J860&lt;0,"A~0",VLOOKUP(J860,[1]作法V!$B$1:$C$9,2,TRUE))</f>
        <v>A~0</v>
      </c>
    </row>
    <row r="861" spans="1:12">
      <c r="A861">
        <v>1053</v>
      </c>
      <c r="B861" t="s">
        <v>21</v>
      </c>
      <c r="C861" s="3">
        <v>38658</v>
      </c>
      <c r="D861" s="3">
        <v>38804</v>
      </c>
      <c r="E861" t="s">
        <v>17</v>
      </c>
      <c r="F861">
        <v>33.715000000000003</v>
      </c>
      <c r="G861">
        <v>3980.65</v>
      </c>
      <c r="H861">
        <v>134208</v>
      </c>
      <c r="I861" s="4">
        <v>38686</v>
      </c>
      <c r="J861" s="5">
        <f t="shared" si="26"/>
        <v>-118</v>
      </c>
      <c r="K861" s="6" t="str">
        <f t="shared" si="27"/>
        <v>A~0</v>
      </c>
      <c r="L861" t="str">
        <f>IF(J861&lt;0,"A~0",VLOOKUP(J861,[1]作法V!$B$1:$C$9,2,TRUE))</f>
        <v>A~0</v>
      </c>
    </row>
    <row r="862" spans="1:12">
      <c r="A862">
        <v>1053</v>
      </c>
      <c r="B862" t="s">
        <v>21</v>
      </c>
      <c r="C862" s="3">
        <v>38658</v>
      </c>
      <c r="D862" s="3">
        <v>38804</v>
      </c>
      <c r="E862" t="s">
        <v>17</v>
      </c>
      <c r="F862">
        <v>33.715000000000003</v>
      </c>
      <c r="G862">
        <v>6371.51</v>
      </c>
      <c r="H862">
        <v>214815</v>
      </c>
      <c r="I862" s="4">
        <v>38686</v>
      </c>
      <c r="J862" s="5">
        <f t="shared" si="26"/>
        <v>-118</v>
      </c>
      <c r="K862" s="6" t="str">
        <f t="shared" si="27"/>
        <v>A~0</v>
      </c>
      <c r="L862" t="str">
        <f>IF(J862&lt;0,"A~0",VLOOKUP(J862,[1]作法V!$B$1:$C$9,2,TRUE))</f>
        <v>A~0</v>
      </c>
    </row>
    <row r="863" spans="1:12">
      <c r="A863">
        <v>1053</v>
      </c>
      <c r="B863" t="s">
        <v>21</v>
      </c>
      <c r="C863" s="3">
        <v>38658</v>
      </c>
      <c r="D863" s="3">
        <v>38804</v>
      </c>
      <c r="E863" t="s">
        <v>18</v>
      </c>
      <c r="F863">
        <v>1</v>
      </c>
      <c r="G863">
        <v>285768</v>
      </c>
      <c r="H863">
        <v>285768</v>
      </c>
      <c r="I863" s="4">
        <v>38686</v>
      </c>
      <c r="J863" s="5">
        <f t="shared" si="26"/>
        <v>-118</v>
      </c>
      <c r="K863" s="6" t="str">
        <f t="shared" si="27"/>
        <v>A~0</v>
      </c>
      <c r="L863" t="str">
        <f>IF(J863&lt;0,"A~0",VLOOKUP(J863,[1]作法V!$B$1:$C$9,2,TRUE))</f>
        <v>A~0</v>
      </c>
    </row>
    <row r="864" spans="1:12">
      <c r="A864">
        <v>1053</v>
      </c>
      <c r="B864" t="s">
        <v>21</v>
      </c>
      <c r="C864" s="3">
        <v>38659</v>
      </c>
      <c r="D864" s="3">
        <v>38804</v>
      </c>
      <c r="E864" t="s">
        <v>17</v>
      </c>
      <c r="F864">
        <v>33.715000000000003</v>
      </c>
      <c r="G864">
        <v>0.2</v>
      </c>
      <c r="H864">
        <v>7</v>
      </c>
      <c r="I864" s="4">
        <v>38686</v>
      </c>
      <c r="J864" s="5">
        <f t="shared" si="26"/>
        <v>-118</v>
      </c>
      <c r="K864" s="6" t="str">
        <f t="shared" si="27"/>
        <v>A~0</v>
      </c>
      <c r="L864" t="str">
        <f>IF(J864&lt;0,"A~0",VLOOKUP(J864,[1]作法V!$B$1:$C$9,2,TRUE))</f>
        <v>A~0</v>
      </c>
    </row>
    <row r="865" spans="1:12">
      <c r="A865">
        <v>1053</v>
      </c>
      <c r="B865" t="s">
        <v>21</v>
      </c>
      <c r="C865" s="3">
        <v>38659</v>
      </c>
      <c r="D865" s="3">
        <v>38804</v>
      </c>
      <c r="E865" t="s">
        <v>17</v>
      </c>
      <c r="F865">
        <v>33.715000000000003</v>
      </c>
      <c r="G865">
        <v>9929.11</v>
      </c>
      <c r="H865">
        <v>334760</v>
      </c>
      <c r="I865" s="4">
        <v>38686</v>
      </c>
      <c r="J865" s="5">
        <f t="shared" si="26"/>
        <v>-118</v>
      </c>
      <c r="K865" s="6" t="str">
        <f t="shared" si="27"/>
        <v>A~0</v>
      </c>
      <c r="L865" t="str">
        <f>IF(J865&lt;0,"A~0",VLOOKUP(J865,[1]作法V!$B$1:$C$9,2,TRUE))</f>
        <v>A~0</v>
      </c>
    </row>
    <row r="866" spans="1:12">
      <c r="A866">
        <v>1053</v>
      </c>
      <c r="B866" t="s">
        <v>21</v>
      </c>
      <c r="C866" s="3">
        <v>38660</v>
      </c>
      <c r="D866" s="3">
        <v>38804</v>
      </c>
      <c r="E866" t="s">
        <v>17</v>
      </c>
      <c r="F866">
        <v>33.715000000000003</v>
      </c>
      <c r="G866">
        <v>9112.49</v>
      </c>
      <c r="H866">
        <v>307228</v>
      </c>
      <c r="I866" s="4">
        <v>38686</v>
      </c>
      <c r="J866" s="5">
        <f t="shared" si="26"/>
        <v>-118</v>
      </c>
      <c r="K866" s="6" t="str">
        <f t="shared" si="27"/>
        <v>A~0</v>
      </c>
      <c r="L866" t="str">
        <f>IF(J866&lt;0,"A~0",VLOOKUP(J866,[1]作法V!$B$1:$C$9,2,TRUE))</f>
        <v>A~0</v>
      </c>
    </row>
    <row r="867" spans="1:12">
      <c r="A867">
        <v>1053</v>
      </c>
      <c r="B867" t="s">
        <v>21</v>
      </c>
      <c r="C867" s="3">
        <v>38660</v>
      </c>
      <c r="D867" s="3">
        <v>38804</v>
      </c>
      <c r="E867" t="s">
        <v>17</v>
      </c>
      <c r="F867">
        <v>33.715000000000003</v>
      </c>
      <c r="G867">
        <v>177.92</v>
      </c>
      <c r="H867">
        <v>5999</v>
      </c>
      <c r="I867" s="4">
        <v>38686</v>
      </c>
      <c r="J867" s="5">
        <f t="shared" si="26"/>
        <v>-118</v>
      </c>
      <c r="K867" s="6" t="str">
        <f t="shared" si="27"/>
        <v>A~0</v>
      </c>
      <c r="L867" t="str">
        <f>IF(J867&lt;0,"A~0",VLOOKUP(J867,[1]作法V!$B$1:$C$9,2,TRUE))</f>
        <v>A~0</v>
      </c>
    </row>
    <row r="868" spans="1:12">
      <c r="A868">
        <v>1053</v>
      </c>
      <c r="B868" t="s">
        <v>21</v>
      </c>
      <c r="C868" s="3">
        <v>38660</v>
      </c>
      <c r="D868" s="3">
        <v>38804</v>
      </c>
      <c r="E868" t="s">
        <v>17</v>
      </c>
      <c r="F868">
        <v>33.715000000000003</v>
      </c>
      <c r="G868">
        <v>1239.67</v>
      </c>
      <c r="H868">
        <v>41795</v>
      </c>
      <c r="I868" s="4">
        <v>38686</v>
      </c>
      <c r="J868" s="5">
        <f t="shared" si="26"/>
        <v>-118</v>
      </c>
      <c r="K868" s="6" t="str">
        <f t="shared" si="27"/>
        <v>A~0</v>
      </c>
      <c r="L868" t="str">
        <f>IF(J868&lt;0,"A~0",VLOOKUP(J868,[1]作法V!$B$1:$C$9,2,TRUE))</f>
        <v>A~0</v>
      </c>
    </row>
    <row r="869" spans="1:12">
      <c r="A869">
        <v>1053</v>
      </c>
      <c r="B869" t="s">
        <v>21</v>
      </c>
      <c r="C869" s="3">
        <v>38660</v>
      </c>
      <c r="D869" s="3">
        <v>38804</v>
      </c>
      <c r="E869" t="s">
        <v>17</v>
      </c>
      <c r="F869">
        <v>33.715000000000003</v>
      </c>
      <c r="G869">
        <v>3852.08</v>
      </c>
      <c r="H869">
        <v>129873</v>
      </c>
      <c r="I869" s="4">
        <v>38686</v>
      </c>
      <c r="J869" s="5">
        <f t="shared" si="26"/>
        <v>-118</v>
      </c>
      <c r="K869" s="6" t="str">
        <f t="shared" si="27"/>
        <v>A~0</v>
      </c>
      <c r="L869" t="str">
        <f>IF(J869&lt;0,"A~0",VLOOKUP(J869,[1]作法V!$B$1:$C$9,2,TRUE))</f>
        <v>A~0</v>
      </c>
    </row>
    <row r="870" spans="1:12">
      <c r="A870">
        <v>1053</v>
      </c>
      <c r="B870" t="s">
        <v>21</v>
      </c>
      <c r="C870" s="3">
        <v>38660</v>
      </c>
      <c r="D870" s="3">
        <v>38804</v>
      </c>
      <c r="E870" t="s">
        <v>18</v>
      </c>
      <c r="F870">
        <v>1</v>
      </c>
      <c r="G870">
        <v>754427</v>
      </c>
      <c r="H870">
        <v>754427</v>
      </c>
      <c r="I870" s="4">
        <v>38686</v>
      </c>
      <c r="J870" s="5">
        <f t="shared" si="26"/>
        <v>-118</v>
      </c>
      <c r="K870" s="6" t="str">
        <f t="shared" si="27"/>
        <v>A~0</v>
      </c>
      <c r="L870" t="str">
        <f>IF(J870&lt;0,"A~0",VLOOKUP(J870,[1]作法V!$B$1:$C$9,2,TRUE))</f>
        <v>A~0</v>
      </c>
    </row>
    <row r="871" spans="1:12">
      <c r="A871">
        <v>1053</v>
      </c>
      <c r="B871" t="s">
        <v>21</v>
      </c>
      <c r="C871" s="3">
        <v>38663</v>
      </c>
      <c r="D871" s="3">
        <v>38804</v>
      </c>
      <c r="E871" t="s">
        <v>17</v>
      </c>
      <c r="F871">
        <v>33.715000000000003</v>
      </c>
      <c r="G871">
        <v>444.93</v>
      </c>
      <c r="H871">
        <v>15001</v>
      </c>
      <c r="I871" s="4">
        <v>38686</v>
      </c>
      <c r="J871" s="5">
        <f t="shared" si="26"/>
        <v>-118</v>
      </c>
      <c r="K871" s="6" t="str">
        <f t="shared" si="27"/>
        <v>A~0</v>
      </c>
      <c r="L871" t="str">
        <f>IF(J871&lt;0,"A~0",VLOOKUP(J871,[1]作法V!$B$1:$C$9,2,TRUE))</f>
        <v>A~0</v>
      </c>
    </row>
    <row r="872" spans="1:12">
      <c r="A872">
        <v>1053</v>
      </c>
      <c r="B872" t="s">
        <v>21</v>
      </c>
      <c r="C872" s="3">
        <v>38663</v>
      </c>
      <c r="D872" s="3">
        <v>38804</v>
      </c>
      <c r="E872" t="s">
        <v>17</v>
      </c>
      <c r="F872">
        <v>33.715000000000003</v>
      </c>
      <c r="G872">
        <v>93.12</v>
      </c>
      <c r="H872">
        <v>3140</v>
      </c>
      <c r="I872" s="4">
        <v>38686</v>
      </c>
      <c r="J872" s="5">
        <f t="shared" si="26"/>
        <v>-118</v>
      </c>
      <c r="K872" s="6" t="str">
        <f t="shared" si="27"/>
        <v>A~0</v>
      </c>
      <c r="L872" t="str">
        <f>IF(J872&lt;0,"A~0",VLOOKUP(J872,[1]作法V!$B$1:$C$9,2,TRUE))</f>
        <v>A~0</v>
      </c>
    </row>
    <row r="873" spans="1:12">
      <c r="A873">
        <v>1053</v>
      </c>
      <c r="B873" t="s">
        <v>21</v>
      </c>
      <c r="C873" s="3">
        <v>38663</v>
      </c>
      <c r="D873" s="3">
        <v>38804</v>
      </c>
      <c r="E873" t="s">
        <v>17</v>
      </c>
      <c r="F873">
        <v>33.715000000000003</v>
      </c>
      <c r="G873">
        <v>12296.19</v>
      </c>
      <c r="H873">
        <v>414566</v>
      </c>
      <c r="I873" s="4">
        <v>38686</v>
      </c>
      <c r="J873" s="5">
        <f t="shared" si="26"/>
        <v>-118</v>
      </c>
      <c r="K873" s="6" t="str">
        <f t="shared" si="27"/>
        <v>A~0</v>
      </c>
      <c r="L873" t="str">
        <f>IF(J873&lt;0,"A~0",VLOOKUP(J873,[1]作法V!$B$1:$C$9,2,TRUE))</f>
        <v>A~0</v>
      </c>
    </row>
    <row r="874" spans="1:12">
      <c r="A874">
        <v>1053</v>
      </c>
      <c r="B874" t="s">
        <v>21</v>
      </c>
      <c r="C874" s="3">
        <v>38663</v>
      </c>
      <c r="D874" s="3">
        <v>38804</v>
      </c>
      <c r="E874" t="s">
        <v>17</v>
      </c>
      <c r="F874">
        <v>33.715000000000003</v>
      </c>
      <c r="G874">
        <v>10223.68</v>
      </c>
      <c r="H874">
        <v>344691</v>
      </c>
      <c r="I874" s="4">
        <v>38686</v>
      </c>
      <c r="J874" s="5">
        <f t="shared" si="26"/>
        <v>-118</v>
      </c>
      <c r="K874" s="6" t="str">
        <f t="shared" si="27"/>
        <v>A~0</v>
      </c>
      <c r="L874" t="str">
        <f>IF(J874&lt;0,"A~0",VLOOKUP(J874,[1]作法V!$B$1:$C$9,2,TRUE))</f>
        <v>A~0</v>
      </c>
    </row>
    <row r="875" spans="1:12">
      <c r="A875">
        <v>1053</v>
      </c>
      <c r="B875" t="s">
        <v>21</v>
      </c>
      <c r="C875" s="3">
        <v>38663</v>
      </c>
      <c r="D875" s="3">
        <v>38804</v>
      </c>
      <c r="E875" t="s">
        <v>17</v>
      </c>
      <c r="F875">
        <v>33.715000000000003</v>
      </c>
      <c r="G875">
        <v>1600</v>
      </c>
      <c r="H875">
        <v>53944</v>
      </c>
      <c r="I875" s="4">
        <v>38686</v>
      </c>
      <c r="J875" s="5">
        <f t="shared" si="26"/>
        <v>-118</v>
      </c>
      <c r="K875" s="6" t="str">
        <f t="shared" si="27"/>
        <v>A~0</v>
      </c>
      <c r="L875" t="str">
        <f>IF(J875&lt;0,"A~0",VLOOKUP(J875,[1]作法V!$B$1:$C$9,2,TRUE))</f>
        <v>A~0</v>
      </c>
    </row>
    <row r="876" spans="1:12">
      <c r="A876">
        <v>1053</v>
      </c>
      <c r="B876" t="s">
        <v>21</v>
      </c>
      <c r="C876" s="3">
        <v>38664</v>
      </c>
      <c r="D876" s="3">
        <v>38804</v>
      </c>
      <c r="E876" t="s">
        <v>18</v>
      </c>
      <c r="F876">
        <v>1</v>
      </c>
      <c r="G876">
        <v>164747</v>
      </c>
      <c r="H876">
        <v>164747</v>
      </c>
      <c r="I876" s="4">
        <v>38686</v>
      </c>
      <c r="J876" s="5">
        <f t="shared" si="26"/>
        <v>-118</v>
      </c>
      <c r="K876" s="6" t="str">
        <f t="shared" si="27"/>
        <v>A~0</v>
      </c>
      <c r="L876" t="str">
        <f>IF(J876&lt;0,"A~0",VLOOKUP(J876,[1]作法V!$B$1:$C$9,2,TRUE))</f>
        <v>A~0</v>
      </c>
    </row>
    <row r="877" spans="1:12">
      <c r="A877">
        <v>1053</v>
      </c>
      <c r="B877" t="s">
        <v>21</v>
      </c>
      <c r="C877" s="3">
        <v>38664</v>
      </c>
      <c r="D877" s="3">
        <v>38804</v>
      </c>
      <c r="E877" t="s">
        <v>18</v>
      </c>
      <c r="F877">
        <v>1</v>
      </c>
      <c r="G877">
        <v>192780</v>
      </c>
      <c r="H877">
        <v>192780</v>
      </c>
      <c r="I877" s="4">
        <v>38686</v>
      </c>
      <c r="J877" s="5">
        <f t="shared" si="26"/>
        <v>-118</v>
      </c>
      <c r="K877" s="6" t="str">
        <f t="shared" si="27"/>
        <v>A~0</v>
      </c>
      <c r="L877" t="str">
        <f>IF(J877&lt;0,"A~0",VLOOKUP(J877,[1]作法V!$B$1:$C$9,2,TRUE))</f>
        <v>A~0</v>
      </c>
    </row>
    <row r="878" spans="1:12">
      <c r="A878">
        <v>1053</v>
      </c>
      <c r="B878" t="s">
        <v>21</v>
      </c>
      <c r="C878" s="3">
        <v>38664</v>
      </c>
      <c r="D878" s="3">
        <v>38804</v>
      </c>
      <c r="E878" t="s">
        <v>18</v>
      </c>
      <c r="F878">
        <v>1</v>
      </c>
      <c r="G878">
        <v>99702</v>
      </c>
      <c r="H878">
        <v>99702</v>
      </c>
      <c r="I878" s="4">
        <v>38686</v>
      </c>
      <c r="J878" s="5">
        <f t="shared" si="26"/>
        <v>-118</v>
      </c>
      <c r="K878" s="6" t="str">
        <f t="shared" si="27"/>
        <v>A~0</v>
      </c>
      <c r="L878" t="str">
        <f>IF(J878&lt;0,"A~0",VLOOKUP(J878,[1]作法V!$B$1:$C$9,2,TRUE))</f>
        <v>A~0</v>
      </c>
    </row>
    <row r="879" spans="1:12">
      <c r="A879">
        <v>1053</v>
      </c>
      <c r="B879" t="s">
        <v>21</v>
      </c>
      <c r="C879" s="3">
        <v>38664</v>
      </c>
      <c r="D879" s="3">
        <v>38804</v>
      </c>
      <c r="E879" t="s">
        <v>18</v>
      </c>
      <c r="F879">
        <v>1</v>
      </c>
      <c r="G879">
        <v>445799</v>
      </c>
      <c r="H879">
        <v>445799</v>
      </c>
      <c r="I879" s="4">
        <v>38686</v>
      </c>
      <c r="J879" s="5">
        <f t="shared" si="26"/>
        <v>-118</v>
      </c>
      <c r="K879" s="6" t="str">
        <f t="shared" si="27"/>
        <v>A~0</v>
      </c>
      <c r="L879" t="str">
        <f>IF(J879&lt;0,"A~0",VLOOKUP(J879,[1]作法V!$B$1:$C$9,2,TRUE))</f>
        <v>A~0</v>
      </c>
    </row>
    <row r="880" spans="1:12">
      <c r="A880">
        <v>1053</v>
      </c>
      <c r="B880" t="s">
        <v>21</v>
      </c>
      <c r="C880" s="3">
        <v>38664</v>
      </c>
      <c r="D880" s="3">
        <v>38804</v>
      </c>
      <c r="E880" t="s">
        <v>18</v>
      </c>
      <c r="F880">
        <v>1</v>
      </c>
      <c r="G880">
        <v>228614</v>
      </c>
      <c r="H880">
        <v>228614</v>
      </c>
      <c r="I880" s="4">
        <v>38686</v>
      </c>
      <c r="J880" s="5">
        <f t="shared" si="26"/>
        <v>-118</v>
      </c>
      <c r="K880" s="6" t="str">
        <f t="shared" si="27"/>
        <v>A~0</v>
      </c>
      <c r="L880" t="str">
        <f>IF(J880&lt;0,"A~0",VLOOKUP(J880,[1]作法V!$B$1:$C$9,2,TRUE))</f>
        <v>A~0</v>
      </c>
    </row>
    <row r="881" spans="1:12">
      <c r="A881">
        <v>1053</v>
      </c>
      <c r="B881" t="s">
        <v>21</v>
      </c>
      <c r="C881" s="3">
        <v>38665</v>
      </c>
      <c r="D881" s="3">
        <v>38804</v>
      </c>
      <c r="E881" t="s">
        <v>17</v>
      </c>
      <c r="F881">
        <v>33.715000000000003</v>
      </c>
      <c r="G881">
        <v>806</v>
      </c>
      <c r="H881">
        <v>27174</v>
      </c>
      <c r="I881" s="4">
        <v>38686</v>
      </c>
      <c r="J881" s="5">
        <f t="shared" si="26"/>
        <v>-118</v>
      </c>
      <c r="K881" s="6" t="str">
        <f t="shared" si="27"/>
        <v>A~0</v>
      </c>
      <c r="L881" t="str">
        <f>IF(J881&lt;0,"A~0",VLOOKUP(J881,[1]作法V!$B$1:$C$9,2,TRUE))</f>
        <v>A~0</v>
      </c>
    </row>
    <row r="882" spans="1:12">
      <c r="A882">
        <v>1053</v>
      </c>
      <c r="B882" t="s">
        <v>21</v>
      </c>
      <c r="C882" s="3">
        <v>38665</v>
      </c>
      <c r="D882" s="3">
        <v>38804</v>
      </c>
      <c r="E882" t="s">
        <v>17</v>
      </c>
      <c r="F882">
        <v>33.715000000000003</v>
      </c>
      <c r="G882">
        <v>15926.4</v>
      </c>
      <c r="H882">
        <v>536959</v>
      </c>
      <c r="I882" s="4">
        <v>38686</v>
      </c>
      <c r="J882" s="5">
        <f t="shared" si="26"/>
        <v>-118</v>
      </c>
      <c r="K882" s="6" t="str">
        <f t="shared" si="27"/>
        <v>A~0</v>
      </c>
      <c r="L882" t="str">
        <f>IF(J882&lt;0,"A~0",VLOOKUP(J882,[1]作法V!$B$1:$C$9,2,TRUE))</f>
        <v>A~0</v>
      </c>
    </row>
    <row r="883" spans="1:12">
      <c r="A883">
        <v>1053</v>
      </c>
      <c r="B883" t="s">
        <v>21</v>
      </c>
      <c r="C883" s="3">
        <v>38667</v>
      </c>
      <c r="D883" s="3">
        <v>38804</v>
      </c>
      <c r="E883" t="s">
        <v>17</v>
      </c>
      <c r="F883">
        <v>33.634999999999998</v>
      </c>
      <c r="G883">
        <v>3478.53</v>
      </c>
      <c r="H883">
        <v>117000</v>
      </c>
      <c r="I883" s="4">
        <v>38686</v>
      </c>
      <c r="J883" s="5">
        <f t="shared" si="26"/>
        <v>-118</v>
      </c>
      <c r="K883" s="6" t="str">
        <f t="shared" si="27"/>
        <v>A~0</v>
      </c>
      <c r="L883" t="str">
        <f>IF(J883&lt;0,"A~0",VLOOKUP(J883,[1]作法V!$B$1:$C$9,2,TRUE))</f>
        <v>A~0</v>
      </c>
    </row>
    <row r="884" spans="1:12">
      <c r="A884">
        <v>1053</v>
      </c>
      <c r="B884" t="s">
        <v>21</v>
      </c>
      <c r="C884" s="3">
        <v>38667</v>
      </c>
      <c r="D884" s="3">
        <v>38804</v>
      </c>
      <c r="E884" t="s">
        <v>17</v>
      </c>
      <c r="F884">
        <v>33.634999999999998</v>
      </c>
      <c r="G884">
        <v>12447.87</v>
      </c>
      <c r="H884">
        <v>418684</v>
      </c>
      <c r="I884" s="4">
        <v>38686</v>
      </c>
      <c r="J884" s="5">
        <f t="shared" si="26"/>
        <v>-118</v>
      </c>
      <c r="K884" s="6" t="str">
        <f t="shared" si="27"/>
        <v>A~0</v>
      </c>
      <c r="L884" t="str">
        <f>IF(J884&lt;0,"A~0",VLOOKUP(J884,[1]作法V!$B$1:$C$9,2,TRUE))</f>
        <v>A~0</v>
      </c>
    </row>
    <row r="885" spans="1:12">
      <c r="A885">
        <v>1053</v>
      </c>
      <c r="B885" t="s">
        <v>21</v>
      </c>
      <c r="C885" s="3">
        <v>38670</v>
      </c>
      <c r="D885" s="3">
        <v>38804</v>
      </c>
      <c r="E885" t="s">
        <v>17</v>
      </c>
      <c r="F885">
        <v>33.634999999999998</v>
      </c>
      <c r="G885">
        <v>9558.3700000000008</v>
      </c>
      <c r="H885">
        <v>321496</v>
      </c>
      <c r="I885" s="4">
        <v>38686</v>
      </c>
      <c r="J885" s="5">
        <f t="shared" si="26"/>
        <v>-118</v>
      </c>
      <c r="K885" s="6" t="str">
        <f t="shared" si="27"/>
        <v>A~0</v>
      </c>
      <c r="L885" t="str">
        <f>IF(J885&lt;0,"A~0",VLOOKUP(J885,[1]作法V!$B$1:$C$9,2,TRUE))</f>
        <v>A~0</v>
      </c>
    </row>
    <row r="886" spans="1:12">
      <c r="A886">
        <v>1053</v>
      </c>
      <c r="B886" t="s">
        <v>21</v>
      </c>
      <c r="C886" s="3">
        <v>38670</v>
      </c>
      <c r="D886" s="3">
        <v>38804</v>
      </c>
      <c r="E886" t="s">
        <v>17</v>
      </c>
      <c r="F886">
        <v>33.634999999999998</v>
      </c>
      <c r="G886">
        <v>11942.27</v>
      </c>
      <c r="H886">
        <v>401678</v>
      </c>
      <c r="I886" s="4">
        <v>38686</v>
      </c>
      <c r="J886" s="5">
        <f t="shared" si="26"/>
        <v>-118</v>
      </c>
      <c r="K886" s="6" t="str">
        <f t="shared" si="27"/>
        <v>A~0</v>
      </c>
      <c r="L886" t="str">
        <f>IF(J886&lt;0,"A~0",VLOOKUP(J886,[1]作法V!$B$1:$C$9,2,TRUE))</f>
        <v>A~0</v>
      </c>
    </row>
    <row r="887" spans="1:12">
      <c r="A887">
        <v>1053</v>
      </c>
      <c r="B887" t="s">
        <v>21</v>
      </c>
      <c r="C887" s="3">
        <v>38670</v>
      </c>
      <c r="D887" s="3">
        <v>38804</v>
      </c>
      <c r="E887" t="s">
        <v>18</v>
      </c>
      <c r="F887">
        <v>1</v>
      </c>
      <c r="G887">
        <v>388645</v>
      </c>
      <c r="H887">
        <v>388645</v>
      </c>
      <c r="I887" s="4">
        <v>38686</v>
      </c>
      <c r="J887" s="5">
        <f t="shared" si="26"/>
        <v>-118</v>
      </c>
      <c r="K887" s="6" t="str">
        <f t="shared" si="27"/>
        <v>A~0</v>
      </c>
      <c r="L887" t="str">
        <f>IF(J887&lt;0,"A~0",VLOOKUP(J887,[1]作法V!$B$1:$C$9,2,TRUE))</f>
        <v>A~0</v>
      </c>
    </row>
    <row r="888" spans="1:12">
      <c r="A888">
        <v>1053</v>
      </c>
      <c r="B888" t="s">
        <v>21</v>
      </c>
      <c r="C888" s="3">
        <v>38670</v>
      </c>
      <c r="D888" s="3">
        <v>38804</v>
      </c>
      <c r="E888" t="s">
        <v>18</v>
      </c>
      <c r="F888">
        <v>1</v>
      </c>
      <c r="G888">
        <v>377214</v>
      </c>
      <c r="H888">
        <v>377214</v>
      </c>
      <c r="I888" s="4">
        <v>38686</v>
      </c>
      <c r="J888" s="5">
        <f t="shared" si="26"/>
        <v>-118</v>
      </c>
      <c r="K888" s="6" t="str">
        <f t="shared" si="27"/>
        <v>A~0</v>
      </c>
      <c r="L888" t="str">
        <f>IF(J888&lt;0,"A~0",VLOOKUP(J888,[1]作法V!$B$1:$C$9,2,TRUE))</f>
        <v>A~0</v>
      </c>
    </row>
    <row r="889" spans="1:12">
      <c r="A889">
        <v>1053</v>
      </c>
      <c r="B889" t="s">
        <v>21</v>
      </c>
      <c r="C889" s="3">
        <v>38670</v>
      </c>
      <c r="D889" s="3">
        <v>38804</v>
      </c>
      <c r="E889" t="s">
        <v>18</v>
      </c>
      <c r="F889">
        <v>1</v>
      </c>
      <c r="G889">
        <v>50205</v>
      </c>
      <c r="H889">
        <v>50205</v>
      </c>
      <c r="I889" s="4">
        <v>38686</v>
      </c>
      <c r="J889" s="5">
        <f t="shared" si="26"/>
        <v>-118</v>
      </c>
      <c r="K889" s="6" t="str">
        <f t="shared" si="27"/>
        <v>A~0</v>
      </c>
      <c r="L889" t="str">
        <f>IF(J889&lt;0,"A~0",VLOOKUP(J889,[1]作法V!$B$1:$C$9,2,TRUE))</f>
        <v>A~0</v>
      </c>
    </row>
    <row r="890" spans="1:12">
      <c r="A890">
        <v>1053</v>
      </c>
      <c r="B890" t="s">
        <v>21</v>
      </c>
      <c r="C890" s="3">
        <v>38670</v>
      </c>
      <c r="D890" s="3">
        <v>38804</v>
      </c>
      <c r="E890" t="s">
        <v>18</v>
      </c>
      <c r="F890">
        <v>1</v>
      </c>
      <c r="G890">
        <v>228614</v>
      </c>
      <c r="H890">
        <v>228614</v>
      </c>
      <c r="I890" s="4">
        <v>38686</v>
      </c>
      <c r="J890" s="5">
        <f t="shared" si="26"/>
        <v>-118</v>
      </c>
      <c r="K890" s="6" t="str">
        <f t="shared" si="27"/>
        <v>A~0</v>
      </c>
      <c r="L890" t="str">
        <f>IF(J890&lt;0,"A~0",VLOOKUP(J890,[1]作法V!$B$1:$C$9,2,TRUE))</f>
        <v>A~0</v>
      </c>
    </row>
    <row r="891" spans="1:12">
      <c r="A891">
        <v>1053</v>
      </c>
      <c r="B891" t="s">
        <v>21</v>
      </c>
      <c r="C891" s="3">
        <v>38670</v>
      </c>
      <c r="D891" s="3">
        <v>38804</v>
      </c>
      <c r="E891" t="s">
        <v>18</v>
      </c>
      <c r="F891">
        <v>1</v>
      </c>
      <c r="G891">
        <v>109469</v>
      </c>
      <c r="H891">
        <v>109469</v>
      </c>
      <c r="I891" s="4">
        <v>38686</v>
      </c>
      <c r="J891" s="5">
        <f t="shared" si="26"/>
        <v>-118</v>
      </c>
      <c r="K891" s="6" t="str">
        <f t="shared" si="27"/>
        <v>A~0</v>
      </c>
      <c r="L891" t="str">
        <f>IF(J891&lt;0,"A~0",VLOOKUP(J891,[1]作法V!$B$1:$C$9,2,TRUE))</f>
        <v>A~0</v>
      </c>
    </row>
    <row r="892" spans="1:12">
      <c r="A892">
        <v>1053</v>
      </c>
      <c r="B892" t="s">
        <v>21</v>
      </c>
      <c r="C892" s="3">
        <v>38672</v>
      </c>
      <c r="D892" s="3">
        <v>38804</v>
      </c>
      <c r="E892" t="s">
        <v>18</v>
      </c>
      <c r="F892">
        <v>1</v>
      </c>
      <c r="G892">
        <v>135354</v>
      </c>
      <c r="H892">
        <v>135354</v>
      </c>
      <c r="I892" s="4">
        <v>38686</v>
      </c>
      <c r="J892" s="5">
        <f t="shared" si="26"/>
        <v>-118</v>
      </c>
      <c r="K892" s="6" t="str">
        <f t="shared" si="27"/>
        <v>A~0</v>
      </c>
      <c r="L892" t="str">
        <f>IF(J892&lt;0,"A~0",VLOOKUP(J892,[1]作法V!$B$1:$C$9,2,TRUE))</f>
        <v>A~0</v>
      </c>
    </row>
    <row r="893" spans="1:12">
      <c r="A893">
        <v>1053</v>
      </c>
      <c r="B893" t="s">
        <v>21</v>
      </c>
      <c r="C893" s="3">
        <v>38672</v>
      </c>
      <c r="D893" s="3">
        <v>38804</v>
      </c>
      <c r="E893" t="s">
        <v>18</v>
      </c>
      <c r="F893">
        <v>1</v>
      </c>
      <c r="G893">
        <v>413320</v>
      </c>
      <c r="H893">
        <v>413320</v>
      </c>
      <c r="I893" s="4">
        <v>38686</v>
      </c>
      <c r="J893" s="5">
        <f t="shared" si="26"/>
        <v>-118</v>
      </c>
      <c r="K893" s="6" t="str">
        <f t="shared" si="27"/>
        <v>A~0</v>
      </c>
      <c r="L893" t="str">
        <f>IF(J893&lt;0,"A~0",VLOOKUP(J893,[1]作法V!$B$1:$C$9,2,TRUE))</f>
        <v>A~0</v>
      </c>
    </row>
    <row r="894" spans="1:12">
      <c r="A894">
        <v>1053</v>
      </c>
      <c r="B894" t="s">
        <v>21</v>
      </c>
      <c r="C894" s="3">
        <v>38674</v>
      </c>
      <c r="D894" s="3">
        <v>38804</v>
      </c>
      <c r="E894" t="s">
        <v>17</v>
      </c>
      <c r="F894">
        <v>33.634999999999998</v>
      </c>
      <c r="G894">
        <v>14333.76</v>
      </c>
      <c r="H894">
        <v>482116</v>
      </c>
      <c r="I894" s="4">
        <v>38686</v>
      </c>
      <c r="J894" s="5">
        <f t="shared" si="26"/>
        <v>-118</v>
      </c>
      <c r="K894" s="6" t="str">
        <f t="shared" si="27"/>
        <v>A~0</v>
      </c>
      <c r="L894" t="str">
        <f>IF(J894&lt;0,"A~0",VLOOKUP(J894,[1]作法V!$B$1:$C$9,2,TRUE))</f>
        <v>A~0</v>
      </c>
    </row>
    <row r="895" spans="1:12">
      <c r="A895">
        <v>1053</v>
      </c>
      <c r="B895" t="s">
        <v>21</v>
      </c>
      <c r="C895" s="3">
        <v>38674</v>
      </c>
      <c r="D895" s="3">
        <v>38804</v>
      </c>
      <c r="E895" t="s">
        <v>17</v>
      </c>
      <c r="F895">
        <v>33.634999999999998</v>
      </c>
      <c r="G895">
        <v>79.02</v>
      </c>
      <c r="H895">
        <v>2658</v>
      </c>
      <c r="I895" s="4">
        <v>38686</v>
      </c>
      <c r="J895" s="5">
        <f t="shared" si="26"/>
        <v>-118</v>
      </c>
      <c r="K895" s="6" t="str">
        <f t="shared" si="27"/>
        <v>A~0</v>
      </c>
      <c r="L895" t="str">
        <f>IF(J895&lt;0,"A~0",VLOOKUP(J895,[1]作法V!$B$1:$C$9,2,TRUE))</f>
        <v>A~0</v>
      </c>
    </row>
    <row r="896" spans="1:12">
      <c r="A896">
        <v>1053</v>
      </c>
      <c r="B896" t="s">
        <v>21</v>
      </c>
      <c r="C896" s="3">
        <v>38677</v>
      </c>
      <c r="D896" s="3">
        <v>38804</v>
      </c>
      <c r="E896" t="s">
        <v>18</v>
      </c>
      <c r="F896">
        <v>1</v>
      </c>
      <c r="G896">
        <v>91446</v>
      </c>
      <c r="H896">
        <v>91446</v>
      </c>
      <c r="I896" s="4">
        <v>38686</v>
      </c>
      <c r="J896" s="5">
        <f t="shared" si="26"/>
        <v>-118</v>
      </c>
      <c r="K896" s="6" t="str">
        <f t="shared" si="27"/>
        <v>A~0</v>
      </c>
      <c r="L896" t="str">
        <f>IF(J896&lt;0,"A~0",VLOOKUP(J896,[1]作法V!$B$1:$C$9,2,TRUE))</f>
        <v>A~0</v>
      </c>
    </row>
    <row r="897" spans="1:12">
      <c r="A897">
        <v>1053</v>
      </c>
      <c r="B897" t="s">
        <v>21</v>
      </c>
      <c r="C897" s="3">
        <v>38677</v>
      </c>
      <c r="D897" s="3">
        <v>38804</v>
      </c>
      <c r="E897" t="s">
        <v>18</v>
      </c>
      <c r="F897">
        <v>1</v>
      </c>
      <c r="G897">
        <v>329011</v>
      </c>
      <c r="H897">
        <v>329011</v>
      </c>
      <c r="I897" s="4">
        <v>38686</v>
      </c>
      <c r="J897" s="5">
        <f t="shared" si="26"/>
        <v>-118</v>
      </c>
      <c r="K897" s="6" t="str">
        <f t="shared" si="27"/>
        <v>A~0</v>
      </c>
      <c r="L897" t="str">
        <f>IF(J897&lt;0,"A~0",VLOOKUP(J897,[1]作法V!$B$1:$C$9,2,TRUE))</f>
        <v>A~0</v>
      </c>
    </row>
    <row r="898" spans="1:12">
      <c r="A898">
        <v>1053</v>
      </c>
      <c r="B898" t="s">
        <v>21</v>
      </c>
      <c r="C898" s="3">
        <v>38677</v>
      </c>
      <c r="D898" s="3">
        <v>38804</v>
      </c>
      <c r="E898" t="s">
        <v>18</v>
      </c>
      <c r="F898">
        <v>1</v>
      </c>
      <c r="G898">
        <v>51307</v>
      </c>
      <c r="H898">
        <v>51307</v>
      </c>
      <c r="I898" s="4">
        <v>38686</v>
      </c>
      <c r="J898" s="5">
        <f t="shared" ref="J898:J961" si="28">I898-D898</f>
        <v>-118</v>
      </c>
      <c r="K898" s="6" t="str">
        <f t="shared" ref="K898:K961" si="29">IF(J898&lt;1,"A~0",IF(J898&lt;31,"B1~30",IF(J898&lt;61,"C31~60",IF(J898&lt;91,"D61~90",IF(J898&lt;121,"E91~120",IF(J898&lt;181,"F121~180",IF(J898&lt;361,"G181~360","H361~")))))))</f>
        <v>A~0</v>
      </c>
      <c r="L898" t="str">
        <f>IF(J898&lt;0,"A~0",VLOOKUP(J898,[1]作法V!$B$1:$C$9,2,TRUE))</f>
        <v>A~0</v>
      </c>
    </row>
    <row r="899" spans="1:12">
      <c r="A899">
        <v>1053</v>
      </c>
      <c r="B899" t="s">
        <v>21</v>
      </c>
      <c r="C899" s="3">
        <v>38677</v>
      </c>
      <c r="D899" s="3">
        <v>38804</v>
      </c>
      <c r="E899" t="s">
        <v>18</v>
      </c>
      <c r="F899">
        <v>1</v>
      </c>
      <c r="G899">
        <v>33863</v>
      </c>
      <c r="H899">
        <v>33863</v>
      </c>
      <c r="I899" s="4">
        <v>38686</v>
      </c>
      <c r="J899" s="5">
        <f t="shared" si="28"/>
        <v>-118</v>
      </c>
      <c r="K899" s="6" t="str">
        <f t="shared" si="29"/>
        <v>A~0</v>
      </c>
      <c r="L899" t="str">
        <f>IF(J899&lt;0,"A~0",VLOOKUP(J899,[1]作法V!$B$1:$C$9,2,TRUE))</f>
        <v>A~0</v>
      </c>
    </row>
    <row r="900" spans="1:12">
      <c r="A900">
        <v>1053</v>
      </c>
      <c r="B900" t="s">
        <v>21</v>
      </c>
      <c r="C900" s="3">
        <v>38677</v>
      </c>
      <c r="D900" s="3">
        <v>38804</v>
      </c>
      <c r="E900" t="s">
        <v>18</v>
      </c>
      <c r="F900">
        <v>1</v>
      </c>
      <c r="G900">
        <v>310081</v>
      </c>
      <c r="H900">
        <v>310081</v>
      </c>
      <c r="I900" s="4">
        <v>38686</v>
      </c>
      <c r="J900" s="5">
        <f t="shared" si="28"/>
        <v>-118</v>
      </c>
      <c r="K900" s="6" t="str">
        <f t="shared" si="29"/>
        <v>A~0</v>
      </c>
      <c r="L900" t="str">
        <f>IF(J900&lt;0,"A~0",VLOOKUP(J900,[1]作法V!$B$1:$C$9,2,TRUE))</f>
        <v>A~0</v>
      </c>
    </row>
    <row r="901" spans="1:12">
      <c r="A901">
        <v>1053</v>
      </c>
      <c r="B901" t="s">
        <v>21</v>
      </c>
      <c r="C901" s="3">
        <v>38677</v>
      </c>
      <c r="D901" s="3">
        <v>38804</v>
      </c>
      <c r="E901" t="s">
        <v>18</v>
      </c>
      <c r="F901">
        <v>1</v>
      </c>
      <c r="G901">
        <v>598662</v>
      </c>
      <c r="H901">
        <v>598662</v>
      </c>
      <c r="I901" s="4">
        <v>38686</v>
      </c>
      <c r="J901" s="5">
        <f t="shared" si="28"/>
        <v>-118</v>
      </c>
      <c r="K901" s="6" t="str">
        <f t="shared" si="29"/>
        <v>A~0</v>
      </c>
      <c r="L901" t="str">
        <f>IF(J901&lt;0,"A~0",VLOOKUP(J901,[1]作法V!$B$1:$C$9,2,TRUE))</f>
        <v>A~0</v>
      </c>
    </row>
    <row r="902" spans="1:12">
      <c r="A902">
        <v>1053</v>
      </c>
      <c r="B902" t="s">
        <v>21</v>
      </c>
      <c r="C902" s="3">
        <v>38678</v>
      </c>
      <c r="D902" s="3">
        <v>38804</v>
      </c>
      <c r="E902" t="s">
        <v>18</v>
      </c>
      <c r="F902">
        <v>1</v>
      </c>
      <c r="G902">
        <v>568580</v>
      </c>
      <c r="H902">
        <v>568580</v>
      </c>
      <c r="I902" s="4">
        <v>38686</v>
      </c>
      <c r="J902" s="5">
        <f t="shared" si="28"/>
        <v>-118</v>
      </c>
      <c r="K902" s="6" t="str">
        <f t="shared" si="29"/>
        <v>A~0</v>
      </c>
      <c r="L902" t="str">
        <f>IF(J902&lt;0,"A~0",VLOOKUP(J902,[1]作法V!$B$1:$C$9,2,TRUE))</f>
        <v>A~0</v>
      </c>
    </row>
    <row r="903" spans="1:12">
      <c r="A903">
        <v>1053</v>
      </c>
      <c r="B903" t="s">
        <v>21</v>
      </c>
      <c r="C903" s="3">
        <v>38678</v>
      </c>
      <c r="D903" s="3">
        <v>38804</v>
      </c>
      <c r="E903" t="s">
        <v>18</v>
      </c>
      <c r="F903">
        <v>1</v>
      </c>
      <c r="G903">
        <v>256420</v>
      </c>
      <c r="H903">
        <v>256420</v>
      </c>
      <c r="I903" s="4">
        <v>38686</v>
      </c>
      <c r="J903" s="5">
        <f t="shared" si="28"/>
        <v>-118</v>
      </c>
      <c r="K903" s="6" t="str">
        <f t="shared" si="29"/>
        <v>A~0</v>
      </c>
      <c r="L903" t="str">
        <f>IF(J903&lt;0,"A~0",VLOOKUP(J903,[1]作法V!$B$1:$C$9,2,TRUE))</f>
        <v>A~0</v>
      </c>
    </row>
    <row r="904" spans="1:12">
      <c r="A904">
        <v>1053</v>
      </c>
      <c r="B904" t="s">
        <v>21</v>
      </c>
      <c r="C904" s="3">
        <v>38684</v>
      </c>
      <c r="D904" s="3">
        <v>38835</v>
      </c>
      <c r="E904" t="s">
        <v>18</v>
      </c>
      <c r="F904">
        <v>1</v>
      </c>
      <c r="G904">
        <v>25674</v>
      </c>
      <c r="H904">
        <v>25674</v>
      </c>
      <c r="I904" s="4">
        <v>38686</v>
      </c>
      <c r="J904" s="5">
        <f t="shared" si="28"/>
        <v>-149</v>
      </c>
      <c r="K904" s="6" t="str">
        <f t="shared" si="29"/>
        <v>A~0</v>
      </c>
      <c r="L904" t="str">
        <f>IF(J904&lt;0,"A~0",VLOOKUP(J904,[1]作法V!$B$1:$C$9,2,TRUE))</f>
        <v>A~0</v>
      </c>
    </row>
    <row r="905" spans="1:12">
      <c r="A905">
        <v>1053</v>
      </c>
      <c r="B905" t="s">
        <v>21</v>
      </c>
      <c r="C905" s="3">
        <v>38684</v>
      </c>
      <c r="D905" s="3">
        <v>38835</v>
      </c>
      <c r="E905" t="s">
        <v>18</v>
      </c>
      <c r="F905">
        <v>1</v>
      </c>
      <c r="G905">
        <v>163840</v>
      </c>
      <c r="H905">
        <v>163840</v>
      </c>
      <c r="I905" s="4">
        <v>38686</v>
      </c>
      <c r="J905" s="5">
        <f t="shared" si="28"/>
        <v>-149</v>
      </c>
      <c r="K905" s="6" t="str">
        <f t="shared" si="29"/>
        <v>A~0</v>
      </c>
      <c r="L905" t="str">
        <f>IF(J905&lt;0,"A~0",VLOOKUP(J905,[1]作法V!$B$1:$C$9,2,TRUE))</f>
        <v>A~0</v>
      </c>
    </row>
    <row r="906" spans="1:12">
      <c r="A906">
        <v>1053</v>
      </c>
      <c r="B906" t="s">
        <v>21</v>
      </c>
      <c r="C906" s="3">
        <v>38684</v>
      </c>
      <c r="D906" s="3">
        <v>38835</v>
      </c>
      <c r="E906" t="s">
        <v>18</v>
      </c>
      <c r="F906">
        <v>1</v>
      </c>
      <c r="G906">
        <v>153407</v>
      </c>
      <c r="H906">
        <v>153407</v>
      </c>
      <c r="I906" s="4">
        <v>38686</v>
      </c>
      <c r="J906" s="5">
        <f t="shared" si="28"/>
        <v>-149</v>
      </c>
      <c r="K906" s="6" t="str">
        <f t="shared" si="29"/>
        <v>A~0</v>
      </c>
      <c r="L906" t="str">
        <f>IF(J906&lt;0,"A~0",VLOOKUP(J906,[1]作法V!$B$1:$C$9,2,TRUE))</f>
        <v>A~0</v>
      </c>
    </row>
    <row r="907" spans="1:12">
      <c r="A907">
        <v>1053</v>
      </c>
      <c r="B907" t="s">
        <v>21</v>
      </c>
      <c r="C907" s="3">
        <v>38684</v>
      </c>
      <c r="D907" s="3">
        <v>38835</v>
      </c>
      <c r="E907" t="s">
        <v>18</v>
      </c>
      <c r="F907">
        <v>1</v>
      </c>
      <c r="G907">
        <v>36641</v>
      </c>
      <c r="H907">
        <v>36641</v>
      </c>
      <c r="I907" s="4">
        <v>38686</v>
      </c>
      <c r="J907" s="5">
        <f t="shared" si="28"/>
        <v>-149</v>
      </c>
      <c r="K907" s="6" t="str">
        <f t="shared" si="29"/>
        <v>A~0</v>
      </c>
      <c r="L907" t="str">
        <f>IF(J907&lt;0,"A~0",VLOOKUP(J907,[1]作法V!$B$1:$C$9,2,TRUE))</f>
        <v>A~0</v>
      </c>
    </row>
    <row r="908" spans="1:12">
      <c r="A908">
        <v>1053</v>
      </c>
      <c r="B908" t="s">
        <v>21</v>
      </c>
      <c r="C908" s="3">
        <v>38684</v>
      </c>
      <c r="D908" s="3">
        <v>38835</v>
      </c>
      <c r="E908" t="s">
        <v>18</v>
      </c>
      <c r="F908">
        <v>1</v>
      </c>
      <c r="G908">
        <v>22349</v>
      </c>
      <c r="H908">
        <v>22349</v>
      </c>
      <c r="I908" s="4">
        <v>38686</v>
      </c>
      <c r="J908" s="5">
        <f t="shared" si="28"/>
        <v>-149</v>
      </c>
      <c r="K908" s="6" t="str">
        <f t="shared" si="29"/>
        <v>A~0</v>
      </c>
      <c r="L908" t="str">
        <f>IF(J908&lt;0,"A~0",VLOOKUP(J908,[1]作法V!$B$1:$C$9,2,TRUE))</f>
        <v>A~0</v>
      </c>
    </row>
    <row r="909" spans="1:12">
      <c r="A909">
        <v>1053</v>
      </c>
      <c r="B909" t="s">
        <v>21</v>
      </c>
      <c r="C909" s="3">
        <v>38685</v>
      </c>
      <c r="D909" s="3">
        <v>38835</v>
      </c>
      <c r="E909" t="s">
        <v>18</v>
      </c>
      <c r="F909">
        <v>1</v>
      </c>
      <c r="G909">
        <v>491521</v>
      </c>
      <c r="H909">
        <v>491521</v>
      </c>
      <c r="I909" s="4">
        <v>38686</v>
      </c>
      <c r="J909" s="5">
        <f t="shared" si="28"/>
        <v>-149</v>
      </c>
      <c r="K909" s="6" t="str">
        <f t="shared" si="29"/>
        <v>A~0</v>
      </c>
      <c r="L909" t="str">
        <f>IF(J909&lt;0,"A~0",VLOOKUP(J909,[1]作法V!$B$1:$C$9,2,TRUE))</f>
        <v>A~0</v>
      </c>
    </row>
    <row r="910" spans="1:12">
      <c r="A910">
        <v>1053</v>
      </c>
      <c r="B910" t="s">
        <v>21</v>
      </c>
      <c r="C910" s="3">
        <v>38686</v>
      </c>
      <c r="D910" s="3">
        <v>38835</v>
      </c>
      <c r="E910" t="s">
        <v>18</v>
      </c>
      <c r="F910">
        <v>1</v>
      </c>
      <c r="G910">
        <v>45360</v>
      </c>
      <c r="H910">
        <v>45360</v>
      </c>
      <c r="I910" s="4">
        <v>38686</v>
      </c>
      <c r="J910" s="5">
        <f t="shared" si="28"/>
        <v>-149</v>
      </c>
      <c r="K910" s="6" t="str">
        <f t="shared" si="29"/>
        <v>A~0</v>
      </c>
      <c r="L910" t="str">
        <f>IF(J910&lt;0,"A~0",VLOOKUP(J910,[1]作法V!$B$1:$C$9,2,TRUE))</f>
        <v>A~0</v>
      </c>
    </row>
    <row r="911" spans="1:12">
      <c r="A911">
        <v>1053</v>
      </c>
      <c r="B911" t="s">
        <v>21</v>
      </c>
      <c r="C911" s="3">
        <v>38686</v>
      </c>
      <c r="D911" s="3">
        <v>38835</v>
      </c>
      <c r="E911" t="s">
        <v>18</v>
      </c>
      <c r="F911">
        <v>1</v>
      </c>
      <c r="G911">
        <v>365238</v>
      </c>
      <c r="H911">
        <v>365238</v>
      </c>
      <c r="I911" s="4">
        <v>38686</v>
      </c>
      <c r="J911" s="5">
        <f t="shared" si="28"/>
        <v>-149</v>
      </c>
      <c r="K911" s="6" t="str">
        <f t="shared" si="29"/>
        <v>A~0</v>
      </c>
      <c r="L911" t="str">
        <f>IF(J911&lt;0,"A~0",VLOOKUP(J911,[1]作法V!$B$1:$C$9,2,TRUE))</f>
        <v>A~0</v>
      </c>
    </row>
    <row r="912" spans="1:12">
      <c r="A912">
        <v>1053</v>
      </c>
      <c r="B912" t="s">
        <v>21</v>
      </c>
      <c r="C912" s="3">
        <v>38686</v>
      </c>
      <c r="D912" s="3">
        <v>38835</v>
      </c>
      <c r="E912" t="s">
        <v>18</v>
      </c>
      <c r="F912">
        <v>1</v>
      </c>
      <c r="G912">
        <v>46631</v>
      </c>
      <c r="H912">
        <v>46631</v>
      </c>
      <c r="I912" s="4">
        <v>38686</v>
      </c>
      <c r="J912" s="5">
        <f t="shared" si="28"/>
        <v>-149</v>
      </c>
      <c r="K912" s="6" t="str">
        <f t="shared" si="29"/>
        <v>A~0</v>
      </c>
      <c r="L912" t="str">
        <f>IF(J912&lt;0,"A~0",VLOOKUP(J912,[1]作法V!$B$1:$C$9,2,TRUE))</f>
        <v>A~0</v>
      </c>
    </row>
    <row r="913" spans="1:12">
      <c r="A913">
        <v>1060</v>
      </c>
      <c r="B913" t="s">
        <v>60</v>
      </c>
      <c r="C913" s="3">
        <v>37970</v>
      </c>
      <c r="D913" s="3">
        <v>38117</v>
      </c>
      <c r="E913" t="s">
        <v>17</v>
      </c>
      <c r="F913">
        <v>34.049999999999997</v>
      </c>
      <c r="G913">
        <v>1148.8</v>
      </c>
      <c r="H913">
        <v>39117</v>
      </c>
      <c r="I913" s="4">
        <v>38686</v>
      </c>
      <c r="J913" s="5">
        <f t="shared" si="28"/>
        <v>569</v>
      </c>
      <c r="K913" s="6" t="str">
        <f t="shared" si="29"/>
        <v>H361~</v>
      </c>
      <c r="L913" t="str">
        <f>IF(J913&lt;0,"A~0",VLOOKUP(J913,[1]作法V!$B$1:$C$9,2,TRUE))</f>
        <v>H361~</v>
      </c>
    </row>
    <row r="914" spans="1:12">
      <c r="A914">
        <v>1060</v>
      </c>
      <c r="B914" t="s">
        <v>60</v>
      </c>
      <c r="C914" s="3">
        <v>37972</v>
      </c>
      <c r="D914" s="3">
        <v>38117</v>
      </c>
      <c r="E914" t="s">
        <v>17</v>
      </c>
      <c r="F914">
        <v>34.049999999999997</v>
      </c>
      <c r="G914">
        <v>1263.68</v>
      </c>
      <c r="H914">
        <v>43028</v>
      </c>
      <c r="I914" s="4">
        <v>38686</v>
      </c>
      <c r="J914" s="5">
        <f t="shared" si="28"/>
        <v>569</v>
      </c>
      <c r="K914" s="6" t="str">
        <f t="shared" si="29"/>
        <v>H361~</v>
      </c>
      <c r="L914" t="str">
        <f>IF(J914&lt;0,"A~0",VLOOKUP(J914,[1]作法V!$B$1:$C$9,2,TRUE))</f>
        <v>H361~</v>
      </c>
    </row>
    <row r="915" spans="1:12">
      <c r="A915">
        <v>1060</v>
      </c>
      <c r="B915" t="s">
        <v>60</v>
      </c>
      <c r="C915" s="3">
        <v>37978</v>
      </c>
      <c r="D915" s="3">
        <v>38117</v>
      </c>
      <c r="E915" t="s">
        <v>17</v>
      </c>
      <c r="F915">
        <v>33.965000000000003</v>
      </c>
      <c r="G915">
        <v>854.42</v>
      </c>
      <c r="H915">
        <v>29020</v>
      </c>
      <c r="I915" s="4">
        <v>38686</v>
      </c>
      <c r="J915" s="5">
        <f t="shared" si="28"/>
        <v>569</v>
      </c>
      <c r="K915" s="6" t="str">
        <f t="shared" si="29"/>
        <v>H361~</v>
      </c>
      <c r="L915" t="str">
        <f>IF(J915&lt;0,"A~0",VLOOKUP(J915,[1]作法V!$B$1:$C$9,2,TRUE))</f>
        <v>H361~</v>
      </c>
    </row>
    <row r="916" spans="1:12">
      <c r="A916">
        <v>1060</v>
      </c>
      <c r="B916" t="s">
        <v>60</v>
      </c>
      <c r="C916" s="3">
        <v>37978</v>
      </c>
      <c r="D916" s="3">
        <v>38117</v>
      </c>
      <c r="E916" t="s">
        <v>17</v>
      </c>
      <c r="F916">
        <v>33.965000000000003</v>
      </c>
      <c r="G916">
        <v>1048.28</v>
      </c>
      <c r="H916">
        <v>35605</v>
      </c>
      <c r="I916" s="4">
        <v>38686</v>
      </c>
      <c r="J916" s="5">
        <f t="shared" si="28"/>
        <v>569</v>
      </c>
      <c r="K916" s="6" t="str">
        <f t="shared" si="29"/>
        <v>H361~</v>
      </c>
      <c r="L916" t="str">
        <f>IF(J916&lt;0,"A~0",VLOOKUP(J916,[1]作法V!$B$1:$C$9,2,TRUE))</f>
        <v>H361~</v>
      </c>
    </row>
    <row r="917" spans="1:12">
      <c r="A917">
        <v>1060</v>
      </c>
      <c r="B917" t="s">
        <v>60</v>
      </c>
      <c r="C917" s="3">
        <v>37980</v>
      </c>
      <c r="D917" s="3">
        <v>38117</v>
      </c>
      <c r="E917" t="s">
        <v>17</v>
      </c>
      <c r="F917">
        <v>33.965000000000003</v>
      </c>
      <c r="G917">
        <v>1838.08</v>
      </c>
      <c r="H917">
        <v>62430</v>
      </c>
      <c r="I917" s="4">
        <v>38686</v>
      </c>
      <c r="J917" s="5">
        <f t="shared" si="28"/>
        <v>569</v>
      </c>
      <c r="K917" s="6" t="str">
        <f t="shared" si="29"/>
        <v>H361~</v>
      </c>
      <c r="L917" t="str">
        <f>IF(J917&lt;0,"A~0",VLOOKUP(J917,[1]作法V!$B$1:$C$9,2,TRUE))</f>
        <v>H361~</v>
      </c>
    </row>
    <row r="918" spans="1:12">
      <c r="A918">
        <v>1060</v>
      </c>
      <c r="B918" t="s">
        <v>60</v>
      </c>
      <c r="C918" s="3">
        <v>38021</v>
      </c>
      <c r="D918" s="3">
        <v>38148</v>
      </c>
      <c r="E918" t="s">
        <v>17</v>
      </c>
      <c r="F918">
        <v>33.664999999999999</v>
      </c>
      <c r="G918">
        <v>28.72</v>
      </c>
      <c r="H918">
        <v>967</v>
      </c>
      <c r="I918" s="4">
        <v>38686</v>
      </c>
      <c r="J918" s="5">
        <f t="shared" si="28"/>
        <v>538</v>
      </c>
      <c r="K918" s="6" t="str">
        <f t="shared" si="29"/>
        <v>H361~</v>
      </c>
      <c r="L918" t="str">
        <f>IF(J918&lt;0,"A~0",VLOOKUP(J918,[1]作法V!$B$1:$C$9,2,TRUE))</f>
        <v>H361~</v>
      </c>
    </row>
    <row r="919" spans="1:12">
      <c r="A919">
        <v>1060</v>
      </c>
      <c r="B919" t="s">
        <v>60</v>
      </c>
      <c r="C919" s="3">
        <v>38021</v>
      </c>
      <c r="D919" s="3">
        <v>38148</v>
      </c>
      <c r="E919" t="s">
        <v>17</v>
      </c>
      <c r="F919">
        <v>33.664999999999999</v>
      </c>
      <c r="G919">
        <v>50.26</v>
      </c>
      <c r="H919">
        <v>1692</v>
      </c>
      <c r="I919" s="4">
        <v>38686</v>
      </c>
      <c r="J919" s="5">
        <f t="shared" si="28"/>
        <v>538</v>
      </c>
      <c r="K919" s="6" t="str">
        <f t="shared" si="29"/>
        <v>H361~</v>
      </c>
      <c r="L919" t="str">
        <f>IF(J919&lt;0,"A~0",VLOOKUP(J919,[1]作法V!$B$1:$C$9,2,TRUE))</f>
        <v>H361~</v>
      </c>
    </row>
    <row r="920" spans="1:12">
      <c r="A920">
        <v>1060</v>
      </c>
      <c r="B920" t="s">
        <v>60</v>
      </c>
      <c r="C920" s="3">
        <v>38429</v>
      </c>
      <c r="D920" s="3">
        <v>38574</v>
      </c>
      <c r="E920" t="s">
        <v>17</v>
      </c>
      <c r="F920">
        <v>30.91</v>
      </c>
      <c r="G920">
        <v>100</v>
      </c>
      <c r="H920">
        <v>3091</v>
      </c>
      <c r="I920" s="4">
        <v>38686</v>
      </c>
      <c r="J920" s="5">
        <f t="shared" si="28"/>
        <v>112</v>
      </c>
      <c r="K920" s="6" t="str">
        <f t="shared" si="29"/>
        <v>E91~120</v>
      </c>
      <c r="L920" t="str">
        <f>IF(J920&lt;0,"A~0",VLOOKUP(J920,[1]作法V!$B$1:$C$9,2,TRUE))</f>
        <v>E91~120</v>
      </c>
    </row>
    <row r="921" spans="1:12">
      <c r="A921">
        <v>1060</v>
      </c>
      <c r="B921" t="s">
        <v>60</v>
      </c>
      <c r="C921" s="3">
        <v>38443</v>
      </c>
      <c r="D921" s="3">
        <v>38574</v>
      </c>
      <c r="E921" t="s">
        <v>17</v>
      </c>
      <c r="F921">
        <v>31.44</v>
      </c>
      <c r="G921">
        <v>50</v>
      </c>
      <c r="H921">
        <v>1572</v>
      </c>
      <c r="I921" s="4">
        <v>38686</v>
      </c>
      <c r="J921" s="5">
        <f t="shared" si="28"/>
        <v>112</v>
      </c>
      <c r="K921" s="6" t="str">
        <f t="shared" si="29"/>
        <v>E91~120</v>
      </c>
      <c r="L921" t="str">
        <f>IF(J921&lt;0,"A~0",VLOOKUP(J921,[1]作法V!$B$1:$C$9,2,TRUE))</f>
        <v>E91~120</v>
      </c>
    </row>
    <row r="922" spans="1:12">
      <c r="A922">
        <v>1060</v>
      </c>
      <c r="B922" t="s">
        <v>60</v>
      </c>
      <c r="C922" s="3">
        <v>38467</v>
      </c>
      <c r="D922" s="3">
        <v>38605</v>
      </c>
      <c r="E922" t="s">
        <v>17</v>
      </c>
      <c r="F922">
        <v>31.67</v>
      </c>
      <c r="G922">
        <v>63</v>
      </c>
      <c r="H922">
        <v>1995</v>
      </c>
      <c r="I922" s="4">
        <v>38686</v>
      </c>
      <c r="J922" s="5">
        <f t="shared" si="28"/>
        <v>81</v>
      </c>
      <c r="K922" s="6" t="str">
        <f t="shared" si="29"/>
        <v>D61~90</v>
      </c>
      <c r="L922" t="str">
        <f>IF(J922&lt;0,"A~0",VLOOKUP(J922,[1]作法V!$B$1:$C$9,2,TRUE))</f>
        <v>D61-90</v>
      </c>
    </row>
    <row r="923" spans="1:12">
      <c r="A923">
        <v>1060</v>
      </c>
      <c r="B923" t="s">
        <v>60</v>
      </c>
      <c r="C923" s="3">
        <v>38467</v>
      </c>
      <c r="D923" s="3">
        <v>38605</v>
      </c>
      <c r="E923" t="s">
        <v>17</v>
      </c>
      <c r="F923">
        <v>31.67</v>
      </c>
      <c r="G923">
        <v>10</v>
      </c>
      <c r="H923">
        <v>317</v>
      </c>
      <c r="I923" s="4">
        <v>38686</v>
      </c>
      <c r="J923" s="5">
        <f t="shared" si="28"/>
        <v>81</v>
      </c>
      <c r="K923" s="6" t="str">
        <f t="shared" si="29"/>
        <v>D61~90</v>
      </c>
      <c r="L923" t="str">
        <f>IF(J923&lt;0,"A~0",VLOOKUP(J923,[1]作法V!$B$1:$C$9,2,TRUE))</f>
        <v>D61-90</v>
      </c>
    </row>
    <row r="924" spans="1:12">
      <c r="A924">
        <v>1061</v>
      </c>
      <c r="B924" t="s">
        <v>61</v>
      </c>
      <c r="C924" s="3">
        <v>37728</v>
      </c>
      <c r="D924" s="3">
        <v>37797</v>
      </c>
      <c r="E924" t="s">
        <v>18</v>
      </c>
      <c r="F924">
        <v>1</v>
      </c>
      <c r="G924">
        <v>163800</v>
      </c>
      <c r="H924">
        <v>163800</v>
      </c>
      <c r="I924" s="4">
        <v>38686</v>
      </c>
      <c r="J924" s="5">
        <f t="shared" si="28"/>
        <v>889</v>
      </c>
      <c r="K924" s="6" t="str">
        <f t="shared" si="29"/>
        <v>H361~</v>
      </c>
      <c r="L924" t="str">
        <f>IF(J924&lt;0,"A~0",VLOOKUP(J924,[1]作法V!$B$1:$C$9,2,TRUE))</f>
        <v>H361~</v>
      </c>
    </row>
    <row r="925" spans="1:12">
      <c r="A925">
        <v>1061</v>
      </c>
      <c r="B925" t="s">
        <v>61</v>
      </c>
      <c r="C925" s="3">
        <v>37834</v>
      </c>
      <c r="D925" s="3">
        <v>37919</v>
      </c>
      <c r="E925" t="s">
        <v>18</v>
      </c>
      <c r="F925">
        <v>1</v>
      </c>
      <c r="G925">
        <v>0.46</v>
      </c>
      <c r="H925">
        <v>0</v>
      </c>
      <c r="I925" s="4">
        <v>38686</v>
      </c>
      <c r="J925" s="5">
        <f t="shared" si="28"/>
        <v>767</v>
      </c>
      <c r="K925" s="6" t="str">
        <f t="shared" si="29"/>
        <v>H361~</v>
      </c>
      <c r="L925" t="str">
        <f>IF(J925&lt;0,"A~0",VLOOKUP(J925,[1]作法V!$B$1:$C$9,2,TRUE))</f>
        <v>H361~</v>
      </c>
    </row>
    <row r="926" spans="1:12">
      <c r="A926">
        <v>1061</v>
      </c>
      <c r="B926" t="s">
        <v>61</v>
      </c>
      <c r="C926" s="3">
        <v>37834</v>
      </c>
      <c r="D926" s="3">
        <v>37919</v>
      </c>
      <c r="E926" t="s">
        <v>18</v>
      </c>
      <c r="F926">
        <v>1</v>
      </c>
      <c r="G926">
        <v>-0.26</v>
      </c>
      <c r="H926">
        <v>0</v>
      </c>
      <c r="I926" s="4">
        <v>38686</v>
      </c>
      <c r="J926" s="5">
        <f t="shared" si="28"/>
        <v>767</v>
      </c>
      <c r="K926" s="6" t="str">
        <f t="shared" si="29"/>
        <v>H361~</v>
      </c>
      <c r="L926" t="str">
        <f>IF(J926&lt;0,"A~0",VLOOKUP(J926,[1]作法V!$B$1:$C$9,2,TRUE))</f>
        <v>H361~</v>
      </c>
    </row>
    <row r="927" spans="1:12">
      <c r="A927">
        <v>1061</v>
      </c>
      <c r="B927" t="s">
        <v>61</v>
      </c>
      <c r="C927" s="3">
        <v>37834</v>
      </c>
      <c r="D927" s="3">
        <v>37919</v>
      </c>
      <c r="E927" t="s">
        <v>18</v>
      </c>
      <c r="F927">
        <v>1</v>
      </c>
      <c r="G927">
        <v>-0.4</v>
      </c>
      <c r="H927">
        <v>0</v>
      </c>
      <c r="I927" s="4">
        <v>38686</v>
      </c>
      <c r="J927" s="5">
        <f t="shared" si="28"/>
        <v>767</v>
      </c>
      <c r="K927" s="6" t="str">
        <f t="shared" si="29"/>
        <v>H361~</v>
      </c>
      <c r="L927" t="str">
        <f>IF(J927&lt;0,"A~0",VLOOKUP(J927,[1]作法V!$B$1:$C$9,2,TRUE))</f>
        <v>H361~</v>
      </c>
    </row>
    <row r="928" spans="1:12">
      <c r="A928">
        <v>1061</v>
      </c>
      <c r="B928" t="s">
        <v>61</v>
      </c>
      <c r="C928" s="3">
        <v>37834</v>
      </c>
      <c r="D928" s="3">
        <v>37919</v>
      </c>
      <c r="E928" t="s">
        <v>18</v>
      </c>
      <c r="F928">
        <v>1</v>
      </c>
      <c r="G928">
        <v>0.4</v>
      </c>
      <c r="H928">
        <v>0</v>
      </c>
      <c r="I928" s="4">
        <v>38686</v>
      </c>
      <c r="J928" s="5">
        <f t="shared" si="28"/>
        <v>767</v>
      </c>
      <c r="K928" s="6" t="str">
        <f t="shared" si="29"/>
        <v>H361~</v>
      </c>
      <c r="L928" t="str">
        <f>IF(J928&lt;0,"A~0",VLOOKUP(J928,[1]作法V!$B$1:$C$9,2,TRUE))</f>
        <v>H361~</v>
      </c>
    </row>
    <row r="929" spans="1:12">
      <c r="A929">
        <v>1061</v>
      </c>
      <c r="B929" t="s">
        <v>61</v>
      </c>
      <c r="C929" s="3">
        <v>37867</v>
      </c>
      <c r="D929" s="3">
        <v>37980</v>
      </c>
      <c r="E929" t="s">
        <v>18</v>
      </c>
      <c r="F929">
        <v>1</v>
      </c>
      <c r="G929">
        <v>1100</v>
      </c>
      <c r="H929">
        <v>1100</v>
      </c>
      <c r="I929" s="4">
        <v>38686</v>
      </c>
      <c r="J929" s="5">
        <f t="shared" si="28"/>
        <v>706</v>
      </c>
      <c r="K929" s="6" t="str">
        <f t="shared" si="29"/>
        <v>H361~</v>
      </c>
      <c r="L929" t="str">
        <f>IF(J929&lt;0,"A~0",VLOOKUP(J929,[1]作法V!$B$1:$C$9,2,TRUE))</f>
        <v>H361~</v>
      </c>
    </row>
    <row r="930" spans="1:12">
      <c r="A930">
        <v>1061</v>
      </c>
      <c r="B930" t="s">
        <v>61</v>
      </c>
      <c r="C930" s="3">
        <v>37867</v>
      </c>
      <c r="D930" s="3">
        <v>37980</v>
      </c>
      <c r="E930" t="s">
        <v>18</v>
      </c>
      <c r="F930">
        <v>1</v>
      </c>
      <c r="G930">
        <v>1170</v>
      </c>
      <c r="H930">
        <v>1170</v>
      </c>
      <c r="I930" s="4">
        <v>38686</v>
      </c>
      <c r="J930" s="5">
        <f t="shared" si="28"/>
        <v>706</v>
      </c>
      <c r="K930" s="6" t="str">
        <f t="shared" si="29"/>
        <v>H361~</v>
      </c>
      <c r="L930" t="str">
        <f>IF(J930&lt;0,"A~0",VLOOKUP(J930,[1]作法V!$B$1:$C$9,2,TRUE))</f>
        <v>H361~</v>
      </c>
    </row>
    <row r="931" spans="1:12">
      <c r="A931">
        <v>1061</v>
      </c>
      <c r="B931" t="s">
        <v>61</v>
      </c>
      <c r="C931" s="3">
        <v>37867</v>
      </c>
      <c r="D931" s="3">
        <v>37980</v>
      </c>
      <c r="E931" t="s">
        <v>18</v>
      </c>
      <c r="F931">
        <v>1</v>
      </c>
      <c r="G931">
        <v>1106</v>
      </c>
      <c r="H931">
        <v>1106</v>
      </c>
      <c r="I931" s="4">
        <v>38686</v>
      </c>
      <c r="J931" s="5">
        <f t="shared" si="28"/>
        <v>706</v>
      </c>
      <c r="K931" s="6" t="str">
        <f t="shared" si="29"/>
        <v>H361~</v>
      </c>
      <c r="L931" t="str">
        <f>IF(J931&lt;0,"A~0",VLOOKUP(J931,[1]作法V!$B$1:$C$9,2,TRUE))</f>
        <v>H361~</v>
      </c>
    </row>
    <row r="932" spans="1:12">
      <c r="A932">
        <v>1061</v>
      </c>
      <c r="B932" t="s">
        <v>61</v>
      </c>
      <c r="C932" s="3">
        <v>38538</v>
      </c>
      <c r="D932" s="3">
        <v>38681</v>
      </c>
      <c r="E932" t="s">
        <v>17</v>
      </c>
      <c r="F932">
        <v>31.31</v>
      </c>
      <c r="G932">
        <v>79.22</v>
      </c>
      <c r="H932">
        <v>2480</v>
      </c>
      <c r="I932" s="4">
        <v>38686</v>
      </c>
      <c r="J932" s="5">
        <f t="shared" si="28"/>
        <v>5</v>
      </c>
      <c r="K932" s="6" t="str">
        <f t="shared" si="29"/>
        <v>B1~30</v>
      </c>
      <c r="L932" t="str">
        <f>IF(J932&lt;0,"A~0",VLOOKUP(J932,[1]作法V!$B$1:$C$9,2,TRUE))</f>
        <v>B1~30</v>
      </c>
    </row>
    <row r="933" spans="1:12">
      <c r="A933">
        <v>1061</v>
      </c>
      <c r="B933" t="s">
        <v>61</v>
      </c>
      <c r="C933" s="3">
        <v>38538</v>
      </c>
      <c r="D933" s="3">
        <v>38681</v>
      </c>
      <c r="E933" t="s">
        <v>17</v>
      </c>
      <c r="F933">
        <v>31.31</v>
      </c>
      <c r="G933">
        <v>158.44</v>
      </c>
      <c r="H933">
        <v>4961</v>
      </c>
      <c r="I933" s="4">
        <v>38686</v>
      </c>
      <c r="J933" s="5">
        <f t="shared" si="28"/>
        <v>5</v>
      </c>
      <c r="K933" s="6" t="str">
        <f t="shared" si="29"/>
        <v>B1~30</v>
      </c>
      <c r="L933" t="str">
        <f>IF(J933&lt;0,"A~0",VLOOKUP(J933,[1]作法V!$B$1:$C$9,2,TRUE))</f>
        <v>B1~30</v>
      </c>
    </row>
    <row r="934" spans="1:12">
      <c r="A934">
        <v>1061</v>
      </c>
      <c r="B934" t="s">
        <v>61</v>
      </c>
      <c r="C934" s="3">
        <v>38538</v>
      </c>
      <c r="D934" s="3">
        <v>38681</v>
      </c>
      <c r="E934" t="s">
        <v>17</v>
      </c>
      <c r="F934">
        <v>31.31</v>
      </c>
      <c r="G934">
        <v>184.59</v>
      </c>
      <c r="H934">
        <v>5780</v>
      </c>
      <c r="I934" s="4">
        <v>38686</v>
      </c>
      <c r="J934" s="5">
        <f t="shared" si="28"/>
        <v>5</v>
      </c>
      <c r="K934" s="6" t="str">
        <f t="shared" si="29"/>
        <v>B1~30</v>
      </c>
      <c r="L934" t="str">
        <f>IF(J934&lt;0,"A~0",VLOOKUP(J934,[1]作法V!$B$1:$C$9,2,TRUE))</f>
        <v>B1~30</v>
      </c>
    </row>
    <row r="935" spans="1:12">
      <c r="A935">
        <v>1061</v>
      </c>
      <c r="B935" t="s">
        <v>61</v>
      </c>
      <c r="C935" s="3">
        <v>38552</v>
      </c>
      <c r="D935" s="3">
        <v>38681</v>
      </c>
      <c r="E935" t="s">
        <v>17</v>
      </c>
      <c r="F935">
        <v>31.95</v>
      </c>
      <c r="G935">
        <v>61.53</v>
      </c>
      <c r="H935">
        <v>1966</v>
      </c>
      <c r="I935" s="4">
        <v>38686</v>
      </c>
      <c r="J935" s="5">
        <f t="shared" si="28"/>
        <v>5</v>
      </c>
      <c r="K935" s="6" t="str">
        <f t="shared" si="29"/>
        <v>B1~30</v>
      </c>
      <c r="L935" t="str">
        <f>IF(J935&lt;0,"A~0",VLOOKUP(J935,[1]作法V!$B$1:$C$9,2,TRUE))</f>
        <v>B1~30</v>
      </c>
    </row>
    <row r="936" spans="1:12">
      <c r="A936">
        <v>1061</v>
      </c>
      <c r="B936" t="s">
        <v>61</v>
      </c>
      <c r="C936" s="3">
        <v>38558</v>
      </c>
      <c r="D936" s="3">
        <v>38711</v>
      </c>
      <c r="E936" t="s">
        <v>17</v>
      </c>
      <c r="F936">
        <v>31.89</v>
      </c>
      <c r="G936">
        <v>426</v>
      </c>
      <c r="H936">
        <v>13585</v>
      </c>
      <c r="I936" s="4">
        <v>38686</v>
      </c>
      <c r="J936" s="5">
        <f t="shared" si="28"/>
        <v>-25</v>
      </c>
      <c r="K936" s="6" t="str">
        <f t="shared" si="29"/>
        <v>A~0</v>
      </c>
      <c r="L936" t="str">
        <f>IF(J936&lt;0,"A~0",VLOOKUP(J936,[1]作法V!$B$1:$C$9,2,TRUE))</f>
        <v>A~0</v>
      </c>
    </row>
    <row r="937" spans="1:12">
      <c r="A937">
        <v>1061</v>
      </c>
      <c r="B937" t="s">
        <v>61</v>
      </c>
      <c r="C937" s="3">
        <v>38565</v>
      </c>
      <c r="D937" s="3">
        <v>38711</v>
      </c>
      <c r="E937" t="s">
        <v>17</v>
      </c>
      <c r="F937">
        <v>31.684999999999999</v>
      </c>
      <c r="G937">
        <v>142</v>
      </c>
      <c r="H937">
        <v>4499</v>
      </c>
      <c r="I937" s="4">
        <v>38686</v>
      </c>
      <c r="J937" s="5">
        <f t="shared" si="28"/>
        <v>-25</v>
      </c>
      <c r="K937" s="6" t="str">
        <f t="shared" si="29"/>
        <v>A~0</v>
      </c>
      <c r="L937" t="str">
        <f>IF(J937&lt;0,"A~0",VLOOKUP(J937,[1]作法V!$B$1:$C$9,2,TRUE))</f>
        <v>A~0</v>
      </c>
    </row>
    <row r="938" spans="1:12">
      <c r="A938">
        <v>1061</v>
      </c>
      <c r="B938" t="s">
        <v>61</v>
      </c>
      <c r="C938" s="3">
        <v>38565</v>
      </c>
      <c r="D938" s="3">
        <v>38711</v>
      </c>
      <c r="E938" t="s">
        <v>17</v>
      </c>
      <c r="F938">
        <v>31.684999999999999</v>
      </c>
      <c r="G938">
        <v>113.6</v>
      </c>
      <c r="H938">
        <v>3599</v>
      </c>
      <c r="I938" s="4">
        <v>38686</v>
      </c>
      <c r="J938" s="5">
        <f t="shared" si="28"/>
        <v>-25</v>
      </c>
      <c r="K938" s="6" t="str">
        <f t="shared" si="29"/>
        <v>A~0</v>
      </c>
      <c r="L938" t="str">
        <f>IF(J938&lt;0,"A~0",VLOOKUP(J938,[1]作法V!$B$1:$C$9,2,TRUE))</f>
        <v>A~0</v>
      </c>
    </row>
    <row r="939" spans="1:12">
      <c r="A939">
        <v>1061</v>
      </c>
      <c r="B939" t="s">
        <v>61</v>
      </c>
      <c r="C939" s="3">
        <v>38565</v>
      </c>
      <c r="D939" s="3">
        <v>38711</v>
      </c>
      <c r="E939" t="s">
        <v>17</v>
      </c>
      <c r="F939">
        <v>31.684999999999999</v>
      </c>
      <c r="G939">
        <v>142</v>
      </c>
      <c r="H939">
        <v>4499</v>
      </c>
      <c r="I939" s="4">
        <v>38686</v>
      </c>
      <c r="J939" s="5">
        <f t="shared" si="28"/>
        <v>-25</v>
      </c>
      <c r="K939" s="6" t="str">
        <f t="shared" si="29"/>
        <v>A~0</v>
      </c>
      <c r="L939" t="str">
        <f>IF(J939&lt;0,"A~0",VLOOKUP(J939,[1]作法V!$B$1:$C$9,2,TRUE))</f>
        <v>A~0</v>
      </c>
    </row>
    <row r="940" spans="1:12">
      <c r="A940">
        <v>1061</v>
      </c>
      <c r="B940" t="s">
        <v>61</v>
      </c>
      <c r="C940" s="3">
        <v>38572</v>
      </c>
      <c r="D940" s="3">
        <v>38711</v>
      </c>
      <c r="E940" t="s">
        <v>17</v>
      </c>
      <c r="F940">
        <v>31.684999999999999</v>
      </c>
      <c r="G940">
        <v>142</v>
      </c>
      <c r="H940">
        <v>4499</v>
      </c>
      <c r="I940" s="4">
        <v>38686</v>
      </c>
      <c r="J940" s="5">
        <f t="shared" si="28"/>
        <v>-25</v>
      </c>
      <c r="K940" s="6" t="str">
        <f t="shared" si="29"/>
        <v>A~0</v>
      </c>
      <c r="L940" t="str">
        <f>IF(J940&lt;0,"A~0",VLOOKUP(J940,[1]作法V!$B$1:$C$9,2,TRUE))</f>
        <v>A~0</v>
      </c>
    </row>
    <row r="941" spans="1:12">
      <c r="A941">
        <v>1061</v>
      </c>
      <c r="B941" t="s">
        <v>61</v>
      </c>
      <c r="C941" s="3">
        <v>38572</v>
      </c>
      <c r="D941" s="3">
        <v>38711</v>
      </c>
      <c r="E941" t="s">
        <v>17</v>
      </c>
      <c r="F941">
        <v>31.684999999999999</v>
      </c>
      <c r="G941">
        <v>174.8</v>
      </c>
      <c r="H941">
        <v>5539</v>
      </c>
      <c r="I941" s="4">
        <v>38686</v>
      </c>
      <c r="J941" s="5">
        <f t="shared" si="28"/>
        <v>-25</v>
      </c>
      <c r="K941" s="6" t="str">
        <f t="shared" si="29"/>
        <v>A~0</v>
      </c>
      <c r="L941" t="str">
        <f>IF(J941&lt;0,"A~0",VLOOKUP(J941,[1]作法V!$B$1:$C$9,2,TRUE))</f>
        <v>A~0</v>
      </c>
    </row>
    <row r="942" spans="1:12">
      <c r="A942">
        <v>1061</v>
      </c>
      <c r="B942" t="s">
        <v>61</v>
      </c>
      <c r="C942" s="3">
        <v>38572</v>
      </c>
      <c r="D942" s="3">
        <v>38711</v>
      </c>
      <c r="E942" t="s">
        <v>17</v>
      </c>
      <c r="F942">
        <v>31.684999999999999</v>
      </c>
      <c r="G942">
        <v>155.13999999999999</v>
      </c>
      <c r="H942">
        <v>4916</v>
      </c>
      <c r="I942" s="4">
        <v>38686</v>
      </c>
      <c r="J942" s="5">
        <f t="shared" si="28"/>
        <v>-25</v>
      </c>
      <c r="K942" s="6" t="str">
        <f t="shared" si="29"/>
        <v>A~0</v>
      </c>
      <c r="L942" t="str">
        <f>IF(J942&lt;0,"A~0",VLOOKUP(J942,[1]作法V!$B$1:$C$9,2,TRUE))</f>
        <v>A~0</v>
      </c>
    </row>
    <row r="943" spans="1:12">
      <c r="A943">
        <v>1061</v>
      </c>
      <c r="B943" t="s">
        <v>61</v>
      </c>
      <c r="C943" s="3">
        <v>38579</v>
      </c>
      <c r="D943" s="3">
        <v>38711</v>
      </c>
      <c r="E943" t="s">
        <v>17</v>
      </c>
      <c r="F943">
        <v>31.875</v>
      </c>
      <c r="G943">
        <v>227.2</v>
      </c>
      <c r="H943">
        <v>7242</v>
      </c>
      <c r="I943" s="4">
        <v>38686</v>
      </c>
      <c r="J943" s="5">
        <f t="shared" si="28"/>
        <v>-25</v>
      </c>
      <c r="K943" s="6" t="str">
        <f t="shared" si="29"/>
        <v>A~0</v>
      </c>
      <c r="L943" t="str">
        <f>IF(J943&lt;0,"A~0",VLOOKUP(J943,[1]作法V!$B$1:$C$9,2,TRUE))</f>
        <v>A~0</v>
      </c>
    </row>
    <row r="944" spans="1:12">
      <c r="A944">
        <v>1061</v>
      </c>
      <c r="B944" t="s">
        <v>61</v>
      </c>
      <c r="C944" s="3">
        <v>38586</v>
      </c>
      <c r="D944" s="3">
        <v>38711</v>
      </c>
      <c r="E944" t="s">
        <v>17</v>
      </c>
      <c r="F944">
        <v>31.905000000000001</v>
      </c>
      <c r="G944">
        <v>142</v>
      </c>
      <c r="H944">
        <v>4531</v>
      </c>
      <c r="I944" s="4">
        <v>38686</v>
      </c>
      <c r="J944" s="5">
        <f t="shared" si="28"/>
        <v>-25</v>
      </c>
      <c r="K944" s="6" t="str">
        <f t="shared" si="29"/>
        <v>A~0</v>
      </c>
      <c r="L944" t="str">
        <f>IF(J944&lt;0,"A~0",VLOOKUP(J944,[1]作法V!$B$1:$C$9,2,TRUE))</f>
        <v>A~0</v>
      </c>
    </row>
    <row r="945" spans="1:12">
      <c r="A945">
        <v>1061</v>
      </c>
      <c r="B945" t="s">
        <v>61</v>
      </c>
      <c r="C945" s="3">
        <v>38597</v>
      </c>
      <c r="D945" s="3">
        <v>38742</v>
      </c>
      <c r="E945" t="s">
        <v>17</v>
      </c>
      <c r="F945">
        <v>32.195</v>
      </c>
      <c r="G945">
        <v>426</v>
      </c>
      <c r="H945">
        <v>13715</v>
      </c>
      <c r="I945" s="4">
        <v>38686</v>
      </c>
      <c r="J945" s="5">
        <f t="shared" si="28"/>
        <v>-56</v>
      </c>
      <c r="K945" s="6" t="str">
        <f t="shared" si="29"/>
        <v>A~0</v>
      </c>
      <c r="L945" t="str">
        <f>IF(J945&lt;0,"A~0",VLOOKUP(J945,[1]作法V!$B$1:$C$9,2,TRUE))</f>
        <v>A~0</v>
      </c>
    </row>
    <row r="946" spans="1:12">
      <c r="A946">
        <v>1061</v>
      </c>
      <c r="B946" t="s">
        <v>61</v>
      </c>
      <c r="C946" s="3">
        <v>38600</v>
      </c>
      <c r="D946" s="3">
        <v>38742</v>
      </c>
      <c r="E946" t="s">
        <v>17</v>
      </c>
      <c r="F946">
        <v>32.195</v>
      </c>
      <c r="G946">
        <v>426</v>
      </c>
      <c r="H946">
        <v>13715</v>
      </c>
      <c r="I946" s="4">
        <v>38686</v>
      </c>
      <c r="J946" s="5">
        <f t="shared" si="28"/>
        <v>-56</v>
      </c>
      <c r="K946" s="6" t="str">
        <f t="shared" si="29"/>
        <v>A~0</v>
      </c>
      <c r="L946" t="str">
        <f>IF(J946&lt;0,"A~0",VLOOKUP(J946,[1]作法V!$B$1:$C$9,2,TRUE))</f>
        <v>A~0</v>
      </c>
    </row>
    <row r="947" spans="1:12">
      <c r="A947">
        <v>1061</v>
      </c>
      <c r="B947" t="s">
        <v>61</v>
      </c>
      <c r="C947" s="3">
        <v>38602</v>
      </c>
      <c r="D947" s="3">
        <v>38742</v>
      </c>
      <c r="E947" t="s">
        <v>18</v>
      </c>
      <c r="F947">
        <v>1</v>
      </c>
      <c r="G947">
        <v>8442</v>
      </c>
      <c r="H947">
        <v>8442</v>
      </c>
      <c r="I947" s="4">
        <v>38686</v>
      </c>
      <c r="J947" s="5">
        <f t="shared" si="28"/>
        <v>-56</v>
      </c>
      <c r="K947" s="6" t="str">
        <f t="shared" si="29"/>
        <v>A~0</v>
      </c>
      <c r="L947" t="str">
        <f>IF(J947&lt;0,"A~0",VLOOKUP(J947,[1]作法V!$B$1:$C$9,2,TRUE))</f>
        <v>A~0</v>
      </c>
    </row>
    <row r="948" spans="1:12">
      <c r="A948">
        <v>1061</v>
      </c>
      <c r="B948" t="s">
        <v>61</v>
      </c>
      <c r="C948" s="3">
        <v>38602</v>
      </c>
      <c r="D948" s="3">
        <v>38742</v>
      </c>
      <c r="E948" t="s">
        <v>18</v>
      </c>
      <c r="F948">
        <v>1</v>
      </c>
      <c r="G948">
        <v>2268</v>
      </c>
      <c r="H948">
        <v>2268</v>
      </c>
      <c r="I948" s="4">
        <v>38686</v>
      </c>
      <c r="J948" s="5">
        <f t="shared" si="28"/>
        <v>-56</v>
      </c>
      <c r="K948" s="6" t="str">
        <f t="shared" si="29"/>
        <v>A~0</v>
      </c>
      <c r="L948" t="str">
        <f>IF(J948&lt;0,"A~0",VLOOKUP(J948,[1]作法V!$B$1:$C$9,2,TRUE))</f>
        <v>A~0</v>
      </c>
    </row>
    <row r="949" spans="1:12">
      <c r="A949">
        <v>1061</v>
      </c>
      <c r="B949" t="s">
        <v>61</v>
      </c>
      <c r="C949" s="3">
        <v>38602</v>
      </c>
      <c r="D949" s="3">
        <v>38742</v>
      </c>
      <c r="E949" t="s">
        <v>18</v>
      </c>
      <c r="F949">
        <v>1</v>
      </c>
      <c r="G949">
        <v>5544</v>
      </c>
      <c r="H949">
        <v>5544</v>
      </c>
      <c r="I949" s="4">
        <v>38686</v>
      </c>
      <c r="J949" s="5">
        <f t="shared" si="28"/>
        <v>-56</v>
      </c>
      <c r="K949" s="6" t="str">
        <f t="shared" si="29"/>
        <v>A~0</v>
      </c>
      <c r="L949" t="str">
        <f>IF(J949&lt;0,"A~0",VLOOKUP(J949,[1]作法V!$B$1:$C$9,2,TRUE))</f>
        <v>A~0</v>
      </c>
    </row>
    <row r="950" spans="1:12">
      <c r="A950">
        <v>1061</v>
      </c>
      <c r="B950" t="s">
        <v>61</v>
      </c>
      <c r="C950" s="3">
        <v>38603</v>
      </c>
      <c r="D950" s="3">
        <v>38742</v>
      </c>
      <c r="E950" t="s">
        <v>17</v>
      </c>
      <c r="F950">
        <v>32.195</v>
      </c>
      <c r="G950">
        <v>497</v>
      </c>
      <c r="H950">
        <v>16001</v>
      </c>
      <c r="I950" s="4">
        <v>38686</v>
      </c>
      <c r="J950" s="5">
        <f t="shared" si="28"/>
        <v>-56</v>
      </c>
      <c r="K950" s="6" t="str">
        <f t="shared" si="29"/>
        <v>A~0</v>
      </c>
      <c r="L950" t="str">
        <f>IF(J950&lt;0,"A~0",VLOOKUP(J950,[1]作法V!$B$1:$C$9,2,TRUE))</f>
        <v>A~0</v>
      </c>
    </row>
    <row r="951" spans="1:12">
      <c r="A951">
        <v>1061</v>
      </c>
      <c r="B951" t="s">
        <v>61</v>
      </c>
      <c r="C951" s="3">
        <v>38608</v>
      </c>
      <c r="D951" s="3">
        <v>38742</v>
      </c>
      <c r="E951" t="s">
        <v>17</v>
      </c>
      <c r="F951">
        <v>32.365000000000002</v>
      </c>
      <c r="G951">
        <v>255.6</v>
      </c>
      <c r="H951">
        <v>8272</v>
      </c>
      <c r="I951" s="4">
        <v>38686</v>
      </c>
      <c r="J951" s="5">
        <f t="shared" si="28"/>
        <v>-56</v>
      </c>
      <c r="K951" s="6" t="str">
        <f t="shared" si="29"/>
        <v>A~0</v>
      </c>
      <c r="L951" t="str">
        <f>IF(J951&lt;0,"A~0",VLOOKUP(J951,[1]作法V!$B$1:$C$9,2,TRUE))</f>
        <v>A~0</v>
      </c>
    </row>
    <row r="952" spans="1:12">
      <c r="A952">
        <v>1061</v>
      </c>
      <c r="B952" t="s">
        <v>61</v>
      </c>
      <c r="C952" s="3">
        <v>38611</v>
      </c>
      <c r="D952" s="3">
        <v>38742</v>
      </c>
      <c r="E952" t="s">
        <v>17</v>
      </c>
      <c r="F952">
        <v>32.365000000000002</v>
      </c>
      <c r="G952">
        <v>227.2</v>
      </c>
      <c r="H952">
        <v>7353</v>
      </c>
      <c r="I952" s="4">
        <v>38686</v>
      </c>
      <c r="J952" s="5">
        <f t="shared" si="28"/>
        <v>-56</v>
      </c>
      <c r="K952" s="6" t="str">
        <f t="shared" si="29"/>
        <v>A~0</v>
      </c>
      <c r="L952" t="str">
        <f>IF(J952&lt;0,"A~0",VLOOKUP(J952,[1]作法V!$B$1:$C$9,2,TRUE))</f>
        <v>A~0</v>
      </c>
    </row>
    <row r="953" spans="1:12">
      <c r="A953">
        <v>1061</v>
      </c>
      <c r="B953" t="s">
        <v>61</v>
      </c>
      <c r="C953" s="3">
        <v>38611</v>
      </c>
      <c r="D953" s="3">
        <v>38742</v>
      </c>
      <c r="E953" t="s">
        <v>17</v>
      </c>
      <c r="F953">
        <v>32.365000000000002</v>
      </c>
      <c r="G953">
        <v>930.82</v>
      </c>
      <c r="H953">
        <v>30126</v>
      </c>
      <c r="I953" s="4">
        <v>38686</v>
      </c>
      <c r="J953" s="5">
        <f t="shared" si="28"/>
        <v>-56</v>
      </c>
      <c r="K953" s="6" t="str">
        <f t="shared" si="29"/>
        <v>A~0</v>
      </c>
      <c r="L953" t="str">
        <f>IF(J953&lt;0,"A~0",VLOOKUP(J953,[1]作法V!$B$1:$C$9,2,TRUE))</f>
        <v>A~0</v>
      </c>
    </row>
    <row r="954" spans="1:12">
      <c r="A954">
        <v>1061</v>
      </c>
      <c r="B954" t="s">
        <v>61</v>
      </c>
      <c r="C954" s="3">
        <v>38611</v>
      </c>
      <c r="D954" s="3">
        <v>38742</v>
      </c>
      <c r="E954" t="s">
        <v>17</v>
      </c>
      <c r="F954">
        <v>32.365000000000002</v>
      </c>
      <c r="G954">
        <v>921.6</v>
      </c>
      <c r="H954">
        <v>29828</v>
      </c>
      <c r="I954" s="4">
        <v>38686</v>
      </c>
      <c r="J954" s="5">
        <f t="shared" si="28"/>
        <v>-56</v>
      </c>
      <c r="K954" s="6" t="str">
        <f t="shared" si="29"/>
        <v>A~0</v>
      </c>
      <c r="L954" t="str">
        <f>IF(J954&lt;0,"A~0",VLOOKUP(J954,[1]作法V!$B$1:$C$9,2,TRUE))</f>
        <v>A~0</v>
      </c>
    </row>
    <row r="955" spans="1:12">
      <c r="A955">
        <v>1061</v>
      </c>
      <c r="B955" t="s">
        <v>61</v>
      </c>
      <c r="C955" s="3">
        <v>38611</v>
      </c>
      <c r="D955" s="3">
        <v>38742</v>
      </c>
      <c r="E955" t="s">
        <v>17</v>
      </c>
      <c r="F955">
        <v>32.365000000000002</v>
      </c>
      <c r="G955">
        <v>961.4</v>
      </c>
      <c r="H955">
        <v>31116</v>
      </c>
      <c r="I955" s="4">
        <v>38686</v>
      </c>
      <c r="J955" s="5">
        <f t="shared" si="28"/>
        <v>-56</v>
      </c>
      <c r="K955" s="6" t="str">
        <f t="shared" si="29"/>
        <v>A~0</v>
      </c>
      <c r="L955" t="str">
        <f>IF(J955&lt;0,"A~0",VLOOKUP(J955,[1]作法V!$B$1:$C$9,2,TRUE))</f>
        <v>A~0</v>
      </c>
    </row>
    <row r="956" spans="1:12">
      <c r="A956">
        <v>1061</v>
      </c>
      <c r="B956" t="s">
        <v>61</v>
      </c>
      <c r="C956" s="3">
        <v>38611</v>
      </c>
      <c r="D956" s="3">
        <v>38742</v>
      </c>
      <c r="E956" t="s">
        <v>17</v>
      </c>
      <c r="F956">
        <v>32.365000000000002</v>
      </c>
      <c r="G956">
        <v>32.020000000000003</v>
      </c>
      <c r="H956">
        <v>1036</v>
      </c>
      <c r="I956" s="4">
        <v>38686</v>
      </c>
      <c r="J956" s="5">
        <f t="shared" si="28"/>
        <v>-56</v>
      </c>
      <c r="K956" s="6" t="str">
        <f t="shared" si="29"/>
        <v>A~0</v>
      </c>
      <c r="L956" t="str">
        <f>IF(J956&lt;0,"A~0",VLOOKUP(J956,[1]作法V!$B$1:$C$9,2,TRUE))</f>
        <v>A~0</v>
      </c>
    </row>
    <row r="957" spans="1:12">
      <c r="A957">
        <v>1061</v>
      </c>
      <c r="B957" t="s">
        <v>61</v>
      </c>
      <c r="C957" s="3">
        <v>38621</v>
      </c>
      <c r="D957" s="3">
        <v>38773</v>
      </c>
      <c r="E957" t="s">
        <v>17</v>
      </c>
      <c r="F957">
        <v>32.799999999999997</v>
      </c>
      <c r="G957">
        <v>482.8</v>
      </c>
      <c r="H957">
        <v>15836</v>
      </c>
      <c r="I957" s="4">
        <v>38686</v>
      </c>
      <c r="J957" s="5">
        <f t="shared" si="28"/>
        <v>-87</v>
      </c>
      <c r="K957" s="6" t="str">
        <f t="shared" si="29"/>
        <v>A~0</v>
      </c>
      <c r="L957" t="str">
        <f>IF(J957&lt;0,"A~0",VLOOKUP(J957,[1]作法V!$B$1:$C$9,2,TRUE))</f>
        <v>A~0</v>
      </c>
    </row>
    <row r="958" spans="1:12">
      <c r="A958">
        <v>1061</v>
      </c>
      <c r="B958" t="s">
        <v>61</v>
      </c>
      <c r="C958" s="3">
        <v>38621</v>
      </c>
      <c r="D958" s="3">
        <v>38773</v>
      </c>
      <c r="E958" t="s">
        <v>17</v>
      </c>
      <c r="F958">
        <v>32.799999999999997</v>
      </c>
      <c r="G958">
        <v>437</v>
      </c>
      <c r="H958">
        <v>14334</v>
      </c>
      <c r="I958" s="4">
        <v>38686</v>
      </c>
      <c r="J958" s="5">
        <f t="shared" si="28"/>
        <v>-87</v>
      </c>
      <c r="K958" s="6" t="str">
        <f t="shared" si="29"/>
        <v>A~0</v>
      </c>
      <c r="L958" t="str">
        <f>IF(J958&lt;0,"A~0",VLOOKUP(J958,[1]作法V!$B$1:$C$9,2,TRUE))</f>
        <v>A~0</v>
      </c>
    </row>
    <row r="959" spans="1:12">
      <c r="A959">
        <v>1061</v>
      </c>
      <c r="B959" t="s">
        <v>61</v>
      </c>
      <c r="C959" s="3">
        <v>38621</v>
      </c>
      <c r="D959" s="3">
        <v>38773</v>
      </c>
      <c r="E959" t="s">
        <v>17</v>
      </c>
      <c r="F959">
        <v>32.799999999999997</v>
      </c>
      <c r="G959">
        <v>437</v>
      </c>
      <c r="H959">
        <v>14334</v>
      </c>
      <c r="I959" s="4">
        <v>38686</v>
      </c>
      <c r="J959" s="5">
        <f t="shared" si="28"/>
        <v>-87</v>
      </c>
      <c r="K959" s="6" t="str">
        <f t="shared" si="29"/>
        <v>A~0</v>
      </c>
      <c r="L959" t="str">
        <f>IF(J959&lt;0,"A~0",VLOOKUP(J959,[1]作法V!$B$1:$C$9,2,TRUE))</f>
        <v>A~0</v>
      </c>
    </row>
    <row r="960" spans="1:12">
      <c r="A960">
        <v>1061</v>
      </c>
      <c r="B960" t="s">
        <v>61</v>
      </c>
      <c r="C960" s="3">
        <v>38621</v>
      </c>
      <c r="D960" s="3">
        <v>38773</v>
      </c>
      <c r="E960" t="s">
        <v>17</v>
      </c>
      <c r="F960">
        <v>32.799999999999997</v>
      </c>
      <c r="G960">
        <v>460.8</v>
      </c>
      <c r="H960">
        <v>15114</v>
      </c>
      <c r="I960" s="4">
        <v>38686</v>
      </c>
      <c r="J960" s="5">
        <f t="shared" si="28"/>
        <v>-87</v>
      </c>
      <c r="K960" s="6" t="str">
        <f t="shared" si="29"/>
        <v>A~0</v>
      </c>
      <c r="L960" t="str">
        <f>IF(J960&lt;0,"A~0",VLOOKUP(J960,[1]作法V!$B$1:$C$9,2,TRUE))</f>
        <v>A~0</v>
      </c>
    </row>
    <row r="961" spans="1:12">
      <c r="A961">
        <v>1061</v>
      </c>
      <c r="B961" t="s">
        <v>61</v>
      </c>
      <c r="C961" s="3">
        <v>38621</v>
      </c>
      <c r="D961" s="3">
        <v>38773</v>
      </c>
      <c r="E961" t="s">
        <v>17</v>
      </c>
      <c r="F961">
        <v>32.799999999999997</v>
      </c>
      <c r="G961">
        <v>310.27</v>
      </c>
      <c r="H961">
        <v>10177</v>
      </c>
      <c r="I961" s="4">
        <v>38686</v>
      </c>
      <c r="J961" s="5">
        <f t="shared" si="28"/>
        <v>-87</v>
      </c>
      <c r="K961" s="6" t="str">
        <f t="shared" si="29"/>
        <v>A~0</v>
      </c>
      <c r="L961" t="str">
        <f>IF(J961&lt;0,"A~0",VLOOKUP(J961,[1]作法V!$B$1:$C$9,2,TRUE))</f>
        <v>A~0</v>
      </c>
    </row>
    <row r="962" spans="1:12">
      <c r="A962">
        <v>1061</v>
      </c>
      <c r="B962" t="s">
        <v>61</v>
      </c>
      <c r="C962" s="3">
        <v>38621</v>
      </c>
      <c r="D962" s="3">
        <v>38773</v>
      </c>
      <c r="E962" t="s">
        <v>17</v>
      </c>
      <c r="F962">
        <v>32.799999999999997</v>
      </c>
      <c r="G962">
        <v>552.96</v>
      </c>
      <c r="H962">
        <v>18137</v>
      </c>
      <c r="I962" s="4">
        <v>38686</v>
      </c>
      <c r="J962" s="5">
        <f t="shared" ref="J962:J1025" si="30">I962-D962</f>
        <v>-87</v>
      </c>
      <c r="K962" s="6" t="str">
        <f t="shared" ref="K962:K1025" si="31">IF(J962&lt;1,"A~0",IF(J962&lt;31,"B1~30",IF(J962&lt;61,"C31~60",IF(J962&lt;91,"D61~90",IF(J962&lt;121,"E91~120",IF(J962&lt;181,"F121~180",IF(J962&lt;361,"G181~360","H361~")))))))</f>
        <v>A~0</v>
      </c>
      <c r="L962" t="str">
        <f>IF(J962&lt;0,"A~0",VLOOKUP(J962,[1]作法V!$B$1:$C$9,2,TRUE))</f>
        <v>A~0</v>
      </c>
    </row>
    <row r="963" spans="1:12">
      <c r="A963">
        <v>1061</v>
      </c>
      <c r="B963" t="s">
        <v>61</v>
      </c>
      <c r="C963" s="3">
        <v>38628</v>
      </c>
      <c r="D963" s="3">
        <v>38773</v>
      </c>
      <c r="E963" t="s">
        <v>17</v>
      </c>
      <c r="F963">
        <v>33.15</v>
      </c>
      <c r="G963">
        <v>198.8</v>
      </c>
      <c r="H963">
        <v>6590</v>
      </c>
      <c r="I963" s="4">
        <v>38686</v>
      </c>
      <c r="J963" s="5">
        <f t="shared" si="30"/>
        <v>-87</v>
      </c>
      <c r="K963" s="6" t="str">
        <f t="shared" si="31"/>
        <v>A~0</v>
      </c>
      <c r="L963" t="str">
        <f>IF(J963&lt;0,"A~0",VLOOKUP(J963,[1]作法V!$B$1:$C$9,2,TRUE))</f>
        <v>A~0</v>
      </c>
    </row>
    <row r="964" spans="1:12">
      <c r="A964">
        <v>1061</v>
      </c>
      <c r="B964" t="s">
        <v>61</v>
      </c>
      <c r="C964" s="3">
        <v>38628</v>
      </c>
      <c r="D964" s="3">
        <v>38773</v>
      </c>
      <c r="E964" t="s">
        <v>17</v>
      </c>
      <c r="F964">
        <v>33.15</v>
      </c>
      <c r="G964">
        <v>85.2</v>
      </c>
      <c r="H964">
        <v>2824</v>
      </c>
      <c r="I964" s="4">
        <v>38686</v>
      </c>
      <c r="J964" s="5">
        <f t="shared" si="30"/>
        <v>-87</v>
      </c>
      <c r="K964" s="6" t="str">
        <f t="shared" si="31"/>
        <v>A~0</v>
      </c>
      <c r="L964" t="str">
        <f>IF(J964&lt;0,"A~0",VLOOKUP(J964,[1]作法V!$B$1:$C$9,2,TRUE))</f>
        <v>A~0</v>
      </c>
    </row>
    <row r="965" spans="1:12">
      <c r="A965">
        <v>1061</v>
      </c>
      <c r="B965" t="s">
        <v>61</v>
      </c>
      <c r="C965" s="3">
        <v>38628</v>
      </c>
      <c r="D965" s="3">
        <v>38773</v>
      </c>
      <c r="E965" t="s">
        <v>17</v>
      </c>
      <c r="F965">
        <v>33.15</v>
      </c>
      <c r="G965">
        <v>85.2</v>
      </c>
      <c r="H965">
        <v>2824</v>
      </c>
      <c r="I965" s="4">
        <v>38686</v>
      </c>
      <c r="J965" s="5">
        <f t="shared" si="30"/>
        <v>-87</v>
      </c>
      <c r="K965" s="6" t="str">
        <f t="shared" si="31"/>
        <v>A~0</v>
      </c>
      <c r="L965" t="str">
        <f>IF(J965&lt;0,"A~0",VLOOKUP(J965,[1]作法V!$B$1:$C$9,2,TRUE))</f>
        <v>A~0</v>
      </c>
    </row>
    <row r="966" spans="1:12">
      <c r="A966">
        <v>1061</v>
      </c>
      <c r="B966" t="s">
        <v>61</v>
      </c>
      <c r="C966" s="3">
        <v>38630</v>
      </c>
      <c r="D966" s="3">
        <v>38773</v>
      </c>
      <c r="E966" t="s">
        <v>18</v>
      </c>
      <c r="F966">
        <v>1</v>
      </c>
      <c r="G966">
        <v>8663</v>
      </c>
      <c r="H966">
        <v>8663</v>
      </c>
      <c r="I966" s="4">
        <v>38686</v>
      </c>
      <c r="J966" s="5">
        <f t="shared" si="30"/>
        <v>-87</v>
      </c>
      <c r="K966" s="6" t="str">
        <f t="shared" si="31"/>
        <v>A~0</v>
      </c>
      <c r="L966" t="str">
        <f>IF(J966&lt;0,"A~0",VLOOKUP(J966,[1]作法V!$B$1:$C$9,2,TRUE))</f>
        <v>A~0</v>
      </c>
    </row>
    <row r="967" spans="1:12">
      <c r="A967">
        <v>1061</v>
      </c>
      <c r="B967" t="s">
        <v>61</v>
      </c>
      <c r="C967" s="3">
        <v>38630</v>
      </c>
      <c r="D967" s="3">
        <v>38773</v>
      </c>
      <c r="E967" t="s">
        <v>18</v>
      </c>
      <c r="F967">
        <v>1</v>
      </c>
      <c r="G967">
        <v>5670</v>
      </c>
      <c r="H967">
        <v>5670</v>
      </c>
      <c r="I967" s="4">
        <v>38686</v>
      </c>
      <c r="J967" s="5">
        <f t="shared" si="30"/>
        <v>-87</v>
      </c>
      <c r="K967" s="6" t="str">
        <f t="shared" si="31"/>
        <v>A~0</v>
      </c>
      <c r="L967" t="str">
        <f>IF(J967&lt;0,"A~0",VLOOKUP(J967,[1]作法V!$B$1:$C$9,2,TRUE))</f>
        <v>A~0</v>
      </c>
    </row>
    <row r="968" spans="1:12">
      <c r="A968">
        <v>1061</v>
      </c>
      <c r="B968" t="s">
        <v>61</v>
      </c>
      <c r="C968" s="3">
        <v>38630</v>
      </c>
      <c r="D968" s="3">
        <v>38773</v>
      </c>
      <c r="E968" t="s">
        <v>18</v>
      </c>
      <c r="F968">
        <v>1</v>
      </c>
      <c r="G968">
        <v>1969</v>
      </c>
      <c r="H968">
        <v>1969</v>
      </c>
      <c r="I968" s="4">
        <v>38686</v>
      </c>
      <c r="J968" s="5">
        <f t="shared" si="30"/>
        <v>-87</v>
      </c>
      <c r="K968" s="6" t="str">
        <f t="shared" si="31"/>
        <v>A~0</v>
      </c>
      <c r="L968" t="str">
        <f>IF(J968&lt;0,"A~0",VLOOKUP(J968,[1]作法V!$B$1:$C$9,2,TRUE))</f>
        <v>A~0</v>
      </c>
    </row>
    <row r="969" spans="1:12">
      <c r="A969">
        <v>1061</v>
      </c>
      <c r="B969" t="s">
        <v>61</v>
      </c>
      <c r="C969" s="3">
        <v>38630</v>
      </c>
      <c r="D969" s="3">
        <v>38773</v>
      </c>
      <c r="E969" t="s">
        <v>18</v>
      </c>
      <c r="F969">
        <v>1</v>
      </c>
      <c r="G969">
        <v>17325</v>
      </c>
      <c r="H969">
        <v>17325</v>
      </c>
      <c r="I969" s="4">
        <v>38686</v>
      </c>
      <c r="J969" s="5">
        <f t="shared" si="30"/>
        <v>-87</v>
      </c>
      <c r="K969" s="6" t="str">
        <f t="shared" si="31"/>
        <v>A~0</v>
      </c>
      <c r="L969" t="str">
        <f>IF(J969&lt;0,"A~0",VLOOKUP(J969,[1]作法V!$B$1:$C$9,2,TRUE))</f>
        <v>A~0</v>
      </c>
    </row>
    <row r="970" spans="1:12">
      <c r="A970">
        <v>1061</v>
      </c>
      <c r="B970" t="s">
        <v>61</v>
      </c>
      <c r="C970" s="3">
        <v>38630</v>
      </c>
      <c r="D970" s="3">
        <v>38773</v>
      </c>
      <c r="E970" t="s">
        <v>18</v>
      </c>
      <c r="F970">
        <v>1</v>
      </c>
      <c r="G970">
        <v>4914</v>
      </c>
      <c r="H970">
        <v>4914</v>
      </c>
      <c r="I970" s="4">
        <v>38686</v>
      </c>
      <c r="J970" s="5">
        <f t="shared" si="30"/>
        <v>-87</v>
      </c>
      <c r="K970" s="6" t="str">
        <f t="shared" si="31"/>
        <v>A~0</v>
      </c>
      <c r="L970" t="str">
        <f>IF(J970&lt;0,"A~0",VLOOKUP(J970,[1]作法V!$B$1:$C$9,2,TRUE))</f>
        <v>A~0</v>
      </c>
    </row>
    <row r="971" spans="1:12">
      <c r="A971">
        <v>1061</v>
      </c>
      <c r="B971" t="s">
        <v>61</v>
      </c>
      <c r="C971" s="3">
        <v>38630</v>
      </c>
      <c r="D971" s="3">
        <v>38773</v>
      </c>
      <c r="E971" t="s">
        <v>18</v>
      </c>
      <c r="F971">
        <v>1</v>
      </c>
      <c r="G971">
        <v>8736</v>
      </c>
      <c r="H971">
        <v>8736</v>
      </c>
      <c r="I971" s="4">
        <v>38686</v>
      </c>
      <c r="J971" s="5">
        <f t="shared" si="30"/>
        <v>-87</v>
      </c>
      <c r="K971" s="6" t="str">
        <f t="shared" si="31"/>
        <v>A~0</v>
      </c>
      <c r="L971" t="str">
        <f>IF(J971&lt;0,"A~0",VLOOKUP(J971,[1]作法V!$B$1:$C$9,2,TRUE))</f>
        <v>A~0</v>
      </c>
    </row>
    <row r="972" spans="1:12">
      <c r="A972">
        <v>1061</v>
      </c>
      <c r="B972" t="s">
        <v>61</v>
      </c>
      <c r="C972" s="3">
        <v>38630</v>
      </c>
      <c r="D972" s="3">
        <v>38773</v>
      </c>
      <c r="E972" t="s">
        <v>18</v>
      </c>
      <c r="F972">
        <v>1</v>
      </c>
      <c r="G972">
        <v>5145</v>
      </c>
      <c r="H972">
        <v>5145</v>
      </c>
      <c r="I972" s="4">
        <v>38686</v>
      </c>
      <c r="J972" s="5">
        <f t="shared" si="30"/>
        <v>-87</v>
      </c>
      <c r="K972" s="6" t="str">
        <f t="shared" si="31"/>
        <v>A~0</v>
      </c>
      <c r="L972" t="str">
        <f>IF(J972&lt;0,"A~0",VLOOKUP(J972,[1]作法V!$B$1:$C$9,2,TRUE))</f>
        <v>A~0</v>
      </c>
    </row>
    <row r="973" spans="1:12">
      <c r="A973">
        <v>1061</v>
      </c>
      <c r="B973" t="s">
        <v>61</v>
      </c>
      <c r="C973" s="3">
        <v>38630</v>
      </c>
      <c r="D973" s="3">
        <v>38773</v>
      </c>
      <c r="E973" t="s">
        <v>18</v>
      </c>
      <c r="F973">
        <v>1</v>
      </c>
      <c r="G973">
        <v>13104</v>
      </c>
      <c r="H973">
        <v>13104</v>
      </c>
      <c r="I973" s="4">
        <v>38686</v>
      </c>
      <c r="J973" s="5">
        <f t="shared" si="30"/>
        <v>-87</v>
      </c>
      <c r="K973" s="6" t="str">
        <f t="shared" si="31"/>
        <v>A~0</v>
      </c>
      <c r="L973" t="str">
        <f>IF(J973&lt;0,"A~0",VLOOKUP(J973,[1]作法V!$B$1:$C$9,2,TRUE))</f>
        <v>A~0</v>
      </c>
    </row>
    <row r="974" spans="1:12">
      <c r="A974">
        <v>1061</v>
      </c>
      <c r="B974" t="s">
        <v>61</v>
      </c>
      <c r="C974" s="3">
        <v>38630</v>
      </c>
      <c r="D974" s="3">
        <v>38773</v>
      </c>
      <c r="E974" t="s">
        <v>18</v>
      </c>
      <c r="F974">
        <v>1</v>
      </c>
      <c r="G974">
        <v>1260</v>
      </c>
      <c r="H974">
        <v>1260</v>
      </c>
      <c r="I974" s="4">
        <v>38686</v>
      </c>
      <c r="J974" s="5">
        <f t="shared" si="30"/>
        <v>-87</v>
      </c>
      <c r="K974" s="6" t="str">
        <f t="shared" si="31"/>
        <v>A~0</v>
      </c>
      <c r="L974" t="str">
        <f>IF(J974&lt;0,"A~0",VLOOKUP(J974,[1]作法V!$B$1:$C$9,2,TRUE))</f>
        <v>A~0</v>
      </c>
    </row>
    <row r="975" spans="1:12">
      <c r="A975">
        <v>1061</v>
      </c>
      <c r="B975" t="s">
        <v>61</v>
      </c>
      <c r="C975" s="3">
        <v>38630</v>
      </c>
      <c r="D975" s="3">
        <v>38773</v>
      </c>
      <c r="E975" t="s">
        <v>18</v>
      </c>
      <c r="F975">
        <v>1</v>
      </c>
      <c r="G975">
        <v>9555</v>
      </c>
      <c r="H975">
        <v>9555</v>
      </c>
      <c r="I975" s="4">
        <v>38686</v>
      </c>
      <c r="J975" s="5">
        <f t="shared" si="30"/>
        <v>-87</v>
      </c>
      <c r="K975" s="6" t="str">
        <f t="shared" si="31"/>
        <v>A~0</v>
      </c>
      <c r="L975" t="str">
        <f>IF(J975&lt;0,"A~0",VLOOKUP(J975,[1]作法V!$B$1:$C$9,2,TRUE))</f>
        <v>A~0</v>
      </c>
    </row>
    <row r="976" spans="1:12">
      <c r="A976">
        <v>1061</v>
      </c>
      <c r="B976" t="s">
        <v>61</v>
      </c>
      <c r="C976" s="3">
        <v>38630</v>
      </c>
      <c r="D976" s="3">
        <v>38773</v>
      </c>
      <c r="E976" t="s">
        <v>18</v>
      </c>
      <c r="F976">
        <v>1</v>
      </c>
      <c r="G976">
        <v>1286</v>
      </c>
      <c r="H976">
        <v>1286</v>
      </c>
      <c r="I976" s="4">
        <v>38686</v>
      </c>
      <c r="J976" s="5">
        <f t="shared" si="30"/>
        <v>-87</v>
      </c>
      <c r="K976" s="6" t="str">
        <f t="shared" si="31"/>
        <v>A~0</v>
      </c>
      <c r="L976" t="str">
        <f>IF(J976&lt;0,"A~0",VLOOKUP(J976,[1]作法V!$B$1:$C$9,2,TRUE))</f>
        <v>A~0</v>
      </c>
    </row>
    <row r="977" spans="1:12">
      <c r="A977">
        <v>1061</v>
      </c>
      <c r="B977" t="s">
        <v>61</v>
      </c>
      <c r="C977" s="3">
        <v>38630</v>
      </c>
      <c r="D977" s="3">
        <v>38773</v>
      </c>
      <c r="E977" t="s">
        <v>18</v>
      </c>
      <c r="F977">
        <v>1</v>
      </c>
      <c r="G977">
        <v>16800</v>
      </c>
      <c r="H977">
        <v>16800</v>
      </c>
      <c r="I977" s="4">
        <v>38686</v>
      </c>
      <c r="J977" s="5">
        <f t="shared" si="30"/>
        <v>-87</v>
      </c>
      <c r="K977" s="6" t="str">
        <f t="shared" si="31"/>
        <v>A~0</v>
      </c>
      <c r="L977" t="str">
        <f>IF(J977&lt;0,"A~0",VLOOKUP(J977,[1]作法V!$B$1:$C$9,2,TRUE))</f>
        <v>A~0</v>
      </c>
    </row>
    <row r="978" spans="1:12">
      <c r="A978">
        <v>1061</v>
      </c>
      <c r="B978" t="s">
        <v>61</v>
      </c>
      <c r="C978" s="3">
        <v>38630</v>
      </c>
      <c r="D978" s="3">
        <v>38773</v>
      </c>
      <c r="E978" t="s">
        <v>18</v>
      </c>
      <c r="F978">
        <v>1</v>
      </c>
      <c r="G978">
        <v>17850</v>
      </c>
      <c r="H978">
        <v>17850</v>
      </c>
      <c r="I978" s="4">
        <v>38686</v>
      </c>
      <c r="J978" s="5">
        <f t="shared" si="30"/>
        <v>-87</v>
      </c>
      <c r="K978" s="6" t="str">
        <f t="shared" si="31"/>
        <v>A~0</v>
      </c>
      <c r="L978" t="str">
        <f>IF(J978&lt;0,"A~0",VLOOKUP(J978,[1]作法V!$B$1:$C$9,2,TRUE))</f>
        <v>A~0</v>
      </c>
    </row>
    <row r="979" spans="1:12">
      <c r="A979">
        <v>1061</v>
      </c>
      <c r="B979" t="s">
        <v>61</v>
      </c>
      <c r="C979" s="3">
        <v>38630</v>
      </c>
      <c r="D979" s="3">
        <v>38773</v>
      </c>
      <c r="E979" t="s">
        <v>18</v>
      </c>
      <c r="F979">
        <v>1</v>
      </c>
      <c r="G979">
        <v>16800</v>
      </c>
      <c r="H979">
        <v>16800</v>
      </c>
      <c r="I979" s="4">
        <v>38686</v>
      </c>
      <c r="J979" s="5">
        <f t="shared" si="30"/>
        <v>-87</v>
      </c>
      <c r="K979" s="6" t="str">
        <f t="shared" si="31"/>
        <v>A~0</v>
      </c>
      <c r="L979" t="str">
        <f>IF(J979&lt;0,"A~0",VLOOKUP(J979,[1]作法V!$B$1:$C$9,2,TRUE))</f>
        <v>A~0</v>
      </c>
    </row>
    <row r="980" spans="1:12">
      <c r="A980">
        <v>1061</v>
      </c>
      <c r="B980" t="s">
        <v>61</v>
      </c>
      <c r="C980" s="3">
        <v>38630</v>
      </c>
      <c r="D980" s="3">
        <v>38773</v>
      </c>
      <c r="E980" t="s">
        <v>18</v>
      </c>
      <c r="F980">
        <v>1</v>
      </c>
      <c r="G980">
        <v>17850</v>
      </c>
      <c r="H980">
        <v>17850</v>
      </c>
      <c r="I980" s="4">
        <v>38686</v>
      </c>
      <c r="J980" s="5">
        <f t="shared" si="30"/>
        <v>-87</v>
      </c>
      <c r="K980" s="6" t="str">
        <f t="shared" si="31"/>
        <v>A~0</v>
      </c>
      <c r="L980" t="str">
        <f>IF(J980&lt;0,"A~0",VLOOKUP(J980,[1]作法V!$B$1:$C$9,2,TRUE))</f>
        <v>A~0</v>
      </c>
    </row>
    <row r="981" spans="1:12">
      <c r="A981">
        <v>1061</v>
      </c>
      <c r="B981" t="s">
        <v>61</v>
      </c>
      <c r="C981" s="3">
        <v>38630</v>
      </c>
      <c r="D981" s="3">
        <v>38773</v>
      </c>
      <c r="E981" t="s">
        <v>18</v>
      </c>
      <c r="F981">
        <v>1</v>
      </c>
      <c r="G981">
        <v>16800</v>
      </c>
      <c r="H981">
        <v>16800</v>
      </c>
      <c r="I981" s="4">
        <v>38686</v>
      </c>
      <c r="J981" s="5">
        <f t="shared" si="30"/>
        <v>-87</v>
      </c>
      <c r="K981" s="6" t="str">
        <f t="shared" si="31"/>
        <v>A~0</v>
      </c>
      <c r="L981" t="str">
        <f>IF(J981&lt;0,"A~0",VLOOKUP(J981,[1]作法V!$B$1:$C$9,2,TRUE))</f>
        <v>A~0</v>
      </c>
    </row>
    <row r="982" spans="1:12">
      <c r="A982">
        <v>1061</v>
      </c>
      <c r="B982" t="s">
        <v>61</v>
      </c>
      <c r="C982" s="3">
        <v>38630</v>
      </c>
      <c r="D982" s="3">
        <v>38773</v>
      </c>
      <c r="E982" t="s">
        <v>18</v>
      </c>
      <c r="F982">
        <v>1</v>
      </c>
      <c r="G982">
        <v>16800</v>
      </c>
      <c r="H982">
        <v>16800</v>
      </c>
      <c r="I982" s="4">
        <v>38686</v>
      </c>
      <c r="J982" s="5">
        <f t="shared" si="30"/>
        <v>-87</v>
      </c>
      <c r="K982" s="6" t="str">
        <f t="shared" si="31"/>
        <v>A~0</v>
      </c>
      <c r="L982" t="str">
        <f>IF(J982&lt;0,"A~0",VLOOKUP(J982,[1]作法V!$B$1:$C$9,2,TRUE))</f>
        <v>A~0</v>
      </c>
    </row>
    <row r="983" spans="1:12">
      <c r="A983">
        <v>1061</v>
      </c>
      <c r="B983" t="s">
        <v>61</v>
      </c>
      <c r="C983" s="3">
        <v>38630</v>
      </c>
      <c r="D983" s="3">
        <v>38773</v>
      </c>
      <c r="E983" t="s">
        <v>18</v>
      </c>
      <c r="F983">
        <v>1</v>
      </c>
      <c r="G983">
        <v>11970</v>
      </c>
      <c r="H983">
        <v>11970</v>
      </c>
      <c r="I983" s="4">
        <v>38686</v>
      </c>
      <c r="J983" s="5">
        <f t="shared" si="30"/>
        <v>-87</v>
      </c>
      <c r="K983" s="6" t="str">
        <f t="shared" si="31"/>
        <v>A~0</v>
      </c>
      <c r="L983" t="str">
        <f>IF(J983&lt;0,"A~0",VLOOKUP(J983,[1]作法V!$B$1:$C$9,2,TRUE))</f>
        <v>A~0</v>
      </c>
    </row>
    <row r="984" spans="1:12">
      <c r="A984">
        <v>1061</v>
      </c>
      <c r="B984" t="s">
        <v>61</v>
      </c>
      <c r="C984" s="3">
        <v>38630</v>
      </c>
      <c r="D984" s="3">
        <v>38773</v>
      </c>
      <c r="E984" t="s">
        <v>18</v>
      </c>
      <c r="F984">
        <v>1</v>
      </c>
      <c r="G984">
        <v>11970</v>
      </c>
      <c r="H984">
        <v>11970</v>
      </c>
      <c r="I984" s="4">
        <v>38686</v>
      </c>
      <c r="J984" s="5">
        <f t="shared" si="30"/>
        <v>-87</v>
      </c>
      <c r="K984" s="6" t="str">
        <f t="shared" si="31"/>
        <v>A~0</v>
      </c>
      <c r="L984" t="str">
        <f>IF(J984&lt;0,"A~0",VLOOKUP(J984,[1]作法V!$B$1:$C$9,2,TRUE))</f>
        <v>A~0</v>
      </c>
    </row>
    <row r="985" spans="1:12">
      <c r="A985">
        <v>1061</v>
      </c>
      <c r="B985" t="s">
        <v>61</v>
      </c>
      <c r="C985" s="3">
        <v>38630</v>
      </c>
      <c r="D985" s="3">
        <v>38773</v>
      </c>
      <c r="E985" t="s">
        <v>18</v>
      </c>
      <c r="F985">
        <v>1</v>
      </c>
      <c r="G985">
        <v>12390</v>
      </c>
      <c r="H985">
        <v>12390</v>
      </c>
      <c r="I985" s="4">
        <v>38686</v>
      </c>
      <c r="J985" s="5">
        <f t="shared" si="30"/>
        <v>-87</v>
      </c>
      <c r="K985" s="6" t="str">
        <f t="shared" si="31"/>
        <v>A~0</v>
      </c>
      <c r="L985" t="str">
        <f>IF(J985&lt;0,"A~0",VLOOKUP(J985,[1]作法V!$B$1:$C$9,2,TRUE))</f>
        <v>A~0</v>
      </c>
    </row>
    <row r="986" spans="1:12">
      <c r="A986">
        <v>1061</v>
      </c>
      <c r="B986" t="s">
        <v>61</v>
      </c>
      <c r="C986" s="3">
        <v>38632</v>
      </c>
      <c r="D986" s="3">
        <v>38773</v>
      </c>
      <c r="E986" t="s">
        <v>17</v>
      </c>
      <c r="F986">
        <v>33.15</v>
      </c>
      <c r="G986">
        <v>2380.8000000000002</v>
      </c>
      <c r="H986">
        <v>78924</v>
      </c>
      <c r="I986" s="4">
        <v>38686</v>
      </c>
      <c r="J986" s="5">
        <f t="shared" si="30"/>
        <v>-87</v>
      </c>
      <c r="K986" s="6" t="str">
        <f t="shared" si="31"/>
        <v>A~0</v>
      </c>
      <c r="L986" t="str">
        <f>IF(J986&lt;0,"A~0",VLOOKUP(J986,[1]作法V!$B$1:$C$9,2,TRUE))</f>
        <v>A~0</v>
      </c>
    </row>
    <row r="987" spans="1:12">
      <c r="A987">
        <v>1061</v>
      </c>
      <c r="B987" t="s">
        <v>61</v>
      </c>
      <c r="C987" s="3">
        <v>38632</v>
      </c>
      <c r="D987" s="3">
        <v>38773</v>
      </c>
      <c r="E987" t="s">
        <v>17</v>
      </c>
      <c r="F987">
        <v>33.15</v>
      </c>
      <c r="G987">
        <v>2534.4</v>
      </c>
      <c r="H987">
        <v>84015</v>
      </c>
      <c r="I987" s="4">
        <v>38686</v>
      </c>
      <c r="J987" s="5">
        <f t="shared" si="30"/>
        <v>-87</v>
      </c>
      <c r="K987" s="6" t="str">
        <f t="shared" si="31"/>
        <v>A~0</v>
      </c>
      <c r="L987" t="str">
        <f>IF(J987&lt;0,"A~0",VLOOKUP(J987,[1]作法V!$B$1:$C$9,2,TRUE))</f>
        <v>A~0</v>
      </c>
    </row>
    <row r="988" spans="1:12">
      <c r="A988">
        <v>1061</v>
      </c>
      <c r="B988" t="s">
        <v>61</v>
      </c>
      <c r="C988" s="3">
        <v>38632</v>
      </c>
      <c r="D988" s="3">
        <v>38773</v>
      </c>
      <c r="E988" t="s">
        <v>17</v>
      </c>
      <c r="F988">
        <v>33.15</v>
      </c>
      <c r="G988">
        <v>284</v>
      </c>
      <c r="H988">
        <v>9415</v>
      </c>
      <c r="I988" s="4">
        <v>38686</v>
      </c>
      <c r="J988" s="5">
        <f t="shared" si="30"/>
        <v>-87</v>
      </c>
      <c r="K988" s="6" t="str">
        <f t="shared" si="31"/>
        <v>A~0</v>
      </c>
      <c r="L988" t="str">
        <f>IF(J988&lt;0,"A~0",VLOOKUP(J988,[1]作法V!$B$1:$C$9,2,TRUE))</f>
        <v>A~0</v>
      </c>
    </row>
    <row r="989" spans="1:12">
      <c r="A989">
        <v>1061</v>
      </c>
      <c r="B989" t="s">
        <v>61</v>
      </c>
      <c r="C989" s="3">
        <v>38636</v>
      </c>
      <c r="D989" s="3">
        <v>38773</v>
      </c>
      <c r="E989" t="s">
        <v>17</v>
      </c>
      <c r="F989">
        <v>33.195</v>
      </c>
      <c r="G989">
        <v>2016.77</v>
      </c>
      <c r="H989">
        <v>66947</v>
      </c>
      <c r="I989" s="4">
        <v>38686</v>
      </c>
      <c r="J989" s="5">
        <f t="shared" si="30"/>
        <v>-87</v>
      </c>
      <c r="K989" s="6" t="str">
        <f t="shared" si="31"/>
        <v>A~0</v>
      </c>
      <c r="L989" t="str">
        <f>IF(J989&lt;0,"A~0",VLOOKUP(J989,[1]作法V!$B$1:$C$9,2,TRUE))</f>
        <v>A~0</v>
      </c>
    </row>
    <row r="990" spans="1:12">
      <c r="A990">
        <v>1061</v>
      </c>
      <c r="B990" t="s">
        <v>61</v>
      </c>
      <c r="C990" s="3">
        <v>38636</v>
      </c>
      <c r="D990" s="3">
        <v>38773</v>
      </c>
      <c r="E990" t="s">
        <v>17</v>
      </c>
      <c r="F990">
        <v>33.195</v>
      </c>
      <c r="G990">
        <v>1241.0899999999999</v>
      </c>
      <c r="H990">
        <v>41198</v>
      </c>
      <c r="I990" s="4">
        <v>38686</v>
      </c>
      <c r="J990" s="5">
        <f t="shared" si="30"/>
        <v>-87</v>
      </c>
      <c r="K990" s="6" t="str">
        <f t="shared" si="31"/>
        <v>A~0</v>
      </c>
      <c r="L990" t="str">
        <f>IF(J990&lt;0,"A~0",VLOOKUP(J990,[1]作法V!$B$1:$C$9,2,TRUE))</f>
        <v>A~0</v>
      </c>
    </row>
    <row r="991" spans="1:12">
      <c r="A991">
        <v>1061</v>
      </c>
      <c r="B991" t="s">
        <v>61</v>
      </c>
      <c r="C991" s="3">
        <v>38639</v>
      </c>
      <c r="D991" s="3">
        <v>38773</v>
      </c>
      <c r="E991" t="s">
        <v>17</v>
      </c>
      <c r="F991">
        <v>33.195</v>
      </c>
      <c r="G991">
        <v>28.4</v>
      </c>
      <c r="H991">
        <v>943</v>
      </c>
      <c r="I991" s="4">
        <v>38686</v>
      </c>
      <c r="J991" s="5">
        <f t="shared" si="30"/>
        <v>-87</v>
      </c>
      <c r="K991" s="6" t="str">
        <f t="shared" si="31"/>
        <v>A~0</v>
      </c>
      <c r="L991" t="str">
        <f>IF(J991&lt;0,"A~0",VLOOKUP(J991,[1]作法V!$B$1:$C$9,2,TRUE))</f>
        <v>A~0</v>
      </c>
    </row>
    <row r="992" spans="1:12">
      <c r="A992">
        <v>1061</v>
      </c>
      <c r="B992" t="s">
        <v>61</v>
      </c>
      <c r="C992" s="3">
        <v>38639</v>
      </c>
      <c r="D992" s="3">
        <v>38773</v>
      </c>
      <c r="E992" t="s">
        <v>17</v>
      </c>
      <c r="F992">
        <v>33.195</v>
      </c>
      <c r="G992">
        <v>369.2</v>
      </c>
      <c r="H992">
        <v>12256</v>
      </c>
      <c r="I992" s="4">
        <v>38686</v>
      </c>
      <c r="J992" s="5">
        <f t="shared" si="30"/>
        <v>-87</v>
      </c>
      <c r="K992" s="6" t="str">
        <f t="shared" si="31"/>
        <v>A~0</v>
      </c>
      <c r="L992" t="str">
        <f>IF(J992&lt;0,"A~0",VLOOKUP(J992,[1]作法V!$B$1:$C$9,2,TRUE))</f>
        <v>A~0</v>
      </c>
    </row>
    <row r="993" spans="1:12">
      <c r="A993">
        <v>1061</v>
      </c>
      <c r="B993" t="s">
        <v>61</v>
      </c>
      <c r="C993" s="3">
        <v>38639</v>
      </c>
      <c r="D993" s="3">
        <v>38773</v>
      </c>
      <c r="E993" t="s">
        <v>17</v>
      </c>
      <c r="F993">
        <v>33.195</v>
      </c>
      <c r="G993">
        <v>775.68</v>
      </c>
      <c r="H993">
        <v>25749</v>
      </c>
      <c r="I993" s="4">
        <v>38686</v>
      </c>
      <c r="J993" s="5">
        <f t="shared" si="30"/>
        <v>-87</v>
      </c>
      <c r="K993" s="6" t="str">
        <f t="shared" si="31"/>
        <v>A~0</v>
      </c>
      <c r="L993" t="str">
        <f>IF(J993&lt;0,"A~0",VLOOKUP(J993,[1]作法V!$B$1:$C$9,2,TRUE))</f>
        <v>A~0</v>
      </c>
    </row>
    <row r="994" spans="1:12">
      <c r="A994">
        <v>1061</v>
      </c>
      <c r="B994" t="s">
        <v>61</v>
      </c>
      <c r="C994" s="3">
        <v>38639</v>
      </c>
      <c r="D994" s="3">
        <v>38773</v>
      </c>
      <c r="E994" t="s">
        <v>17</v>
      </c>
      <c r="F994">
        <v>33.195</v>
      </c>
      <c r="G994">
        <v>1900.95</v>
      </c>
      <c r="H994">
        <v>63102</v>
      </c>
      <c r="I994" s="4">
        <v>38686</v>
      </c>
      <c r="J994" s="5">
        <f t="shared" si="30"/>
        <v>-87</v>
      </c>
      <c r="K994" s="6" t="str">
        <f t="shared" si="31"/>
        <v>A~0</v>
      </c>
      <c r="L994" t="str">
        <f>IF(J994&lt;0,"A~0",VLOOKUP(J994,[1]作法V!$B$1:$C$9,2,TRUE))</f>
        <v>A~0</v>
      </c>
    </row>
    <row r="995" spans="1:12">
      <c r="A995">
        <v>1061</v>
      </c>
      <c r="B995" t="s">
        <v>61</v>
      </c>
      <c r="C995" s="3">
        <v>38643</v>
      </c>
      <c r="D995" s="3">
        <v>38773</v>
      </c>
      <c r="E995" t="s">
        <v>17</v>
      </c>
      <c r="F995">
        <v>33.195</v>
      </c>
      <c r="G995">
        <v>891.48</v>
      </c>
      <c r="H995">
        <v>29593</v>
      </c>
      <c r="I995" s="4">
        <v>38686</v>
      </c>
      <c r="J995" s="5">
        <f t="shared" si="30"/>
        <v>-87</v>
      </c>
      <c r="K995" s="6" t="str">
        <f t="shared" si="31"/>
        <v>A~0</v>
      </c>
      <c r="L995" t="str">
        <f>IF(J995&lt;0,"A~0",VLOOKUP(J995,[1]作法V!$B$1:$C$9,2,TRUE))</f>
        <v>A~0</v>
      </c>
    </row>
    <row r="996" spans="1:12">
      <c r="A996">
        <v>1061</v>
      </c>
      <c r="B996" t="s">
        <v>61</v>
      </c>
      <c r="C996" s="3">
        <v>38643</v>
      </c>
      <c r="D996" s="3">
        <v>38773</v>
      </c>
      <c r="E996" t="s">
        <v>17</v>
      </c>
      <c r="F996">
        <v>33.195</v>
      </c>
      <c r="G996">
        <v>747.27</v>
      </c>
      <c r="H996">
        <v>24806</v>
      </c>
      <c r="I996" s="4">
        <v>38686</v>
      </c>
      <c r="J996" s="5">
        <f t="shared" si="30"/>
        <v>-87</v>
      </c>
      <c r="K996" s="6" t="str">
        <f t="shared" si="31"/>
        <v>A~0</v>
      </c>
      <c r="L996" t="str">
        <f>IF(J996&lt;0,"A~0",VLOOKUP(J996,[1]作法V!$B$1:$C$9,2,TRUE))</f>
        <v>A~0</v>
      </c>
    </row>
    <row r="997" spans="1:12">
      <c r="A997">
        <v>1061</v>
      </c>
      <c r="B997" t="s">
        <v>61</v>
      </c>
      <c r="C997" s="3">
        <v>38643</v>
      </c>
      <c r="D997" s="3">
        <v>38773</v>
      </c>
      <c r="E997" t="s">
        <v>17</v>
      </c>
      <c r="F997">
        <v>33.195</v>
      </c>
      <c r="G997">
        <v>284.05</v>
      </c>
      <c r="H997">
        <v>9429</v>
      </c>
      <c r="I997" s="4">
        <v>38686</v>
      </c>
      <c r="J997" s="5">
        <f t="shared" si="30"/>
        <v>-87</v>
      </c>
      <c r="K997" s="6" t="str">
        <f t="shared" si="31"/>
        <v>A~0</v>
      </c>
      <c r="L997" t="str">
        <f>IF(J997&lt;0,"A~0",VLOOKUP(J997,[1]作法V!$B$1:$C$9,2,TRUE))</f>
        <v>A~0</v>
      </c>
    </row>
    <row r="998" spans="1:12">
      <c r="A998">
        <v>1061</v>
      </c>
      <c r="B998" t="s">
        <v>61</v>
      </c>
      <c r="C998" s="3">
        <v>38645</v>
      </c>
      <c r="D998" s="3">
        <v>38773</v>
      </c>
      <c r="E998" t="s">
        <v>17</v>
      </c>
      <c r="F998">
        <v>33.195</v>
      </c>
      <c r="G998">
        <v>1158.05</v>
      </c>
      <c r="H998">
        <v>38441</v>
      </c>
      <c r="I998" s="4">
        <v>38686</v>
      </c>
      <c r="J998" s="5">
        <f t="shared" si="30"/>
        <v>-87</v>
      </c>
      <c r="K998" s="6" t="str">
        <f t="shared" si="31"/>
        <v>A~0</v>
      </c>
      <c r="L998" t="str">
        <f>IF(J998&lt;0,"A~0",VLOOKUP(J998,[1]作法V!$B$1:$C$9,2,TRUE))</f>
        <v>A~0</v>
      </c>
    </row>
    <row r="999" spans="1:12">
      <c r="A999">
        <v>1061</v>
      </c>
      <c r="B999" t="s">
        <v>61</v>
      </c>
      <c r="C999" s="3">
        <v>38649</v>
      </c>
      <c r="D999" s="3">
        <v>38773</v>
      </c>
      <c r="E999" t="s">
        <v>17</v>
      </c>
      <c r="F999">
        <v>33.4</v>
      </c>
      <c r="G999">
        <v>155.13999999999999</v>
      </c>
      <c r="H999">
        <v>5182</v>
      </c>
      <c r="I999" s="4">
        <v>38686</v>
      </c>
      <c r="J999" s="5">
        <f t="shared" si="30"/>
        <v>-87</v>
      </c>
      <c r="K999" s="6" t="str">
        <f t="shared" si="31"/>
        <v>A~0</v>
      </c>
      <c r="L999" t="str">
        <f>IF(J999&lt;0,"A~0",VLOOKUP(J999,[1]作法V!$B$1:$C$9,2,TRUE))</f>
        <v>A~0</v>
      </c>
    </row>
    <row r="1000" spans="1:12">
      <c r="A1000">
        <v>1061</v>
      </c>
      <c r="B1000" t="s">
        <v>61</v>
      </c>
      <c r="C1000" s="3">
        <v>38650</v>
      </c>
      <c r="D1000" s="3">
        <v>38801</v>
      </c>
      <c r="E1000" t="s">
        <v>17</v>
      </c>
      <c r="F1000">
        <v>33.4</v>
      </c>
      <c r="G1000">
        <v>23</v>
      </c>
      <c r="H1000">
        <v>768</v>
      </c>
      <c r="I1000" s="4">
        <v>38686</v>
      </c>
      <c r="J1000" s="5">
        <f t="shared" si="30"/>
        <v>-115</v>
      </c>
      <c r="K1000" s="6" t="str">
        <f t="shared" si="31"/>
        <v>A~0</v>
      </c>
      <c r="L1000" t="str">
        <f>IF(J1000&lt;0,"A~0",VLOOKUP(J1000,[1]作法V!$B$1:$C$9,2,TRUE))</f>
        <v>A~0</v>
      </c>
    </row>
    <row r="1001" spans="1:12">
      <c r="A1001">
        <v>1061</v>
      </c>
      <c r="B1001" t="s">
        <v>61</v>
      </c>
      <c r="C1001" s="3">
        <v>38650</v>
      </c>
      <c r="D1001" s="3">
        <v>38801</v>
      </c>
      <c r="E1001" t="s">
        <v>17</v>
      </c>
      <c r="F1001">
        <v>33.4</v>
      </c>
      <c r="G1001">
        <v>30.75</v>
      </c>
      <c r="H1001">
        <v>1027</v>
      </c>
      <c r="I1001" s="4">
        <v>38686</v>
      </c>
      <c r="J1001" s="5">
        <f t="shared" si="30"/>
        <v>-115</v>
      </c>
      <c r="K1001" s="6" t="str">
        <f t="shared" si="31"/>
        <v>A~0</v>
      </c>
      <c r="L1001" t="str">
        <f>IF(J1001&lt;0,"A~0",VLOOKUP(J1001,[1]作法V!$B$1:$C$9,2,TRUE))</f>
        <v>A~0</v>
      </c>
    </row>
    <row r="1002" spans="1:12">
      <c r="A1002">
        <v>1061</v>
      </c>
      <c r="B1002" t="s">
        <v>61</v>
      </c>
      <c r="C1002" s="3">
        <v>38650</v>
      </c>
      <c r="D1002" s="3">
        <v>38801</v>
      </c>
      <c r="E1002" t="s">
        <v>17</v>
      </c>
      <c r="F1002">
        <v>33.4</v>
      </c>
      <c r="G1002">
        <v>13.75</v>
      </c>
      <c r="H1002">
        <v>459</v>
      </c>
      <c r="I1002" s="4">
        <v>38686</v>
      </c>
      <c r="J1002" s="5">
        <f t="shared" si="30"/>
        <v>-115</v>
      </c>
      <c r="K1002" s="6" t="str">
        <f t="shared" si="31"/>
        <v>A~0</v>
      </c>
      <c r="L1002" t="str">
        <f>IF(J1002&lt;0,"A~0",VLOOKUP(J1002,[1]作法V!$B$1:$C$9,2,TRUE))</f>
        <v>A~0</v>
      </c>
    </row>
    <row r="1003" spans="1:12">
      <c r="A1003">
        <v>1061</v>
      </c>
      <c r="B1003" t="s">
        <v>61</v>
      </c>
      <c r="C1003" s="3">
        <v>38650</v>
      </c>
      <c r="D1003" s="3">
        <v>38801</v>
      </c>
      <c r="E1003" t="s">
        <v>17</v>
      </c>
      <c r="F1003">
        <v>33.4</v>
      </c>
      <c r="G1003">
        <v>23</v>
      </c>
      <c r="H1003">
        <v>768</v>
      </c>
      <c r="I1003" s="4">
        <v>38686</v>
      </c>
      <c r="J1003" s="5">
        <f t="shared" si="30"/>
        <v>-115</v>
      </c>
      <c r="K1003" s="6" t="str">
        <f t="shared" si="31"/>
        <v>A~0</v>
      </c>
      <c r="L1003" t="str">
        <f>IF(J1003&lt;0,"A~0",VLOOKUP(J1003,[1]作法V!$B$1:$C$9,2,TRUE))</f>
        <v>A~0</v>
      </c>
    </row>
    <row r="1004" spans="1:12">
      <c r="A1004">
        <v>1061</v>
      </c>
      <c r="B1004" t="s">
        <v>61</v>
      </c>
      <c r="C1004" s="3">
        <v>38650</v>
      </c>
      <c r="D1004" s="3">
        <v>38801</v>
      </c>
      <c r="E1004" t="s">
        <v>17</v>
      </c>
      <c r="F1004">
        <v>33.4</v>
      </c>
      <c r="G1004">
        <v>18</v>
      </c>
      <c r="H1004">
        <v>601</v>
      </c>
      <c r="I1004" s="4">
        <v>38686</v>
      </c>
      <c r="J1004" s="5">
        <f t="shared" si="30"/>
        <v>-115</v>
      </c>
      <c r="K1004" s="6" t="str">
        <f t="shared" si="31"/>
        <v>A~0</v>
      </c>
      <c r="L1004" t="str">
        <f>IF(J1004&lt;0,"A~0",VLOOKUP(J1004,[1]作法V!$B$1:$C$9,2,TRUE))</f>
        <v>A~0</v>
      </c>
    </row>
    <row r="1005" spans="1:12">
      <c r="A1005">
        <v>1061</v>
      </c>
      <c r="B1005" t="s">
        <v>61</v>
      </c>
      <c r="C1005" s="3">
        <v>38650</v>
      </c>
      <c r="D1005" s="3">
        <v>38801</v>
      </c>
      <c r="E1005" t="s">
        <v>17</v>
      </c>
      <c r="F1005">
        <v>33.4</v>
      </c>
      <c r="G1005">
        <v>25.33</v>
      </c>
      <c r="H1005">
        <v>846</v>
      </c>
      <c r="I1005" s="4">
        <v>38686</v>
      </c>
      <c r="J1005" s="5">
        <f t="shared" si="30"/>
        <v>-115</v>
      </c>
      <c r="K1005" s="6" t="str">
        <f t="shared" si="31"/>
        <v>A~0</v>
      </c>
      <c r="L1005" t="str">
        <f>IF(J1005&lt;0,"A~0",VLOOKUP(J1005,[1]作法V!$B$1:$C$9,2,TRUE))</f>
        <v>A~0</v>
      </c>
    </row>
    <row r="1006" spans="1:12">
      <c r="A1006">
        <v>1061</v>
      </c>
      <c r="B1006" t="s">
        <v>61</v>
      </c>
      <c r="C1006" s="3">
        <v>38653</v>
      </c>
      <c r="D1006" s="3">
        <v>38801</v>
      </c>
      <c r="E1006" t="s">
        <v>17</v>
      </c>
      <c r="F1006">
        <v>33.4</v>
      </c>
      <c r="G1006">
        <v>332.22</v>
      </c>
      <c r="H1006">
        <v>11096</v>
      </c>
      <c r="I1006" s="4">
        <v>38686</v>
      </c>
      <c r="J1006" s="5">
        <f t="shared" si="30"/>
        <v>-115</v>
      </c>
      <c r="K1006" s="6" t="str">
        <f t="shared" si="31"/>
        <v>A~0</v>
      </c>
      <c r="L1006" t="str">
        <f>IF(J1006&lt;0,"A~0",VLOOKUP(J1006,[1]作法V!$B$1:$C$9,2,TRUE))</f>
        <v>A~0</v>
      </c>
    </row>
    <row r="1007" spans="1:12">
      <c r="A1007">
        <v>1061</v>
      </c>
      <c r="B1007" t="s">
        <v>61</v>
      </c>
      <c r="C1007" s="3">
        <v>38657</v>
      </c>
      <c r="D1007" s="3">
        <v>38801</v>
      </c>
      <c r="E1007" t="s">
        <v>17</v>
      </c>
      <c r="F1007">
        <v>33.715000000000003</v>
      </c>
      <c r="G1007">
        <v>174.8</v>
      </c>
      <c r="H1007">
        <v>5893</v>
      </c>
      <c r="I1007" s="4">
        <v>38686</v>
      </c>
      <c r="J1007" s="5">
        <f t="shared" si="30"/>
        <v>-115</v>
      </c>
      <c r="K1007" s="6" t="str">
        <f t="shared" si="31"/>
        <v>A~0</v>
      </c>
      <c r="L1007" t="str">
        <f>IF(J1007&lt;0,"A~0",VLOOKUP(J1007,[1]作法V!$B$1:$C$9,2,TRUE))</f>
        <v>A~0</v>
      </c>
    </row>
    <row r="1008" spans="1:12">
      <c r="A1008">
        <v>1061</v>
      </c>
      <c r="B1008" t="s">
        <v>61</v>
      </c>
      <c r="C1008" s="3">
        <v>38657</v>
      </c>
      <c r="D1008" s="3">
        <v>38801</v>
      </c>
      <c r="E1008" t="s">
        <v>17</v>
      </c>
      <c r="F1008">
        <v>33.715000000000003</v>
      </c>
      <c r="G1008">
        <v>568</v>
      </c>
      <c r="H1008">
        <v>19150</v>
      </c>
      <c r="I1008" s="4">
        <v>38686</v>
      </c>
      <c r="J1008" s="5">
        <f t="shared" si="30"/>
        <v>-115</v>
      </c>
      <c r="K1008" s="6" t="str">
        <f t="shared" si="31"/>
        <v>A~0</v>
      </c>
      <c r="L1008" t="str">
        <f>IF(J1008&lt;0,"A~0",VLOOKUP(J1008,[1]作法V!$B$1:$C$9,2,TRUE))</f>
        <v>A~0</v>
      </c>
    </row>
    <row r="1009" spans="1:12">
      <c r="A1009">
        <v>1061</v>
      </c>
      <c r="B1009" t="s">
        <v>61</v>
      </c>
      <c r="C1009" s="3">
        <v>38663</v>
      </c>
      <c r="D1009" s="3">
        <v>38801</v>
      </c>
      <c r="E1009" t="s">
        <v>17</v>
      </c>
      <c r="F1009">
        <v>33.715000000000003</v>
      </c>
      <c r="G1009">
        <v>568</v>
      </c>
      <c r="H1009">
        <v>19150</v>
      </c>
      <c r="I1009" s="4">
        <v>38686</v>
      </c>
      <c r="J1009" s="5">
        <f t="shared" si="30"/>
        <v>-115</v>
      </c>
      <c r="K1009" s="6" t="str">
        <f t="shared" si="31"/>
        <v>A~0</v>
      </c>
      <c r="L1009" t="str">
        <f>IF(J1009&lt;0,"A~0",VLOOKUP(J1009,[1]作法V!$B$1:$C$9,2,TRUE))</f>
        <v>A~0</v>
      </c>
    </row>
    <row r="1010" spans="1:12">
      <c r="A1010">
        <v>1061</v>
      </c>
      <c r="B1010" t="s">
        <v>61</v>
      </c>
      <c r="C1010" s="3">
        <v>38663</v>
      </c>
      <c r="D1010" s="3">
        <v>38801</v>
      </c>
      <c r="E1010" t="s">
        <v>17</v>
      </c>
      <c r="F1010">
        <v>33.715000000000003</v>
      </c>
      <c r="G1010">
        <v>87.4</v>
      </c>
      <c r="H1010">
        <v>2947</v>
      </c>
      <c r="I1010" s="4">
        <v>38686</v>
      </c>
      <c r="J1010" s="5">
        <f t="shared" si="30"/>
        <v>-115</v>
      </c>
      <c r="K1010" s="6" t="str">
        <f t="shared" si="31"/>
        <v>A~0</v>
      </c>
      <c r="L1010" t="str">
        <f>IF(J1010&lt;0,"A~0",VLOOKUP(J1010,[1]作法V!$B$1:$C$9,2,TRUE))</f>
        <v>A~0</v>
      </c>
    </row>
    <row r="1011" spans="1:12">
      <c r="A1011">
        <v>1061</v>
      </c>
      <c r="B1011" t="s">
        <v>61</v>
      </c>
      <c r="C1011" s="3">
        <v>38663</v>
      </c>
      <c r="D1011" s="3">
        <v>38801</v>
      </c>
      <c r="E1011" t="s">
        <v>18</v>
      </c>
      <c r="F1011">
        <v>1</v>
      </c>
      <c r="G1011">
        <v>7371</v>
      </c>
      <c r="H1011">
        <v>7371</v>
      </c>
      <c r="I1011" s="4">
        <v>38686</v>
      </c>
      <c r="J1011" s="5">
        <f t="shared" si="30"/>
        <v>-115</v>
      </c>
      <c r="K1011" s="6" t="str">
        <f t="shared" si="31"/>
        <v>A~0</v>
      </c>
      <c r="L1011" t="str">
        <f>IF(J1011&lt;0,"A~0",VLOOKUP(J1011,[1]作法V!$B$1:$C$9,2,TRUE))</f>
        <v>A~0</v>
      </c>
    </row>
    <row r="1012" spans="1:12">
      <c r="A1012">
        <v>1061</v>
      </c>
      <c r="B1012" t="s">
        <v>61</v>
      </c>
      <c r="C1012" s="3">
        <v>38663</v>
      </c>
      <c r="D1012" s="3">
        <v>38801</v>
      </c>
      <c r="E1012" t="s">
        <v>18</v>
      </c>
      <c r="F1012">
        <v>1</v>
      </c>
      <c r="G1012">
        <v>10920</v>
      </c>
      <c r="H1012">
        <v>10920</v>
      </c>
      <c r="I1012" s="4">
        <v>38686</v>
      </c>
      <c r="J1012" s="5">
        <f t="shared" si="30"/>
        <v>-115</v>
      </c>
      <c r="K1012" s="6" t="str">
        <f t="shared" si="31"/>
        <v>A~0</v>
      </c>
      <c r="L1012" t="str">
        <f>IF(J1012&lt;0,"A~0",VLOOKUP(J1012,[1]作法V!$B$1:$C$9,2,TRUE))</f>
        <v>A~0</v>
      </c>
    </row>
    <row r="1013" spans="1:12">
      <c r="A1013">
        <v>1061</v>
      </c>
      <c r="B1013" t="s">
        <v>61</v>
      </c>
      <c r="C1013" s="3">
        <v>38665</v>
      </c>
      <c r="D1013" s="3">
        <v>38801</v>
      </c>
      <c r="E1013" t="s">
        <v>17</v>
      </c>
      <c r="F1013">
        <v>33.715000000000003</v>
      </c>
      <c r="G1013">
        <v>497</v>
      </c>
      <c r="H1013">
        <v>16756</v>
      </c>
      <c r="I1013" s="4">
        <v>38686</v>
      </c>
      <c r="J1013" s="5">
        <f t="shared" si="30"/>
        <v>-115</v>
      </c>
      <c r="K1013" s="6" t="str">
        <f t="shared" si="31"/>
        <v>A~0</v>
      </c>
      <c r="L1013" t="str">
        <f>IF(J1013&lt;0,"A~0",VLOOKUP(J1013,[1]作法V!$B$1:$C$9,2,TRUE))</f>
        <v>A~0</v>
      </c>
    </row>
    <row r="1014" spans="1:12">
      <c r="A1014">
        <v>1061</v>
      </c>
      <c r="B1014" t="s">
        <v>61</v>
      </c>
      <c r="C1014" s="3">
        <v>38670</v>
      </c>
      <c r="D1014" s="3">
        <v>38801</v>
      </c>
      <c r="E1014" t="s">
        <v>17</v>
      </c>
      <c r="F1014">
        <v>33.634999999999998</v>
      </c>
      <c r="G1014">
        <v>568</v>
      </c>
      <c r="H1014">
        <v>19105</v>
      </c>
      <c r="I1014" s="4">
        <v>38686</v>
      </c>
      <c r="J1014" s="5">
        <f t="shared" si="30"/>
        <v>-115</v>
      </c>
      <c r="K1014" s="6" t="str">
        <f t="shared" si="31"/>
        <v>A~0</v>
      </c>
      <c r="L1014" t="str">
        <f>IF(J1014&lt;0,"A~0",VLOOKUP(J1014,[1]作法V!$B$1:$C$9,2,TRUE))</f>
        <v>A~0</v>
      </c>
    </row>
    <row r="1015" spans="1:12">
      <c r="A1015">
        <v>1061</v>
      </c>
      <c r="B1015" t="s">
        <v>61</v>
      </c>
      <c r="C1015" s="3">
        <v>38677</v>
      </c>
      <c r="D1015" s="3">
        <v>38801</v>
      </c>
      <c r="E1015" t="s">
        <v>17</v>
      </c>
      <c r="F1015">
        <v>33.409999999999997</v>
      </c>
      <c r="G1015">
        <v>284</v>
      </c>
      <c r="H1015">
        <v>9488</v>
      </c>
      <c r="I1015" s="4">
        <v>38686</v>
      </c>
      <c r="J1015" s="5">
        <f t="shared" si="30"/>
        <v>-115</v>
      </c>
      <c r="K1015" s="6" t="str">
        <f t="shared" si="31"/>
        <v>A~0</v>
      </c>
      <c r="L1015" t="str">
        <f>IF(J1015&lt;0,"A~0",VLOOKUP(J1015,[1]作法V!$B$1:$C$9,2,TRUE))</f>
        <v>A~0</v>
      </c>
    </row>
    <row r="1016" spans="1:12">
      <c r="A1016">
        <v>1061</v>
      </c>
      <c r="B1016" t="s">
        <v>61</v>
      </c>
      <c r="C1016" s="3">
        <v>38677</v>
      </c>
      <c r="D1016" s="3">
        <v>38801</v>
      </c>
      <c r="E1016" t="s">
        <v>17</v>
      </c>
      <c r="F1016">
        <v>33.409999999999997</v>
      </c>
      <c r="G1016">
        <v>775.68</v>
      </c>
      <c r="H1016">
        <v>25915</v>
      </c>
      <c r="I1016" s="4">
        <v>38686</v>
      </c>
      <c r="J1016" s="5">
        <f t="shared" si="30"/>
        <v>-115</v>
      </c>
      <c r="K1016" s="6" t="str">
        <f t="shared" si="31"/>
        <v>A~0</v>
      </c>
      <c r="L1016" t="str">
        <f>IF(J1016&lt;0,"A~0",VLOOKUP(J1016,[1]作法V!$B$1:$C$9,2,TRUE))</f>
        <v>A~0</v>
      </c>
    </row>
    <row r="1017" spans="1:12">
      <c r="A1017">
        <v>1061</v>
      </c>
      <c r="B1017" t="s">
        <v>61</v>
      </c>
      <c r="C1017" s="3">
        <v>38677</v>
      </c>
      <c r="D1017" s="3">
        <v>38801</v>
      </c>
      <c r="E1017" t="s">
        <v>17</v>
      </c>
      <c r="F1017">
        <v>33.409999999999997</v>
      </c>
      <c r="G1017">
        <v>174.8</v>
      </c>
      <c r="H1017">
        <v>5840</v>
      </c>
      <c r="I1017" s="4">
        <v>38686</v>
      </c>
      <c r="J1017" s="5">
        <f t="shared" si="30"/>
        <v>-115</v>
      </c>
      <c r="K1017" s="6" t="str">
        <f t="shared" si="31"/>
        <v>A~0</v>
      </c>
      <c r="L1017" t="str">
        <f>IF(J1017&lt;0,"A~0",VLOOKUP(J1017,[1]作法V!$B$1:$C$9,2,TRUE))</f>
        <v>A~0</v>
      </c>
    </row>
    <row r="1018" spans="1:12">
      <c r="A1018">
        <v>1061</v>
      </c>
      <c r="B1018" t="s">
        <v>61</v>
      </c>
      <c r="C1018" s="3">
        <v>38677</v>
      </c>
      <c r="D1018" s="3">
        <v>38801</v>
      </c>
      <c r="E1018" t="s">
        <v>17</v>
      </c>
      <c r="F1018">
        <v>33.409999999999997</v>
      </c>
      <c r="G1018">
        <v>611.79999999999995</v>
      </c>
      <c r="H1018">
        <v>20440</v>
      </c>
      <c r="I1018" s="4">
        <v>38686</v>
      </c>
      <c r="J1018" s="5">
        <f t="shared" si="30"/>
        <v>-115</v>
      </c>
      <c r="K1018" s="6" t="str">
        <f t="shared" si="31"/>
        <v>A~0</v>
      </c>
      <c r="L1018" t="str">
        <f>IF(J1018&lt;0,"A~0",VLOOKUP(J1018,[1]作法V!$B$1:$C$9,2,TRUE))</f>
        <v>A~0</v>
      </c>
    </row>
    <row r="1019" spans="1:12">
      <c r="A1019">
        <v>1061</v>
      </c>
      <c r="B1019" t="s">
        <v>61</v>
      </c>
      <c r="C1019" s="3">
        <v>38677</v>
      </c>
      <c r="D1019" s="3">
        <v>38801</v>
      </c>
      <c r="E1019" t="s">
        <v>17</v>
      </c>
      <c r="F1019">
        <v>33.409999999999997</v>
      </c>
      <c r="G1019">
        <v>87.4</v>
      </c>
      <c r="H1019">
        <v>2920</v>
      </c>
      <c r="I1019" s="4">
        <v>38686</v>
      </c>
      <c r="J1019" s="5">
        <f t="shared" si="30"/>
        <v>-115</v>
      </c>
      <c r="K1019" s="6" t="str">
        <f t="shared" si="31"/>
        <v>A~0</v>
      </c>
      <c r="L1019" t="str">
        <f>IF(J1019&lt;0,"A~0",VLOOKUP(J1019,[1]作法V!$B$1:$C$9,2,TRUE))</f>
        <v>A~0</v>
      </c>
    </row>
    <row r="1020" spans="1:12">
      <c r="A1020">
        <v>1061</v>
      </c>
      <c r="B1020" t="s">
        <v>61</v>
      </c>
      <c r="C1020" s="3">
        <v>38678</v>
      </c>
      <c r="D1020" s="3">
        <v>38801</v>
      </c>
      <c r="E1020" t="s">
        <v>17</v>
      </c>
      <c r="F1020">
        <v>33.409999999999997</v>
      </c>
      <c r="G1020">
        <v>22.25</v>
      </c>
      <c r="H1020">
        <v>743</v>
      </c>
      <c r="I1020" s="4">
        <v>38686</v>
      </c>
      <c r="J1020" s="5">
        <f t="shared" si="30"/>
        <v>-115</v>
      </c>
      <c r="K1020" s="6" t="str">
        <f t="shared" si="31"/>
        <v>A~0</v>
      </c>
      <c r="L1020" t="str">
        <f>IF(J1020&lt;0,"A~0",VLOOKUP(J1020,[1]作法V!$B$1:$C$9,2,TRUE))</f>
        <v>A~0</v>
      </c>
    </row>
    <row r="1021" spans="1:12">
      <c r="A1021">
        <v>1061</v>
      </c>
      <c r="B1021" t="s">
        <v>61</v>
      </c>
      <c r="C1021" s="3">
        <v>38678</v>
      </c>
      <c r="D1021" s="3">
        <v>38801</v>
      </c>
      <c r="E1021" t="s">
        <v>17</v>
      </c>
      <c r="F1021">
        <v>33.409999999999997</v>
      </c>
      <c r="G1021">
        <v>17.25</v>
      </c>
      <c r="H1021">
        <v>576</v>
      </c>
      <c r="I1021" s="4">
        <v>38686</v>
      </c>
      <c r="J1021" s="5">
        <f t="shared" si="30"/>
        <v>-115</v>
      </c>
      <c r="K1021" s="6" t="str">
        <f t="shared" si="31"/>
        <v>A~0</v>
      </c>
      <c r="L1021" t="str">
        <f>IF(J1021&lt;0,"A~0",VLOOKUP(J1021,[1]作法V!$B$1:$C$9,2,TRUE))</f>
        <v>A~0</v>
      </c>
    </row>
    <row r="1022" spans="1:12">
      <c r="A1022">
        <v>1061</v>
      </c>
      <c r="B1022" t="s">
        <v>61</v>
      </c>
      <c r="C1022" s="3">
        <v>38678</v>
      </c>
      <c r="D1022" s="3">
        <v>38801</v>
      </c>
      <c r="E1022" t="s">
        <v>17</v>
      </c>
      <c r="F1022">
        <v>33.409999999999997</v>
      </c>
      <c r="G1022">
        <v>13.25</v>
      </c>
      <c r="H1022">
        <v>443</v>
      </c>
      <c r="I1022" s="4">
        <v>38686</v>
      </c>
      <c r="J1022" s="5">
        <f t="shared" si="30"/>
        <v>-115</v>
      </c>
      <c r="K1022" s="6" t="str">
        <f t="shared" si="31"/>
        <v>A~0</v>
      </c>
      <c r="L1022" t="str">
        <f>IF(J1022&lt;0,"A~0",VLOOKUP(J1022,[1]作法V!$B$1:$C$9,2,TRUE))</f>
        <v>A~0</v>
      </c>
    </row>
    <row r="1023" spans="1:12">
      <c r="A1023">
        <v>1061</v>
      </c>
      <c r="B1023" t="s">
        <v>61</v>
      </c>
      <c r="C1023" s="3">
        <v>38684</v>
      </c>
      <c r="D1023" s="3">
        <v>38832</v>
      </c>
      <c r="E1023" t="s">
        <v>17</v>
      </c>
      <c r="F1023">
        <v>33.409999999999997</v>
      </c>
      <c r="G1023">
        <v>8.9</v>
      </c>
      <c r="H1023">
        <v>297</v>
      </c>
      <c r="I1023" s="4">
        <v>38686</v>
      </c>
      <c r="J1023" s="5">
        <f t="shared" si="30"/>
        <v>-146</v>
      </c>
      <c r="K1023" s="6" t="str">
        <f t="shared" si="31"/>
        <v>A~0</v>
      </c>
      <c r="L1023" t="str">
        <f>IF(J1023&lt;0,"A~0",VLOOKUP(J1023,[1]作法V!$B$1:$C$9,2,TRUE))</f>
        <v>A~0</v>
      </c>
    </row>
    <row r="1024" spans="1:12">
      <c r="A1024">
        <v>1061</v>
      </c>
      <c r="B1024" t="s">
        <v>61</v>
      </c>
      <c r="C1024" s="3">
        <v>38684</v>
      </c>
      <c r="D1024" s="3">
        <v>38832</v>
      </c>
      <c r="E1024" t="s">
        <v>17</v>
      </c>
      <c r="F1024">
        <v>33.409999999999997</v>
      </c>
      <c r="G1024">
        <v>48.3</v>
      </c>
      <c r="H1024">
        <v>1614</v>
      </c>
      <c r="I1024" s="4">
        <v>38686</v>
      </c>
      <c r="J1024" s="5">
        <f t="shared" si="30"/>
        <v>-146</v>
      </c>
      <c r="K1024" s="6" t="str">
        <f t="shared" si="31"/>
        <v>A~0</v>
      </c>
      <c r="L1024" t="str">
        <f>IF(J1024&lt;0,"A~0",VLOOKUP(J1024,[1]作法V!$B$1:$C$9,2,TRUE))</f>
        <v>A~0</v>
      </c>
    </row>
    <row r="1025" spans="1:12">
      <c r="A1025">
        <v>1061</v>
      </c>
      <c r="B1025" t="s">
        <v>61</v>
      </c>
      <c r="C1025" s="3">
        <v>38684</v>
      </c>
      <c r="D1025" s="3">
        <v>38832</v>
      </c>
      <c r="E1025" t="s">
        <v>17</v>
      </c>
      <c r="F1025">
        <v>33.409999999999997</v>
      </c>
      <c r="G1025">
        <v>62.3</v>
      </c>
      <c r="H1025">
        <v>2081</v>
      </c>
      <c r="I1025" s="4">
        <v>38686</v>
      </c>
      <c r="J1025" s="5">
        <f t="shared" si="30"/>
        <v>-146</v>
      </c>
      <c r="K1025" s="6" t="str">
        <f t="shared" si="31"/>
        <v>A~0</v>
      </c>
      <c r="L1025" t="str">
        <f>IF(J1025&lt;0,"A~0",VLOOKUP(J1025,[1]作法V!$B$1:$C$9,2,TRUE))</f>
        <v>A~0</v>
      </c>
    </row>
    <row r="1026" spans="1:12">
      <c r="A1026">
        <v>1061</v>
      </c>
      <c r="B1026" t="s">
        <v>61</v>
      </c>
      <c r="C1026" s="3">
        <v>38684</v>
      </c>
      <c r="D1026" s="3">
        <v>38832</v>
      </c>
      <c r="E1026" t="s">
        <v>17</v>
      </c>
      <c r="F1026">
        <v>33.409999999999997</v>
      </c>
      <c r="G1026">
        <v>6.9</v>
      </c>
      <c r="H1026">
        <v>231</v>
      </c>
      <c r="I1026" s="4">
        <v>38686</v>
      </c>
      <c r="J1026" s="5">
        <f t="shared" ref="J1026:J1089" si="32">I1026-D1026</f>
        <v>-146</v>
      </c>
      <c r="K1026" s="6" t="str">
        <f t="shared" ref="K1026:K1089" si="33">IF(J1026&lt;1,"A~0",IF(J1026&lt;31,"B1~30",IF(J1026&lt;61,"C31~60",IF(J1026&lt;91,"D61~90",IF(J1026&lt;121,"E91~120",IF(J1026&lt;181,"F121~180",IF(J1026&lt;361,"G181~360","H361~")))))))</f>
        <v>A~0</v>
      </c>
      <c r="L1026" t="str">
        <f>IF(J1026&lt;0,"A~0",VLOOKUP(J1026,[1]作法V!$B$1:$C$9,2,TRUE))</f>
        <v>A~0</v>
      </c>
    </row>
    <row r="1027" spans="1:12">
      <c r="A1027">
        <v>1061</v>
      </c>
      <c r="B1027" t="s">
        <v>61</v>
      </c>
      <c r="C1027" s="3">
        <v>38684</v>
      </c>
      <c r="D1027" s="3">
        <v>38832</v>
      </c>
      <c r="E1027" t="s">
        <v>17</v>
      </c>
      <c r="F1027">
        <v>33.409999999999997</v>
      </c>
      <c r="G1027">
        <v>775.68</v>
      </c>
      <c r="H1027">
        <v>25915</v>
      </c>
      <c r="I1027" s="4">
        <v>38686</v>
      </c>
      <c r="J1027" s="5">
        <f t="shared" si="32"/>
        <v>-146</v>
      </c>
      <c r="K1027" s="6" t="str">
        <f t="shared" si="33"/>
        <v>A~0</v>
      </c>
      <c r="L1027" t="str">
        <f>IF(J1027&lt;0,"A~0",VLOOKUP(J1027,[1]作法V!$B$1:$C$9,2,TRUE))</f>
        <v>A~0</v>
      </c>
    </row>
    <row r="1028" spans="1:12">
      <c r="A1028">
        <v>1061</v>
      </c>
      <c r="B1028" t="s">
        <v>61</v>
      </c>
      <c r="C1028" s="3">
        <v>38684</v>
      </c>
      <c r="D1028" s="3">
        <v>38832</v>
      </c>
      <c r="E1028" t="s">
        <v>17</v>
      </c>
      <c r="F1028">
        <v>33.409999999999997</v>
      </c>
      <c r="G1028">
        <v>5.3</v>
      </c>
      <c r="H1028">
        <v>177</v>
      </c>
      <c r="I1028" s="4">
        <v>38686</v>
      </c>
      <c r="J1028" s="5">
        <f t="shared" si="32"/>
        <v>-146</v>
      </c>
      <c r="K1028" s="6" t="str">
        <f t="shared" si="33"/>
        <v>A~0</v>
      </c>
      <c r="L1028" t="str">
        <f>IF(J1028&lt;0,"A~0",VLOOKUP(J1028,[1]作法V!$B$1:$C$9,2,TRUE))</f>
        <v>A~0</v>
      </c>
    </row>
    <row r="1029" spans="1:12">
      <c r="A1029">
        <v>1061</v>
      </c>
      <c r="B1029" t="s">
        <v>61</v>
      </c>
      <c r="C1029" s="3">
        <v>38684</v>
      </c>
      <c r="D1029" s="3">
        <v>38832</v>
      </c>
      <c r="E1029" t="s">
        <v>17</v>
      </c>
      <c r="F1029">
        <v>33.409999999999997</v>
      </c>
      <c r="G1029">
        <v>37.1</v>
      </c>
      <c r="H1029">
        <v>1240</v>
      </c>
      <c r="I1029" s="4">
        <v>38686</v>
      </c>
      <c r="J1029" s="5">
        <f t="shared" si="32"/>
        <v>-146</v>
      </c>
      <c r="K1029" s="6" t="str">
        <f t="shared" si="33"/>
        <v>A~0</v>
      </c>
      <c r="L1029" t="str">
        <f>IF(J1029&lt;0,"A~0",VLOOKUP(J1029,[1]作法V!$B$1:$C$9,2,TRUE))</f>
        <v>A~0</v>
      </c>
    </row>
    <row r="1030" spans="1:12">
      <c r="A1030">
        <v>1061</v>
      </c>
      <c r="B1030" t="s">
        <v>61</v>
      </c>
      <c r="C1030" s="3">
        <v>38684</v>
      </c>
      <c r="D1030" s="3">
        <v>38832</v>
      </c>
      <c r="E1030" t="s">
        <v>17</v>
      </c>
      <c r="F1030">
        <v>33.409999999999997</v>
      </c>
      <c r="G1030">
        <v>85.5</v>
      </c>
      <c r="H1030">
        <v>2857</v>
      </c>
      <c r="I1030" s="4">
        <v>38686</v>
      </c>
      <c r="J1030" s="5">
        <f t="shared" si="32"/>
        <v>-146</v>
      </c>
      <c r="K1030" s="6" t="str">
        <f t="shared" si="33"/>
        <v>A~0</v>
      </c>
      <c r="L1030" t="str">
        <f>IF(J1030&lt;0,"A~0",VLOOKUP(J1030,[1]作法V!$B$1:$C$9,2,TRUE))</f>
        <v>A~0</v>
      </c>
    </row>
    <row r="1031" spans="1:12">
      <c r="A1031">
        <v>1061</v>
      </c>
      <c r="B1031" t="s">
        <v>61</v>
      </c>
      <c r="C1031" s="3">
        <v>38684</v>
      </c>
      <c r="D1031" s="3">
        <v>38832</v>
      </c>
      <c r="E1031" t="s">
        <v>17</v>
      </c>
      <c r="F1031">
        <v>33.409999999999997</v>
      </c>
      <c r="G1031">
        <v>138</v>
      </c>
      <c r="H1031">
        <v>4611</v>
      </c>
      <c r="I1031" s="4">
        <v>38686</v>
      </c>
      <c r="J1031" s="5">
        <f t="shared" si="32"/>
        <v>-146</v>
      </c>
      <c r="K1031" s="6" t="str">
        <f t="shared" si="33"/>
        <v>A~0</v>
      </c>
      <c r="L1031" t="str">
        <f>IF(J1031&lt;0,"A~0",VLOOKUP(J1031,[1]作法V!$B$1:$C$9,2,TRUE))</f>
        <v>A~0</v>
      </c>
    </row>
    <row r="1032" spans="1:12">
      <c r="A1032">
        <v>1061</v>
      </c>
      <c r="B1032" t="s">
        <v>61</v>
      </c>
      <c r="C1032" s="3">
        <v>38684</v>
      </c>
      <c r="D1032" s="3">
        <v>38832</v>
      </c>
      <c r="E1032" t="s">
        <v>17</v>
      </c>
      <c r="F1032">
        <v>33.409999999999997</v>
      </c>
      <c r="G1032">
        <v>42.75</v>
      </c>
      <c r="H1032">
        <v>1428</v>
      </c>
      <c r="I1032" s="4">
        <v>38686</v>
      </c>
      <c r="J1032" s="5">
        <f t="shared" si="32"/>
        <v>-146</v>
      </c>
      <c r="K1032" s="6" t="str">
        <f t="shared" si="33"/>
        <v>A~0</v>
      </c>
      <c r="L1032" t="str">
        <f>IF(J1032&lt;0,"A~0",VLOOKUP(J1032,[1]作法V!$B$1:$C$9,2,TRUE))</f>
        <v>A~0</v>
      </c>
    </row>
    <row r="1033" spans="1:12">
      <c r="A1033">
        <v>1061</v>
      </c>
      <c r="B1033" t="s">
        <v>61</v>
      </c>
      <c r="C1033" s="3">
        <v>38684</v>
      </c>
      <c r="D1033" s="3">
        <v>38832</v>
      </c>
      <c r="E1033" t="s">
        <v>17</v>
      </c>
      <c r="F1033">
        <v>33.409999999999997</v>
      </c>
      <c r="G1033">
        <v>110.7</v>
      </c>
      <c r="H1033">
        <v>3698</v>
      </c>
      <c r="I1033" s="4">
        <v>38686</v>
      </c>
      <c r="J1033" s="5">
        <f t="shared" si="32"/>
        <v>-146</v>
      </c>
      <c r="K1033" s="6" t="str">
        <f t="shared" si="33"/>
        <v>A~0</v>
      </c>
      <c r="L1033" t="str">
        <f>IF(J1033&lt;0,"A~0",VLOOKUP(J1033,[1]作法V!$B$1:$C$9,2,TRUE))</f>
        <v>A~0</v>
      </c>
    </row>
    <row r="1034" spans="1:12">
      <c r="A1034">
        <v>1061</v>
      </c>
      <c r="B1034" t="s">
        <v>61</v>
      </c>
      <c r="C1034" s="3">
        <v>38684</v>
      </c>
      <c r="D1034" s="3">
        <v>38832</v>
      </c>
      <c r="E1034" t="s">
        <v>17</v>
      </c>
      <c r="F1034">
        <v>33.409999999999997</v>
      </c>
      <c r="G1034">
        <v>284</v>
      </c>
      <c r="H1034">
        <v>9488</v>
      </c>
      <c r="I1034" s="4">
        <v>38686</v>
      </c>
      <c r="J1034" s="5">
        <f t="shared" si="32"/>
        <v>-146</v>
      </c>
      <c r="K1034" s="6" t="str">
        <f t="shared" si="33"/>
        <v>A~0</v>
      </c>
      <c r="L1034" t="str">
        <f>IF(J1034&lt;0,"A~0",VLOOKUP(J1034,[1]作法V!$B$1:$C$9,2,TRUE))</f>
        <v>A~0</v>
      </c>
    </row>
    <row r="1035" spans="1:12">
      <c r="A1035">
        <v>1061</v>
      </c>
      <c r="B1035" t="s">
        <v>61</v>
      </c>
      <c r="C1035" s="3">
        <v>38684</v>
      </c>
      <c r="D1035" s="3">
        <v>38832</v>
      </c>
      <c r="E1035" t="s">
        <v>17</v>
      </c>
      <c r="F1035">
        <v>33.409999999999997</v>
      </c>
      <c r="G1035">
        <v>921.6</v>
      </c>
      <c r="H1035">
        <v>30791</v>
      </c>
      <c r="I1035" s="4">
        <v>38686</v>
      </c>
      <c r="J1035" s="5">
        <f t="shared" si="32"/>
        <v>-146</v>
      </c>
      <c r="K1035" s="6" t="str">
        <f t="shared" si="33"/>
        <v>A~0</v>
      </c>
      <c r="L1035" t="str">
        <f>IF(J1035&lt;0,"A~0",VLOOKUP(J1035,[1]作法V!$B$1:$C$9,2,TRUE))</f>
        <v>A~0</v>
      </c>
    </row>
    <row r="1036" spans="1:12">
      <c r="A1036">
        <v>1061</v>
      </c>
      <c r="B1036" t="s">
        <v>61</v>
      </c>
      <c r="C1036" s="3">
        <v>38684</v>
      </c>
      <c r="D1036" s="3">
        <v>38832</v>
      </c>
      <c r="E1036" t="s">
        <v>17</v>
      </c>
      <c r="F1036">
        <v>33.409999999999997</v>
      </c>
      <c r="G1036">
        <v>874</v>
      </c>
      <c r="H1036">
        <v>29200</v>
      </c>
      <c r="I1036" s="4">
        <v>38686</v>
      </c>
      <c r="J1036" s="5">
        <f t="shared" si="32"/>
        <v>-146</v>
      </c>
      <c r="K1036" s="6" t="str">
        <f t="shared" si="33"/>
        <v>A~0</v>
      </c>
      <c r="L1036" t="str">
        <f>IF(J1036&lt;0,"A~0",VLOOKUP(J1036,[1]作法V!$B$1:$C$9,2,TRUE))</f>
        <v>A~0</v>
      </c>
    </row>
    <row r="1037" spans="1:12">
      <c r="A1037">
        <v>1064</v>
      </c>
      <c r="B1037" t="s">
        <v>63</v>
      </c>
      <c r="C1037" s="3">
        <v>38658</v>
      </c>
      <c r="D1037" s="3">
        <v>38786</v>
      </c>
      <c r="E1037" t="s">
        <v>18</v>
      </c>
      <c r="F1037">
        <v>1</v>
      </c>
      <c r="G1037">
        <v>28665</v>
      </c>
      <c r="H1037">
        <v>28665</v>
      </c>
      <c r="I1037" s="4">
        <v>38686</v>
      </c>
      <c r="J1037" s="5">
        <f t="shared" si="32"/>
        <v>-100</v>
      </c>
      <c r="K1037" s="6" t="str">
        <f t="shared" si="33"/>
        <v>A~0</v>
      </c>
      <c r="L1037" t="str">
        <f>IF(J1037&lt;0,"A~0",VLOOKUP(J1037,[1]作法V!$B$1:$C$9,2,TRUE))</f>
        <v>A~0</v>
      </c>
    </row>
    <row r="1038" spans="1:12">
      <c r="A1038">
        <v>1064</v>
      </c>
      <c r="B1038" t="s">
        <v>63</v>
      </c>
      <c r="C1038" s="3">
        <v>38671</v>
      </c>
      <c r="D1038" s="3">
        <v>38786</v>
      </c>
      <c r="E1038" t="s">
        <v>18</v>
      </c>
      <c r="F1038">
        <v>1</v>
      </c>
      <c r="G1038">
        <v>69615</v>
      </c>
      <c r="H1038">
        <v>69615</v>
      </c>
      <c r="I1038" s="4">
        <v>38686</v>
      </c>
      <c r="J1038" s="5">
        <f t="shared" si="32"/>
        <v>-100</v>
      </c>
      <c r="K1038" s="6" t="str">
        <f t="shared" si="33"/>
        <v>A~0</v>
      </c>
      <c r="L1038" t="str">
        <f>IF(J1038&lt;0,"A~0",VLOOKUP(J1038,[1]作法V!$B$1:$C$9,2,TRUE))</f>
        <v>A~0</v>
      </c>
    </row>
    <row r="1039" spans="1:12">
      <c r="A1039">
        <v>1064</v>
      </c>
      <c r="B1039" t="s">
        <v>63</v>
      </c>
      <c r="C1039" s="3">
        <v>38677</v>
      </c>
      <c r="D1039" s="3">
        <v>38786</v>
      </c>
      <c r="E1039" t="s">
        <v>18</v>
      </c>
      <c r="F1039">
        <v>1</v>
      </c>
      <c r="G1039">
        <v>36855</v>
      </c>
      <c r="H1039">
        <v>36855</v>
      </c>
      <c r="I1039" s="4">
        <v>38686</v>
      </c>
      <c r="J1039" s="5">
        <f t="shared" si="32"/>
        <v>-100</v>
      </c>
      <c r="K1039" s="6" t="str">
        <f t="shared" si="33"/>
        <v>A~0</v>
      </c>
      <c r="L1039" t="str">
        <f>IF(J1039&lt;0,"A~0",VLOOKUP(J1039,[1]作法V!$B$1:$C$9,2,TRUE))</f>
        <v>A~0</v>
      </c>
    </row>
    <row r="1040" spans="1:12">
      <c r="A1040">
        <v>1064</v>
      </c>
      <c r="B1040" t="s">
        <v>63</v>
      </c>
      <c r="C1040" s="3">
        <v>38679</v>
      </c>
      <c r="D1040" s="3">
        <v>38786</v>
      </c>
      <c r="E1040" t="s">
        <v>18</v>
      </c>
      <c r="F1040">
        <v>1</v>
      </c>
      <c r="G1040">
        <v>1365</v>
      </c>
      <c r="H1040">
        <v>1365</v>
      </c>
      <c r="I1040" s="4">
        <v>38686</v>
      </c>
      <c r="J1040" s="5">
        <f t="shared" si="32"/>
        <v>-100</v>
      </c>
      <c r="K1040" s="6" t="str">
        <f t="shared" si="33"/>
        <v>A~0</v>
      </c>
      <c r="L1040" t="str">
        <f>IF(J1040&lt;0,"A~0",VLOOKUP(J1040,[1]作法V!$B$1:$C$9,2,TRUE))</f>
        <v>A~0</v>
      </c>
    </row>
    <row r="1041" spans="1:12">
      <c r="A1041">
        <v>1064</v>
      </c>
      <c r="B1041" t="s">
        <v>63</v>
      </c>
      <c r="C1041" s="3">
        <v>38679</v>
      </c>
      <c r="D1041" s="3">
        <v>38786</v>
      </c>
      <c r="E1041" t="s">
        <v>18</v>
      </c>
      <c r="F1041">
        <v>1</v>
      </c>
      <c r="G1041">
        <v>2730</v>
      </c>
      <c r="H1041">
        <v>2730</v>
      </c>
      <c r="I1041" s="4">
        <v>38686</v>
      </c>
      <c r="J1041" s="5">
        <f t="shared" si="32"/>
        <v>-100</v>
      </c>
      <c r="K1041" s="6" t="str">
        <f t="shared" si="33"/>
        <v>A~0</v>
      </c>
      <c r="L1041" t="str">
        <f>IF(J1041&lt;0,"A~0",VLOOKUP(J1041,[1]作法V!$B$1:$C$9,2,TRUE))</f>
        <v>A~0</v>
      </c>
    </row>
    <row r="1042" spans="1:12">
      <c r="A1042">
        <v>1064</v>
      </c>
      <c r="B1042" t="s">
        <v>63</v>
      </c>
      <c r="C1042" s="3">
        <v>38685</v>
      </c>
      <c r="D1042" s="3">
        <v>38817</v>
      </c>
      <c r="E1042" t="s">
        <v>18</v>
      </c>
      <c r="F1042">
        <v>1</v>
      </c>
      <c r="G1042">
        <v>98280</v>
      </c>
      <c r="H1042">
        <v>98280</v>
      </c>
      <c r="I1042" s="4">
        <v>38686</v>
      </c>
      <c r="J1042" s="5">
        <f t="shared" si="32"/>
        <v>-131</v>
      </c>
      <c r="K1042" s="6" t="str">
        <f t="shared" si="33"/>
        <v>A~0</v>
      </c>
      <c r="L1042" t="str">
        <f>IF(J1042&lt;0,"A~0",VLOOKUP(J1042,[1]作法V!$B$1:$C$9,2,TRUE))</f>
        <v>A~0</v>
      </c>
    </row>
    <row r="1043" spans="1:12">
      <c r="A1043">
        <v>1068</v>
      </c>
      <c r="B1043" t="s">
        <v>62</v>
      </c>
      <c r="C1043" s="3">
        <v>38505</v>
      </c>
      <c r="D1043" s="3">
        <v>38686</v>
      </c>
      <c r="E1043" t="s">
        <v>18</v>
      </c>
      <c r="F1043">
        <v>1</v>
      </c>
      <c r="G1043">
        <v>91200</v>
      </c>
      <c r="H1043">
        <v>91200</v>
      </c>
      <c r="I1043" s="4">
        <v>38686</v>
      </c>
      <c r="J1043" s="5">
        <f t="shared" si="32"/>
        <v>0</v>
      </c>
      <c r="K1043" s="6" t="str">
        <f t="shared" si="33"/>
        <v>A~0</v>
      </c>
      <c r="L1043" t="str">
        <f>IF(J1043&lt;0,"A~0",VLOOKUP(J1043,[1]作法V!$B$1:$C$9,2,TRUE))</f>
        <v>A~0</v>
      </c>
    </row>
    <row r="1044" spans="1:12">
      <c r="A1044">
        <v>1068</v>
      </c>
      <c r="B1044" t="s">
        <v>62</v>
      </c>
      <c r="C1044" s="3">
        <v>38505</v>
      </c>
      <c r="D1044" s="3">
        <v>38686</v>
      </c>
      <c r="E1044" t="s">
        <v>18</v>
      </c>
      <c r="F1044">
        <v>1</v>
      </c>
      <c r="G1044">
        <v>9576</v>
      </c>
      <c r="H1044">
        <v>9576</v>
      </c>
      <c r="I1044" s="4">
        <v>38686</v>
      </c>
      <c r="J1044" s="5">
        <f t="shared" si="32"/>
        <v>0</v>
      </c>
      <c r="K1044" s="6" t="str">
        <f t="shared" si="33"/>
        <v>A~0</v>
      </c>
      <c r="L1044" t="str">
        <f>IF(J1044&lt;0,"A~0",VLOOKUP(J1044,[1]作法V!$B$1:$C$9,2,TRUE))</f>
        <v>A~0</v>
      </c>
    </row>
    <row r="1045" spans="1:12">
      <c r="A1045">
        <v>1068</v>
      </c>
      <c r="B1045" t="s">
        <v>62</v>
      </c>
      <c r="C1045" s="3">
        <v>38505</v>
      </c>
      <c r="D1045" s="3">
        <v>38686</v>
      </c>
      <c r="E1045" t="s">
        <v>18</v>
      </c>
      <c r="F1045">
        <v>1</v>
      </c>
      <c r="G1045">
        <v>10280</v>
      </c>
      <c r="H1045">
        <v>10280</v>
      </c>
      <c r="I1045" s="4">
        <v>38686</v>
      </c>
      <c r="J1045" s="5">
        <f t="shared" si="32"/>
        <v>0</v>
      </c>
      <c r="K1045" s="6" t="str">
        <f t="shared" si="33"/>
        <v>A~0</v>
      </c>
      <c r="L1045" t="str">
        <f>IF(J1045&lt;0,"A~0",VLOOKUP(J1045,[1]作法V!$B$1:$C$9,2,TRUE))</f>
        <v>A~0</v>
      </c>
    </row>
    <row r="1046" spans="1:12">
      <c r="A1046">
        <v>1068</v>
      </c>
      <c r="B1046" t="s">
        <v>62</v>
      </c>
      <c r="C1046" s="3">
        <v>38505</v>
      </c>
      <c r="D1046" s="3">
        <v>38686</v>
      </c>
      <c r="E1046" t="s">
        <v>18</v>
      </c>
      <c r="F1046">
        <v>1</v>
      </c>
      <c r="G1046">
        <v>4560</v>
      </c>
      <c r="H1046">
        <v>4560</v>
      </c>
      <c r="I1046" s="4">
        <v>38686</v>
      </c>
      <c r="J1046" s="5">
        <f t="shared" si="32"/>
        <v>0</v>
      </c>
      <c r="K1046" s="6" t="str">
        <f t="shared" si="33"/>
        <v>A~0</v>
      </c>
      <c r="L1046" t="str">
        <f>IF(J1046&lt;0,"A~0",VLOOKUP(J1046,[1]作法V!$B$1:$C$9,2,TRUE))</f>
        <v>A~0</v>
      </c>
    </row>
    <row r="1047" spans="1:12">
      <c r="A1047">
        <v>1068</v>
      </c>
      <c r="B1047" t="s">
        <v>62</v>
      </c>
      <c r="C1047" s="3">
        <v>38505</v>
      </c>
      <c r="D1047" s="3">
        <v>38686</v>
      </c>
      <c r="E1047" t="s">
        <v>18</v>
      </c>
      <c r="F1047">
        <v>1</v>
      </c>
      <c r="G1047">
        <v>12840</v>
      </c>
      <c r="H1047">
        <v>12840</v>
      </c>
      <c r="I1047" s="4">
        <v>38686</v>
      </c>
      <c r="J1047" s="5">
        <f t="shared" si="32"/>
        <v>0</v>
      </c>
      <c r="K1047" s="6" t="str">
        <f t="shared" si="33"/>
        <v>A~0</v>
      </c>
      <c r="L1047" t="str">
        <f>IF(J1047&lt;0,"A~0",VLOOKUP(J1047,[1]作法V!$B$1:$C$9,2,TRUE))</f>
        <v>A~0</v>
      </c>
    </row>
    <row r="1048" spans="1:12">
      <c r="A1048">
        <v>1068</v>
      </c>
      <c r="B1048" t="s">
        <v>62</v>
      </c>
      <c r="C1048" s="3">
        <v>38512</v>
      </c>
      <c r="D1048" s="3">
        <v>38686</v>
      </c>
      <c r="E1048" t="s">
        <v>18</v>
      </c>
      <c r="F1048">
        <v>1</v>
      </c>
      <c r="G1048">
        <v>1284</v>
      </c>
      <c r="H1048">
        <v>1284</v>
      </c>
      <c r="I1048" s="4">
        <v>38686</v>
      </c>
      <c r="J1048" s="5">
        <f t="shared" si="32"/>
        <v>0</v>
      </c>
      <c r="K1048" s="6" t="str">
        <f t="shared" si="33"/>
        <v>A~0</v>
      </c>
      <c r="L1048" t="str">
        <f>IF(J1048&lt;0,"A~0",VLOOKUP(J1048,[1]作法V!$B$1:$C$9,2,TRUE))</f>
        <v>A~0</v>
      </c>
    </row>
    <row r="1049" spans="1:12">
      <c r="A1049">
        <v>1068</v>
      </c>
      <c r="B1049" t="s">
        <v>62</v>
      </c>
      <c r="C1049" s="3">
        <v>38512</v>
      </c>
      <c r="D1049" s="3">
        <v>38686</v>
      </c>
      <c r="E1049" t="s">
        <v>18</v>
      </c>
      <c r="F1049">
        <v>1</v>
      </c>
      <c r="G1049">
        <v>428</v>
      </c>
      <c r="H1049">
        <v>428</v>
      </c>
      <c r="I1049" s="4">
        <v>38686</v>
      </c>
      <c r="J1049" s="5">
        <f t="shared" si="32"/>
        <v>0</v>
      </c>
      <c r="K1049" s="6" t="str">
        <f t="shared" si="33"/>
        <v>A~0</v>
      </c>
      <c r="L1049" t="str">
        <f>IF(J1049&lt;0,"A~0",VLOOKUP(J1049,[1]作法V!$B$1:$C$9,2,TRUE))</f>
        <v>A~0</v>
      </c>
    </row>
    <row r="1050" spans="1:12">
      <c r="A1050">
        <v>1068</v>
      </c>
      <c r="B1050" t="s">
        <v>62</v>
      </c>
      <c r="C1050" s="3">
        <v>38512</v>
      </c>
      <c r="D1050" s="3">
        <v>38686</v>
      </c>
      <c r="E1050" t="s">
        <v>18</v>
      </c>
      <c r="F1050">
        <v>1</v>
      </c>
      <c r="G1050">
        <v>66820</v>
      </c>
      <c r="H1050">
        <v>66820</v>
      </c>
      <c r="I1050" s="4">
        <v>38686</v>
      </c>
      <c r="J1050" s="5">
        <f t="shared" si="32"/>
        <v>0</v>
      </c>
      <c r="K1050" s="6" t="str">
        <f t="shared" si="33"/>
        <v>A~0</v>
      </c>
      <c r="L1050" t="str">
        <f>IF(J1050&lt;0,"A~0",VLOOKUP(J1050,[1]作法V!$B$1:$C$9,2,TRUE))</f>
        <v>A~0</v>
      </c>
    </row>
    <row r="1051" spans="1:12">
      <c r="A1051">
        <v>1068</v>
      </c>
      <c r="B1051" t="s">
        <v>62</v>
      </c>
      <c r="C1051" s="3">
        <v>38512</v>
      </c>
      <c r="D1051" s="3">
        <v>38686</v>
      </c>
      <c r="E1051" t="s">
        <v>18</v>
      </c>
      <c r="F1051">
        <v>1</v>
      </c>
      <c r="G1051">
        <v>32720</v>
      </c>
      <c r="H1051">
        <v>32720</v>
      </c>
      <c r="I1051" s="4">
        <v>38686</v>
      </c>
      <c r="J1051" s="5">
        <f t="shared" si="32"/>
        <v>0</v>
      </c>
      <c r="K1051" s="6" t="str">
        <f t="shared" si="33"/>
        <v>A~0</v>
      </c>
      <c r="L1051" t="str">
        <f>IF(J1051&lt;0,"A~0",VLOOKUP(J1051,[1]作法V!$B$1:$C$9,2,TRUE))</f>
        <v>A~0</v>
      </c>
    </row>
    <row r="1052" spans="1:12">
      <c r="A1052">
        <v>1068</v>
      </c>
      <c r="B1052" t="s">
        <v>62</v>
      </c>
      <c r="C1052" s="3">
        <v>38512</v>
      </c>
      <c r="D1052" s="3">
        <v>38686</v>
      </c>
      <c r="E1052" t="s">
        <v>18</v>
      </c>
      <c r="F1052">
        <v>1</v>
      </c>
      <c r="G1052">
        <v>44500</v>
      </c>
      <c r="H1052">
        <v>44500</v>
      </c>
      <c r="I1052" s="4">
        <v>38686</v>
      </c>
      <c r="J1052" s="5">
        <f t="shared" si="32"/>
        <v>0</v>
      </c>
      <c r="K1052" s="6" t="str">
        <f t="shared" si="33"/>
        <v>A~0</v>
      </c>
      <c r="L1052" t="str">
        <f>IF(J1052&lt;0,"A~0",VLOOKUP(J1052,[1]作法V!$B$1:$C$9,2,TRUE))</f>
        <v>A~0</v>
      </c>
    </row>
    <row r="1053" spans="1:12">
      <c r="A1053">
        <v>1068</v>
      </c>
      <c r="B1053" t="s">
        <v>62</v>
      </c>
      <c r="C1053" s="3">
        <v>38512</v>
      </c>
      <c r="D1053" s="3">
        <v>38686</v>
      </c>
      <c r="E1053" t="s">
        <v>18</v>
      </c>
      <c r="F1053">
        <v>1</v>
      </c>
      <c r="G1053">
        <v>28676</v>
      </c>
      <c r="H1053">
        <v>28676</v>
      </c>
      <c r="I1053" s="4">
        <v>38686</v>
      </c>
      <c r="J1053" s="5">
        <f t="shared" si="32"/>
        <v>0</v>
      </c>
      <c r="K1053" s="6" t="str">
        <f t="shared" si="33"/>
        <v>A~0</v>
      </c>
      <c r="L1053" t="str">
        <f>IF(J1053&lt;0,"A~0",VLOOKUP(J1053,[1]作法V!$B$1:$C$9,2,TRUE))</f>
        <v>A~0</v>
      </c>
    </row>
    <row r="1054" spans="1:12">
      <c r="A1054">
        <v>1068</v>
      </c>
      <c r="B1054" t="s">
        <v>62</v>
      </c>
      <c r="C1054" s="3">
        <v>38519</v>
      </c>
      <c r="D1054" s="3">
        <v>38686</v>
      </c>
      <c r="E1054" t="s">
        <v>18</v>
      </c>
      <c r="F1054">
        <v>1</v>
      </c>
      <c r="G1054">
        <v>123120</v>
      </c>
      <c r="H1054">
        <v>123120</v>
      </c>
      <c r="I1054" s="4">
        <v>38686</v>
      </c>
      <c r="J1054" s="5">
        <f t="shared" si="32"/>
        <v>0</v>
      </c>
      <c r="K1054" s="6" t="str">
        <f t="shared" si="33"/>
        <v>A~0</v>
      </c>
      <c r="L1054" t="str">
        <f>IF(J1054&lt;0,"A~0",VLOOKUP(J1054,[1]作法V!$B$1:$C$9,2,TRUE))</f>
        <v>A~0</v>
      </c>
    </row>
    <row r="1055" spans="1:12">
      <c r="A1055">
        <v>1068</v>
      </c>
      <c r="B1055" t="s">
        <v>62</v>
      </c>
      <c r="C1055" s="3">
        <v>38519</v>
      </c>
      <c r="D1055" s="3">
        <v>38686</v>
      </c>
      <c r="E1055" t="s">
        <v>18</v>
      </c>
      <c r="F1055">
        <v>1</v>
      </c>
      <c r="G1055">
        <v>50000</v>
      </c>
      <c r="H1055">
        <v>50000</v>
      </c>
      <c r="I1055" s="4">
        <v>38686</v>
      </c>
      <c r="J1055" s="5">
        <f t="shared" si="32"/>
        <v>0</v>
      </c>
      <c r="K1055" s="6" t="str">
        <f t="shared" si="33"/>
        <v>A~0</v>
      </c>
      <c r="L1055" t="str">
        <f>IF(J1055&lt;0,"A~0",VLOOKUP(J1055,[1]作法V!$B$1:$C$9,2,TRUE))</f>
        <v>A~0</v>
      </c>
    </row>
    <row r="1056" spans="1:12">
      <c r="A1056">
        <v>1068</v>
      </c>
      <c r="B1056" t="s">
        <v>62</v>
      </c>
      <c r="C1056" s="3">
        <v>38525</v>
      </c>
      <c r="D1056" s="3">
        <v>38686</v>
      </c>
      <c r="E1056" t="s">
        <v>18</v>
      </c>
      <c r="F1056">
        <v>1</v>
      </c>
      <c r="G1056">
        <v>50000</v>
      </c>
      <c r="H1056">
        <v>50000</v>
      </c>
      <c r="I1056" s="4">
        <v>38686</v>
      </c>
      <c r="J1056" s="5">
        <f t="shared" si="32"/>
        <v>0</v>
      </c>
      <c r="K1056" s="6" t="str">
        <f t="shared" si="33"/>
        <v>A~0</v>
      </c>
      <c r="L1056" t="str">
        <f>IF(J1056&lt;0,"A~0",VLOOKUP(J1056,[1]作法V!$B$1:$C$9,2,TRUE))</f>
        <v>A~0</v>
      </c>
    </row>
    <row r="1057" spans="1:12">
      <c r="A1057">
        <v>1068</v>
      </c>
      <c r="B1057" t="s">
        <v>62</v>
      </c>
      <c r="C1057" s="3">
        <v>38525</v>
      </c>
      <c r="D1057" s="3">
        <v>38686</v>
      </c>
      <c r="E1057" t="s">
        <v>18</v>
      </c>
      <c r="F1057">
        <v>1</v>
      </c>
      <c r="G1057">
        <v>40000</v>
      </c>
      <c r="H1057">
        <v>40000</v>
      </c>
      <c r="I1057" s="4">
        <v>38686</v>
      </c>
      <c r="J1057" s="5">
        <f t="shared" si="32"/>
        <v>0</v>
      </c>
      <c r="K1057" s="6" t="str">
        <f t="shared" si="33"/>
        <v>A~0</v>
      </c>
      <c r="L1057" t="str">
        <f>IF(J1057&lt;0,"A~0",VLOOKUP(J1057,[1]作法V!$B$1:$C$9,2,TRUE))</f>
        <v>A~0</v>
      </c>
    </row>
    <row r="1058" spans="1:12">
      <c r="A1058">
        <v>1068</v>
      </c>
      <c r="B1058" t="s">
        <v>62</v>
      </c>
      <c r="C1058" s="3">
        <v>38525</v>
      </c>
      <c r="D1058" s="3">
        <v>38686</v>
      </c>
      <c r="E1058" t="s">
        <v>18</v>
      </c>
      <c r="F1058">
        <v>1</v>
      </c>
      <c r="G1058">
        <v>8004</v>
      </c>
      <c r="H1058">
        <v>8004</v>
      </c>
      <c r="I1058" s="4">
        <v>38686</v>
      </c>
      <c r="J1058" s="5">
        <f t="shared" si="32"/>
        <v>0</v>
      </c>
      <c r="K1058" s="6" t="str">
        <f t="shared" si="33"/>
        <v>A~0</v>
      </c>
      <c r="L1058" t="str">
        <f>IF(J1058&lt;0,"A~0",VLOOKUP(J1058,[1]作法V!$B$1:$C$9,2,TRUE))</f>
        <v>A~0</v>
      </c>
    </row>
    <row r="1059" spans="1:12">
      <c r="A1059">
        <v>1068</v>
      </c>
      <c r="B1059" t="s">
        <v>62</v>
      </c>
      <c r="C1059" s="3">
        <v>38525</v>
      </c>
      <c r="D1059" s="3">
        <v>38686</v>
      </c>
      <c r="E1059" t="s">
        <v>18</v>
      </c>
      <c r="F1059">
        <v>1</v>
      </c>
      <c r="G1059">
        <v>17990</v>
      </c>
      <c r="H1059">
        <v>17990</v>
      </c>
      <c r="I1059" s="4">
        <v>38686</v>
      </c>
      <c r="J1059" s="5">
        <f t="shared" si="32"/>
        <v>0</v>
      </c>
      <c r="K1059" s="6" t="str">
        <f t="shared" si="33"/>
        <v>A~0</v>
      </c>
      <c r="L1059" t="str">
        <f>IF(J1059&lt;0,"A~0",VLOOKUP(J1059,[1]作法V!$B$1:$C$9,2,TRUE))</f>
        <v>A~0</v>
      </c>
    </row>
    <row r="1060" spans="1:12">
      <c r="A1060">
        <v>1068</v>
      </c>
      <c r="B1060" t="s">
        <v>62</v>
      </c>
      <c r="C1060" s="3">
        <v>38525</v>
      </c>
      <c r="D1060" s="3">
        <v>38686</v>
      </c>
      <c r="E1060" t="s">
        <v>18</v>
      </c>
      <c r="F1060">
        <v>1</v>
      </c>
      <c r="G1060">
        <v>82770</v>
      </c>
      <c r="H1060">
        <v>82770</v>
      </c>
      <c r="I1060" s="4">
        <v>38686</v>
      </c>
      <c r="J1060" s="5">
        <f t="shared" si="32"/>
        <v>0</v>
      </c>
      <c r="K1060" s="6" t="str">
        <f t="shared" si="33"/>
        <v>A~0</v>
      </c>
      <c r="L1060" t="str">
        <f>IF(J1060&lt;0,"A~0",VLOOKUP(J1060,[1]作法V!$B$1:$C$9,2,TRUE))</f>
        <v>A~0</v>
      </c>
    </row>
    <row r="1061" spans="1:12">
      <c r="A1061">
        <v>1068</v>
      </c>
      <c r="B1061" t="s">
        <v>62</v>
      </c>
      <c r="C1061" s="3">
        <v>38525</v>
      </c>
      <c r="D1061" s="3">
        <v>38686</v>
      </c>
      <c r="E1061" t="s">
        <v>18</v>
      </c>
      <c r="F1061">
        <v>1</v>
      </c>
      <c r="G1061">
        <v>2570</v>
      </c>
      <c r="H1061">
        <v>2570</v>
      </c>
      <c r="I1061" s="4">
        <v>38686</v>
      </c>
      <c r="J1061" s="5">
        <f t="shared" si="32"/>
        <v>0</v>
      </c>
      <c r="K1061" s="6" t="str">
        <f t="shared" si="33"/>
        <v>A~0</v>
      </c>
      <c r="L1061" t="str">
        <f>IF(J1061&lt;0,"A~0",VLOOKUP(J1061,[1]作法V!$B$1:$C$9,2,TRUE))</f>
        <v>A~0</v>
      </c>
    </row>
    <row r="1062" spans="1:12">
      <c r="A1062">
        <v>1068</v>
      </c>
      <c r="B1062" t="s">
        <v>62</v>
      </c>
      <c r="C1062" s="3">
        <v>38525</v>
      </c>
      <c r="D1062" s="3">
        <v>38686</v>
      </c>
      <c r="E1062" t="s">
        <v>18</v>
      </c>
      <c r="F1062">
        <v>1</v>
      </c>
      <c r="G1062">
        <v>25700</v>
      </c>
      <c r="H1062">
        <v>25700</v>
      </c>
      <c r="I1062" s="4">
        <v>38686</v>
      </c>
      <c r="J1062" s="5">
        <f t="shared" si="32"/>
        <v>0</v>
      </c>
      <c r="K1062" s="6" t="str">
        <f t="shared" si="33"/>
        <v>A~0</v>
      </c>
      <c r="L1062" t="str">
        <f>IF(J1062&lt;0,"A~0",VLOOKUP(J1062,[1]作法V!$B$1:$C$9,2,TRUE))</f>
        <v>A~0</v>
      </c>
    </row>
    <row r="1063" spans="1:12">
      <c r="A1063">
        <v>1068</v>
      </c>
      <c r="B1063" t="s">
        <v>62</v>
      </c>
      <c r="C1063" s="3">
        <v>38525</v>
      </c>
      <c r="D1063" s="3">
        <v>38686</v>
      </c>
      <c r="E1063" t="s">
        <v>18</v>
      </c>
      <c r="F1063">
        <v>1</v>
      </c>
      <c r="G1063">
        <v>42800</v>
      </c>
      <c r="H1063">
        <v>42800</v>
      </c>
      <c r="I1063" s="4">
        <v>38686</v>
      </c>
      <c r="J1063" s="5">
        <f t="shared" si="32"/>
        <v>0</v>
      </c>
      <c r="K1063" s="6" t="str">
        <f t="shared" si="33"/>
        <v>A~0</v>
      </c>
      <c r="L1063" t="str">
        <f>IF(J1063&lt;0,"A~0",VLOOKUP(J1063,[1]作法V!$B$1:$C$9,2,TRUE))</f>
        <v>A~0</v>
      </c>
    </row>
    <row r="1064" spans="1:12">
      <c r="A1064">
        <v>1068</v>
      </c>
      <c r="B1064" t="s">
        <v>62</v>
      </c>
      <c r="C1064" s="3">
        <v>38525</v>
      </c>
      <c r="D1064" s="3">
        <v>38686</v>
      </c>
      <c r="E1064" t="s">
        <v>18</v>
      </c>
      <c r="F1064">
        <v>1</v>
      </c>
      <c r="G1064">
        <v>4560</v>
      </c>
      <c r="H1064">
        <v>4560</v>
      </c>
      <c r="I1064" s="4">
        <v>38686</v>
      </c>
      <c r="J1064" s="5">
        <f t="shared" si="32"/>
        <v>0</v>
      </c>
      <c r="K1064" s="6" t="str">
        <f t="shared" si="33"/>
        <v>A~0</v>
      </c>
      <c r="L1064" t="str">
        <f>IF(J1064&lt;0,"A~0",VLOOKUP(J1064,[1]作法V!$B$1:$C$9,2,TRUE))</f>
        <v>A~0</v>
      </c>
    </row>
    <row r="1065" spans="1:12">
      <c r="A1065">
        <v>1068</v>
      </c>
      <c r="B1065" t="s">
        <v>62</v>
      </c>
      <c r="C1065" s="3">
        <v>38525</v>
      </c>
      <c r="D1065" s="3">
        <v>38686</v>
      </c>
      <c r="E1065" t="s">
        <v>18</v>
      </c>
      <c r="F1065">
        <v>1</v>
      </c>
      <c r="G1065">
        <v>104050</v>
      </c>
      <c r="H1065">
        <v>104050</v>
      </c>
      <c r="I1065" s="4">
        <v>38686</v>
      </c>
      <c r="J1065" s="5">
        <f t="shared" si="32"/>
        <v>0</v>
      </c>
      <c r="K1065" s="6" t="str">
        <f t="shared" si="33"/>
        <v>A~0</v>
      </c>
      <c r="L1065" t="str">
        <f>IF(J1065&lt;0,"A~0",VLOOKUP(J1065,[1]作法V!$B$1:$C$9,2,TRUE))</f>
        <v>A~0</v>
      </c>
    </row>
    <row r="1066" spans="1:12">
      <c r="A1066">
        <v>1068</v>
      </c>
      <c r="B1066" t="s">
        <v>62</v>
      </c>
      <c r="C1066" s="3">
        <v>38540</v>
      </c>
      <c r="D1066" s="3">
        <v>38716</v>
      </c>
      <c r="E1066" t="s">
        <v>18</v>
      </c>
      <c r="F1066">
        <v>1</v>
      </c>
      <c r="G1066">
        <v>4280</v>
      </c>
      <c r="H1066">
        <v>4280</v>
      </c>
      <c r="I1066" s="4">
        <v>38686</v>
      </c>
      <c r="J1066" s="5">
        <f t="shared" si="32"/>
        <v>-30</v>
      </c>
      <c r="K1066" s="6" t="str">
        <f t="shared" si="33"/>
        <v>A~0</v>
      </c>
      <c r="L1066" t="str">
        <f>IF(J1066&lt;0,"A~0",VLOOKUP(J1066,[1]作法V!$B$1:$C$9,2,TRUE))</f>
        <v>A~0</v>
      </c>
    </row>
    <row r="1067" spans="1:12">
      <c r="A1067">
        <v>1068</v>
      </c>
      <c r="B1067" t="s">
        <v>62</v>
      </c>
      <c r="C1067" s="3">
        <v>38540</v>
      </c>
      <c r="D1067" s="3">
        <v>38716</v>
      </c>
      <c r="E1067" t="s">
        <v>18</v>
      </c>
      <c r="F1067">
        <v>1</v>
      </c>
      <c r="G1067">
        <v>4104</v>
      </c>
      <c r="H1067">
        <v>4104</v>
      </c>
      <c r="I1067" s="4">
        <v>38686</v>
      </c>
      <c r="J1067" s="5">
        <f t="shared" si="32"/>
        <v>-30</v>
      </c>
      <c r="K1067" s="6" t="str">
        <f t="shared" si="33"/>
        <v>A~0</v>
      </c>
      <c r="L1067" t="str">
        <f>IF(J1067&lt;0,"A~0",VLOOKUP(J1067,[1]作法V!$B$1:$C$9,2,TRUE))</f>
        <v>A~0</v>
      </c>
    </row>
    <row r="1068" spans="1:12">
      <c r="A1068">
        <v>1068</v>
      </c>
      <c r="B1068" t="s">
        <v>62</v>
      </c>
      <c r="C1068" s="3">
        <v>38540</v>
      </c>
      <c r="D1068" s="3">
        <v>38716</v>
      </c>
      <c r="E1068" t="s">
        <v>18</v>
      </c>
      <c r="F1068">
        <v>1</v>
      </c>
      <c r="G1068">
        <v>1500</v>
      </c>
      <c r="H1068">
        <v>1500</v>
      </c>
      <c r="I1068" s="4">
        <v>38686</v>
      </c>
      <c r="J1068" s="5">
        <f t="shared" si="32"/>
        <v>-30</v>
      </c>
      <c r="K1068" s="6" t="str">
        <f t="shared" si="33"/>
        <v>A~0</v>
      </c>
      <c r="L1068" t="str">
        <f>IF(J1068&lt;0,"A~0",VLOOKUP(J1068,[1]作法V!$B$1:$C$9,2,TRUE))</f>
        <v>A~0</v>
      </c>
    </row>
    <row r="1069" spans="1:12">
      <c r="A1069">
        <v>1068</v>
      </c>
      <c r="B1069" t="s">
        <v>62</v>
      </c>
      <c r="C1069" s="3">
        <v>38540</v>
      </c>
      <c r="D1069" s="3">
        <v>38716</v>
      </c>
      <c r="E1069" t="s">
        <v>18</v>
      </c>
      <c r="F1069">
        <v>1</v>
      </c>
      <c r="G1069">
        <v>7710</v>
      </c>
      <c r="H1069">
        <v>7710</v>
      </c>
      <c r="I1069" s="4">
        <v>38686</v>
      </c>
      <c r="J1069" s="5">
        <f t="shared" si="32"/>
        <v>-30</v>
      </c>
      <c r="K1069" s="6" t="str">
        <f t="shared" si="33"/>
        <v>A~0</v>
      </c>
      <c r="L1069" t="str">
        <f>IF(J1069&lt;0,"A~0",VLOOKUP(J1069,[1]作法V!$B$1:$C$9,2,TRUE))</f>
        <v>A~0</v>
      </c>
    </row>
    <row r="1070" spans="1:12">
      <c r="A1070">
        <v>1068</v>
      </c>
      <c r="B1070" t="s">
        <v>62</v>
      </c>
      <c r="C1070" s="3">
        <v>38541</v>
      </c>
      <c r="D1070" s="3">
        <v>38716</v>
      </c>
      <c r="E1070" t="s">
        <v>18</v>
      </c>
      <c r="F1070">
        <v>1</v>
      </c>
      <c r="G1070">
        <v>12840</v>
      </c>
      <c r="H1070">
        <v>12840</v>
      </c>
      <c r="I1070" s="4">
        <v>38686</v>
      </c>
      <c r="J1070" s="5">
        <f t="shared" si="32"/>
        <v>-30</v>
      </c>
      <c r="K1070" s="6" t="str">
        <f t="shared" si="33"/>
        <v>A~0</v>
      </c>
      <c r="L1070" t="str">
        <f>IF(J1070&lt;0,"A~0",VLOOKUP(J1070,[1]作法V!$B$1:$C$9,2,TRUE))</f>
        <v>A~0</v>
      </c>
    </row>
    <row r="1071" spans="1:12">
      <c r="A1071">
        <v>1068</v>
      </c>
      <c r="B1071" t="s">
        <v>62</v>
      </c>
      <c r="C1071" s="3">
        <v>38541</v>
      </c>
      <c r="D1071" s="3">
        <v>38716</v>
      </c>
      <c r="E1071" t="s">
        <v>18</v>
      </c>
      <c r="F1071">
        <v>1</v>
      </c>
      <c r="G1071">
        <v>29960</v>
      </c>
      <c r="H1071">
        <v>29960</v>
      </c>
      <c r="I1071" s="4">
        <v>38686</v>
      </c>
      <c r="J1071" s="5">
        <f t="shared" si="32"/>
        <v>-30</v>
      </c>
      <c r="K1071" s="6" t="str">
        <f t="shared" si="33"/>
        <v>A~0</v>
      </c>
      <c r="L1071" t="str">
        <f>IF(J1071&lt;0,"A~0",VLOOKUP(J1071,[1]作法V!$B$1:$C$9,2,TRUE))</f>
        <v>A~0</v>
      </c>
    </row>
    <row r="1072" spans="1:12">
      <c r="A1072">
        <v>1068</v>
      </c>
      <c r="B1072" t="s">
        <v>62</v>
      </c>
      <c r="C1072" s="3">
        <v>38541</v>
      </c>
      <c r="D1072" s="3">
        <v>38716</v>
      </c>
      <c r="E1072" t="s">
        <v>18</v>
      </c>
      <c r="F1072">
        <v>1</v>
      </c>
      <c r="G1072">
        <v>34240</v>
      </c>
      <c r="H1072">
        <v>34240</v>
      </c>
      <c r="I1072" s="4">
        <v>38686</v>
      </c>
      <c r="J1072" s="5">
        <f t="shared" si="32"/>
        <v>-30</v>
      </c>
      <c r="K1072" s="6" t="str">
        <f t="shared" si="33"/>
        <v>A~0</v>
      </c>
      <c r="L1072" t="str">
        <f>IF(J1072&lt;0,"A~0",VLOOKUP(J1072,[1]作法V!$B$1:$C$9,2,TRUE))</f>
        <v>A~0</v>
      </c>
    </row>
    <row r="1073" spans="1:12">
      <c r="A1073">
        <v>1068</v>
      </c>
      <c r="B1073" t="s">
        <v>62</v>
      </c>
      <c r="C1073" s="3">
        <v>38547</v>
      </c>
      <c r="D1073" s="3">
        <v>38716</v>
      </c>
      <c r="E1073" t="s">
        <v>18</v>
      </c>
      <c r="F1073">
        <v>1</v>
      </c>
      <c r="G1073">
        <v>60000</v>
      </c>
      <c r="H1073">
        <v>60000</v>
      </c>
      <c r="I1073" s="4">
        <v>38686</v>
      </c>
      <c r="J1073" s="5">
        <f t="shared" si="32"/>
        <v>-30</v>
      </c>
      <c r="K1073" s="6" t="str">
        <f t="shared" si="33"/>
        <v>A~0</v>
      </c>
      <c r="L1073" t="str">
        <f>IF(J1073&lt;0,"A~0",VLOOKUP(J1073,[1]作法V!$B$1:$C$9,2,TRUE))</f>
        <v>A~0</v>
      </c>
    </row>
    <row r="1074" spans="1:12">
      <c r="A1074">
        <v>1068</v>
      </c>
      <c r="B1074" t="s">
        <v>62</v>
      </c>
      <c r="C1074" s="3">
        <v>38547</v>
      </c>
      <c r="D1074" s="3">
        <v>38716</v>
      </c>
      <c r="E1074" t="s">
        <v>18</v>
      </c>
      <c r="F1074">
        <v>1</v>
      </c>
      <c r="G1074">
        <v>4280</v>
      </c>
      <c r="H1074">
        <v>4280</v>
      </c>
      <c r="I1074" s="4">
        <v>38686</v>
      </c>
      <c r="J1074" s="5">
        <f t="shared" si="32"/>
        <v>-30</v>
      </c>
      <c r="K1074" s="6" t="str">
        <f t="shared" si="33"/>
        <v>A~0</v>
      </c>
      <c r="L1074" t="str">
        <f>IF(J1074&lt;0,"A~0",VLOOKUP(J1074,[1]作法V!$B$1:$C$9,2,TRUE))</f>
        <v>A~0</v>
      </c>
    </row>
    <row r="1075" spans="1:12">
      <c r="A1075">
        <v>1068</v>
      </c>
      <c r="B1075" t="s">
        <v>62</v>
      </c>
      <c r="C1075" s="3">
        <v>38547</v>
      </c>
      <c r="D1075" s="3">
        <v>38716</v>
      </c>
      <c r="E1075" t="s">
        <v>18</v>
      </c>
      <c r="F1075">
        <v>1</v>
      </c>
      <c r="G1075">
        <v>12850</v>
      </c>
      <c r="H1075">
        <v>12850</v>
      </c>
      <c r="I1075" s="4">
        <v>38686</v>
      </c>
      <c r="J1075" s="5">
        <f t="shared" si="32"/>
        <v>-30</v>
      </c>
      <c r="K1075" s="6" t="str">
        <f t="shared" si="33"/>
        <v>A~0</v>
      </c>
      <c r="L1075" t="str">
        <f>IF(J1075&lt;0,"A~0",VLOOKUP(J1075,[1]作法V!$B$1:$C$9,2,TRUE))</f>
        <v>A~0</v>
      </c>
    </row>
    <row r="1076" spans="1:12">
      <c r="A1076">
        <v>1068</v>
      </c>
      <c r="B1076" t="s">
        <v>62</v>
      </c>
      <c r="C1076" s="3">
        <v>38547</v>
      </c>
      <c r="D1076" s="3">
        <v>38716</v>
      </c>
      <c r="E1076" t="s">
        <v>18</v>
      </c>
      <c r="F1076">
        <v>1</v>
      </c>
      <c r="G1076">
        <v>85600</v>
      </c>
      <c r="H1076">
        <v>85600</v>
      </c>
      <c r="I1076" s="4">
        <v>38686</v>
      </c>
      <c r="J1076" s="5">
        <f t="shared" si="32"/>
        <v>-30</v>
      </c>
      <c r="K1076" s="6" t="str">
        <f t="shared" si="33"/>
        <v>A~0</v>
      </c>
      <c r="L1076" t="str">
        <f>IF(J1076&lt;0,"A~0",VLOOKUP(J1076,[1]作法V!$B$1:$C$9,2,TRUE))</f>
        <v>A~0</v>
      </c>
    </row>
    <row r="1077" spans="1:12">
      <c r="A1077">
        <v>1068</v>
      </c>
      <c r="B1077" t="s">
        <v>62</v>
      </c>
      <c r="C1077" s="3">
        <v>38547</v>
      </c>
      <c r="D1077" s="3">
        <v>38716</v>
      </c>
      <c r="E1077" t="s">
        <v>18</v>
      </c>
      <c r="F1077">
        <v>1</v>
      </c>
      <c r="G1077">
        <v>20450</v>
      </c>
      <c r="H1077">
        <v>20450</v>
      </c>
      <c r="I1077" s="4">
        <v>38686</v>
      </c>
      <c r="J1077" s="5">
        <f t="shared" si="32"/>
        <v>-30</v>
      </c>
      <c r="K1077" s="6" t="str">
        <f t="shared" si="33"/>
        <v>A~0</v>
      </c>
      <c r="L1077" t="str">
        <f>IF(J1077&lt;0,"A~0",VLOOKUP(J1077,[1]作法V!$B$1:$C$9,2,TRUE))</f>
        <v>A~0</v>
      </c>
    </row>
    <row r="1078" spans="1:12">
      <c r="A1078">
        <v>1068</v>
      </c>
      <c r="B1078" t="s">
        <v>62</v>
      </c>
      <c r="C1078" s="3">
        <v>38547</v>
      </c>
      <c r="D1078" s="3">
        <v>38716</v>
      </c>
      <c r="E1078" t="s">
        <v>18</v>
      </c>
      <c r="F1078">
        <v>1</v>
      </c>
      <c r="G1078">
        <v>38550</v>
      </c>
      <c r="H1078">
        <v>38550</v>
      </c>
      <c r="I1078" s="4">
        <v>38686</v>
      </c>
      <c r="J1078" s="5">
        <f t="shared" si="32"/>
        <v>-30</v>
      </c>
      <c r="K1078" s="6" t="str">
        <f t="shared" si="33"/>
        <v>A~0</v>
      </c>
      <c r="L1078" t="str">
        <f>IF(J1078&lt;0,"A~0",VLOOKUP(J1078,[1]作法V!$B$1:$C$9,2,TRUE))</f>
        <v>A~0</v>
      </c>
    </row>
    <row r="1079" spans="1:12">
      <c r="A1079">
        <v>1068</v>
      </c>
      <c r="B1079" t="s">
        <v>62</v>
      </c>
      <c r="C1079" s="3">
        <v>38547</v>
      </c>
      <c r="D1079" s="3">
        <v>38716</v>
      </c>
      <c r="E1079" t="s">
        <v>18</v>
      </c>
      <c r="F1079">
        <v>1</v>
      </c>
      <c r="G1079">
        <v>29960</v>
      </c>
      <c r="H1079">
        <v>29960</v>
      </c>
      <c r="I1079" s="4">
        <v>38686</v>
      </c>
      <c r="J1079" s="5">
        <f t="shared" si="32"/>
        <v>-30</v>
      </c>
      <c r="K1079" s="6" t="str">
        <f t="shared" si="33"/>
        <v>A~0</v>
      </c>
      <c r="L1079" t="str">
        <f>IF(J1079&lt;0,"A~0",VLOOKUP(J1079,[1]作法V!$B$1:$C$9,2,TRUE))</f>
        <v>A~0</v>
      </c>
    </row>
    <row r="1080" spans="1:12">
      <c r="A1080">
        <v>1068</v>
      </c>
      <c r="B1080" t="s">
        <v>62</v>
      </c>
      <c r="C1080" s="3">
        <v>38554</v>
      </c>
      <c r="D1080" s="3">
        <v>38716</v>
      </c>
      <c r="E1080" t="s">
        <v>18</v>
      </c>
      <c r="F1080">
        <v>1</v>
      </c>
      <c r="G1080">
        <v>42800</v>
      </c>
      <c r="H1080">
        <v>42800</v>
      </c>
      <c r="I1080" s="4">
        <v>38686</v>
      </c>
      <c r="J1080" s="5">
        <f t="shared" si="32"/>
        <v>-30</v>
      </c>
      <c r="K1080" s="6" t="str">
        <f t="shared" si="33"/>
        <v>A~0</v>
      </c>
      <c r="L1080" t="str">
        <f>IF(J1080&lt;0,"A~0",VLOOKUP(J1080,[1]作法V!$B$1:$C$9,2,TRUE))</f>
        <v>A~0</v>
      </c>
    </row>
    <row r="1081" spans="1:12">
      <c r="A1081">
        <v>1068</v>
      </c>
      <c r="B1081" t="s">
        <v>62</v>
      </c>
      <c r="C1081" s="3">
        <v>38554</v>
      </c>
      <c r="D1081" s="3">
        <v>38716</v>
      </c>
      <c r="E1081" t="s">
        <v>18</v>
      </c>
      <c r="F1081">
        <v>1</v>
      </c>
      <c r="G1081">
        <v>137256</v>
      </c>
      <c r="H1081">
        <v>137256</v>
      </c>
      <c r="I1081" s="4">
        <v>38686</v>
      </c>
      <c r="J1081" s="5">
        <f t="shared" si="32"/>
        <v>-30</v>
      </c>
      <c r="K1081" s="6" t="str">
        <f t="shared" si="33"/>
        <v>A~0</v>
      </c>
      <c r="L1081" t="str">
        <f>IF(J1081&lt;0,"A~0",VLOOKUP(J1081,[1]作法V!$B$1:$C$9,2,TRUE))</f>
        <v>A~0</v>
      </c>
    </row>
    <row r="1082" spans="1:12">
      <c r="A1082">
        <v>1068</v>
      </c>
      <c r="B1082" t="s">
        <v>62</v>
      </c>
      <c r="C1082" s="3">
        <v>38554</v>
      </c>
      <c r="D1082" s="3">
        <v>38716</v>
      </c>
      <c r="E1082" t="s">
        <v>18</v>
      </c>
      <c r="F1082">
        <v>1</v>
      </c>
      <c r="G1082">
        <v>22800</v>
      </c>
      <c r="H1082">
        <v>22800</v>
      </c>
      <c r="I1082" s="4">
        <v>38686</v>
      </c>
      <c r="J1082" s="5">
        <f t="shared" si="32"/>
        <v>-30</v>
      </c>
      <c r="K1082" s="6" t="str">
        <f t="shared" si="33"/>
        <v>A~0</v>
      </c>
      <c r="L1082" t="str">
        <f>IF(J1082&lt;0,"A~0",VLOOKUP(J1082,[1]作法V!$B$1:$C$9,2,TRUE))</f>
        <v>A~0</v>
      </c>
    </row>
    <row r="1083" spans="1:12">
      <c r="A1083">
        <v>1068</v>
      </c>
      <c r="B1083" t="s">
        <v>62</v>
      </c>
      <c r="C1083" s="3">
        <v>38554</v>
      </c>
      <c r="D1083" s="3">
        <v>38716</v>
      </c>
      <c r="E1083" t="s">
        <v>18</v>
      </c>
      <c r="F1083">
        <v>1</v>
      </c>
      <c r="G1083">
        <v>122560</v>
      </c>
      <c r="H1083">
        <v>122560</v>
      </c>
      <c r="I1083" s="4">
        <v>38686</v>
      </c>
      <c r="J1083" s="5">
        <f t="shared" si="32"/>
        <v>-30</v>
      </c>
      <c r="K1083" s="6" t="str">
        <f t="shared" si="33"/>
        <v>A~0</v>
      </c>
      <c r="L1083" t="str">
        <f>IF(J1083&lt;0,"A~0",VLOOKUP(J1083,[1]作法V!$B$1:$C$9,2,TRUE))</f>
        <v>A~0</v>
      </c>
    </row>
    <row r="1084" spans="1:12">
      <c r="A1084">
        <v>1068</v>
      </c>
      <c r="B1084" t="s">
        <v>62</v>
      </c>
      <c r="C1084" s="3">
        <v>38554</v>
      </c>
      <c r="D1084" s="3">
        <v>38716</v>
      </c>
      <c r="E1084" t="s">
        <v>18</v>
      </c>
      <c r="F1084">
        <v>1</v>
      </c>
      <c r="G1084">
        <v>21184</v>
      </c>
      <c r="H1084">
        <v>21184</v>
      </c>
      <c r="I1084" s="4">
        <v>38686</v>
      </c>
      <c r="J1084" s="5">
        <f t="shared" si="32"/>
        <v>-30</v>
      </c>
      <c r="K1084" s="6" t="str">
        <f t="shared" si="33"/>
        <v>A~0</v>
      </c>
      <c r="L1084" t="str">
        <f>IF(J1084&lt;0,"A~0",VLOOKUP(J1084,[1]作法V!$B$1:$C$9,2,TRUE))</f>
        <v>A~0</v>
      </c>
    </row>
    <row r="1085" spans="1:12">
      <c r="A1085">
        <v>1068</v>
      </c>
      <c r="B1085" t="s">
        <v>62</v>
      </c>
      <c r="C1085" s="3">
        <v>38554</v>
      </c>
      <c r="D1085" s="3">
        <v>38716</v>
      </c>
      <c r="E1085" t="s">
        <v>18</v>
      </c>
      <c r="F1085">
        <v>1</v>
      </c>
      <c r="G1085">
        <v>38550</v>
      </c>
      <c r="H1085">
        <v>38550</v>
      </c>
      <c r="I1085" s="4">
        <v>38686</v>
      </c>
      <c r="J1085" s="5">
        <f t="shared" si="32"/>
        <v>-30</v>
      </c>
      <c r="K1085" s="6" t="str">
        <f t="shared" si="33"/>
        <v>A~0</v>
      </c>
      <c r="L1085" t="str">
        <f>IF(J1085&lt;0,"A~0",VLOOKUP(J1085,[1]作法V!$B$1:$C$9,2,TRUE))</f>
        <v>A~0</v>
      </c>
    </row>
    <row r="1086" spans="1:12">
      <c r="A1086">
        <v>1068</v>
      </c>
      <c r="B1086" t="s">
        <v>62</v>
      </c>
      <c r="C1086" s="3">
        <v>38554</v>
      </c>
      <c r="D1086" s="3">
        <v>38716</v>
      </c>
      <c r="E1086" t="s">
        <v>18</v>
      </c>
      <c r="F1086">
        <v>1</v>
      </c>
      <c r="G1086">
        <v>2570</v>
      </c>
      <c r="H1086">
        <v>2570</v>
      </c>
      <c r="I1086" s="4">
        <v>38686</v>
      </c>
      <c r="J1086" s="5">
        <f t="shared" si="32"/>
        <v>-30</v>
      </c>
      <c r="K1086" s="6" t="str">
        <f t="shared" si="33"/>
        <v>A~0</v>
      </c>
      <c r="L1086" t="str">
        <f>IF(J1086&lt;0,"A~0",VLOOKUP(J1086,[1]作法V!$B$1:$C$9,2,TRUE))</f>
        <v>A~0</v>
      </c>
    </row>
    <row r="1087" spans="1:12">
      <c r="A1087">
        <v>1068</v>
      </c>
      <c r="B1087" t="s">
        <v>62</v>
      </c>
      <c r="C1087" s="3">
        <v>38554</v>
      </c>
      <c r="D1087" s="3">
        <v>38716</v>
      </c>
      <c r="E1087" t="s">
        <v>18</v>
      </c>
      <c r="F1087">
        <v>1</v>
      </c>
      <c r="G1087">
        <v>2000</v>
      </c>
      <c r="H1087">
        <v>2000</v>
      </c>
      <c r="I1087" s="4">
        <v>38686</v>
      </c>
      <c r="J1087" s="5">
        <f t="shared" si="32"/>
        <v>-30</v>
      </c>
      <c r="K1087" s="6" t="str">
        <f t="shared" si="33"/>
        <v>A~0</v>
      </c>
      <c r="L1087" t="str">
        <f>IF(J1087&lt;0,"A~0",VLOOKUP(J1087,[1]作法V!$B$1:$C$9,2,TRUE))</f>
        <v>A~0</v>
      </c>
    </row>
    <row r="1088" spans="1:12">
      <c r="A1088">
        <v>1068</v>
      </c>
      <c r="B1088" t="s">
        <v>62</v>
      </c>
      <c r="C1088" s="3">
        <v>38554</v>
      </c>
      <c r="D1088" s="3">
        <v>38716</v>
      </c>
      <c r="E1088" t="s">
        <v>18</v>
      </c>
      <c r="F1088">
        <v>1</v>
      </c>
      <c r="G1088">
        <v>98500</v>
      </c>
      <c r="H1088">
        <v>98500</v>
      </c>
      <c r="I1088" s="4">
        <v>38686</v>
      </c>
      <c r="J1088" s="5">
        <f t="shared" si="32"/>
        <v>-30</v>
      </c>
      <c r="K1088" s="6" t="str">
        <f t="shared" si="33"/>
        <v>A~0</v>
      </c>
      <c r="L1088" t="str">
        <f>IF(J1088&lt;0,"A~0",VLOOKUP(J1088,[1]作法V!$B$1:$C$9,2,TRUE))</f>
        <v>A~0</v>
      </c>
    </row>
    <row r="1089" spans="1:12">
      <c r="A1089">
        <v>1068</v>
      </c>
      <c r="B1089" t="s">
        <v>62</v>
      </c>
      <c r="C1089" s="3">
        <v>38561</v>
      </c>
      <c r="D1089" s="3">
        <v>38747</v>
      </c>
      <c r="E1089" t="s">
        <v>18</v>
      </c>
      <c r="F1089">
        <v>1</v>
      </c>
      <c r="G1089">
        <v>51400</v>
      </c>
      <c r="H1089">
        <v>51400</v>
      </c>
      <c r="I1089" s="4">
        <v>38686</v>
      </c>
      <c r="J1089" s="5">
        <f t="shared" si="32"/>
        <v>-61</v>
      </c>
      <c r="K1089" s="6" t="str">
        <f t="shared" si="33"/>
        <v>A~0</v>
      </c>
      <c r="L1089" t="str">
        <f>IF(J1089&lt;0,"A~0",VLOOKUP(J1089,[1]作法V!$B$1:$C$9,2,TRUE))</f>
        <v>A~0</v>
      </c>
    </row>
    <row r="1090" spans="1:12">
      <c r="A1090">
        <v>1068</v>
      </c>
      <c r="B1090" t="s">
        <v>62</v>
      </c>
      <c r="C1090" s="3">
        <v>38561</v>
      </c>
      <c r="D1090" s="3">
        <v>38747</v>
      </c>
      <c r="E1090" t="s">
        <v>18</v>
      </c>
      <c r="F1090">
        <v>1</v>
      </c>
      <c r="G1090">
        <v>61680</v>
      </c>
      <c r="H1090">
        <v>61680</v>
      </c>
      <c r="I1090" s="4">
        <v>38686</v>
      </c>
      <c r="J1090" s="5">
        <f t="shared" ref="J1090:J1153" si="34">I1090-D1090</f>
        <v>-61</v>
      </c>
      <c r="K1090" s="6" t="str">
        <f t="shared" ref="K1090:K1153" si="35">IF(J1090&lt;1,"A~0",IF(J1090&lt;31,"B1~30",IF(J1090&lt;61,"C31~60",IF(J1090&lt;91,"D61~90",IF(J1090&lt;121,"E91~120",IF(J1090&lt;181,"F121~180",IF(J1090&lt;361,"G181~360","H361~")))))))</f>
        <v>A~0</v>
      </c>
      <c r="L1090" t="str">
        <f>IF(J1090&lt;0,"A~0",VLOOKUP(J1090,[1]作法V!$B$1:$C$9,2,TRUE))</f>
        <v>A~0</v>
      </c>
    </row>
    <row r="1091" spans="1:12">
      <c r="A1091">
        <v>1068</v>
      </c>
      <c r="B1091" t="s">
        <v>62</v>
      </c>
      <c r="C1091" s="3">
        <v>38561</v>
      </c>
      <c r="D1091" s="3">
        <v>38747</v>
      </c>
      <c r="E1091" t="s">
        <v>18</v>
      </c>
      <c r="F1091">
        <v>1</v>
      </c>
      <c r="G1091">
        <v>38520</v>
      </c>
      <c r="H1091">
        <v>38520</v>
      </c>
      <c r="I1091" s="4">
        <v>38686</v>
      </c>
      <c r="J1091" s="5">
        <f t="shared" si="34"/>
        <v>-61</v>
      </c>
      <c r="K1091" s="6" t="str">
        <f t="shared" si="35"/>
        <v>A~0</v>
      </c>
      <c r="L1091" t="str">
        <f>IF(J1091&lt;0,"A~0",VLOOKUP(J1091,[1]作法V!$B$1:$C$9,2,TRUE))</f>
        <v>A~0</v>
      </c>
    </row>
    <row r="1092" spans="1:12">
      <c r="A1092">
        <v>1068</v>
      </c>
      <c r="B1092" t="s">
        <v>62</v>
      </c>
      <c r="C1092" s="3">
        <v>38561</v>
      </c>
      <c r="D1092" s="3">
        <v>38747</v>
      </c>
      <c r="E1092" t="s">
        <v>18</v>
      </c>
      <c r="F1092">
        <v>1</v>
      </c>
      <c r="G1092">
        <v>38520</v>
      </c>
      <c r="H1092">
        <v>38520</v>
      </c>
      <c r="I1092" s="4">
        <v>38686</v>
      </c>
      <c r="J1092" s="5">
        <f t="shared" si="34"/>
        <v>-61</v>
      </c>
      <c r="K1092" s="6" t="str">
        <f t="shared" si="35"/>
        <v>A~0</v>
      </c>
      <c r="L1092" t="str">
        <f>IF(J1092&lt;0,"A~0",VLOOKUP(J1092,[1]作法V!$B$1:$C$9,2,TRUE))</f>
        <v>A~0</v>
      </c>
    </row>
    <row r="1093" spans="1:12">
      <c r="A1093">
        <v>1068</v>
      </c>
      <c r="B1093" t="s">
        <v>62</v>
      </c>
      <c r="C1093" s="3">
        <v>38561</v>
      </c>
      <c r="D1093" s="3">
        <v>38747</v>
      </c>
      <c r="E1093" t="s">
        <v>18</v>
      </c>
      <c r="F1093">
        <v>1</v>
      </c>
      <c r="G1093">
        <v>20450</v>
      </c>
      <c r="H1093">
        <v>20450</v>
      </c>
      <c r="I1093" s="4">
        <v>38686</v>
      </c>
      <c r="J1093" s="5">
        <f t="shared" si="34"/>
        <v>-61</v>
      </c>
      <c r="K1093" s="6" t="str">
        <f t="shared" si="35"/>
        <v>A~0</v>
      </c>
      <c r="L1093" t="str">
        <f>IF(J1093&lt;0,"A~0",VLOOKUP(J1093,[1]作法V!$B$1:$C$9,2,TRUE))</f>
        <v>A~0</v>
      </c>
    </row>
    <row r="1094" spans="1:12">
      <c r="A1094">
        <v>1068</v>
      </c>
      <c r="B1094" t="s">
        <v>62</v>
      </c>
      <c r="C1094" s="3">
        <v>38561</v>
      </c>
      <c r="D1094" s="3">
        <v>38747</v>
      </c>
      <c r="E1094" t="s">
        <v>18</v>
      </c>
      <c r="F1094">
        <v>1</v>
      </c>
      <c r="G1094">
        <v>60000</v>
      </c>
      <c r="H1094">
        <v>60000</v>
      </c>
      <c r="I1094" s="4">
        <v>38686</v>
      </c>
      <c r="J1094" s="5">
        <f t="shared" si="34"/>
        <v>-61</v>
      </c>
      <c r="K1094" s="6" t="str">
        <f t="shared" si="35"/>
        <v>A~0</v>
      </c>
      <c r="L1094" t="str">
        <f>IF(J1094&lt;0,"A~0",VLOOKUP(J1094,[1]作法V!$B$1:$C$9,2,TRUE))</f>
        <v>A~0</v>
      </c>
    </row>
    <row r="1095" spans="1:12">
      <c r="A1095">
        <v>1068</v>
      </c>
      <c r="B1095" t="s">
        <v>62</v>
      </c>
      <c r="C1095" s="3">
        <v>38561</v>
      </c>
      <c r="D1095" s="3">
        <v>38747</v>
      </c>
      <c r="E1095" t="s">
        <v>18</v>
      </c>
      <c r="F1095">
        <v>1</v>
      </c>
      <c r="G1095">
        <v>9120</v>
      </c>
      <c r="H1095">
        <v>9120</v>
      </c>
      <c r="I1095" s="4">
        <v>38686</v>
      </c>
      <c r="J1095" s="5">
        <f t="shared" si="34"/>
        <v>-61</v>
      </c>
      <c r="K1095" s="6" t="str">
        <f t="shared" si="35"/>
        <v>A~0</v>
      </c>
      <c r="L1095" t="str">
        <f>IF(J1095&lt;0,"A~0",VLOOKUP(J1095,[1]作法V!$B$1:$C$9,2,TRUE))</f>
        <v>A~0</v>
      </c>
    </row>
    <row r="1096" spans="1:12">
      <c r="A1096">
        <v>1068</v>
      </c>
      <c r="B1096" t="s">
        <v>62</v>
      </c>
      <c r="C1096" s="3">
        <v>38561</v>
      </c>
      <c r="D1096" s="3">
        <v>38747</v>
      </c>
      <c r="E1096" t="s">
        <v>18</v>
      </c>
      <c r="F1096">
        <v>1</v>
      </c>
      <c r="G1096">
        <v>2760</v>
      </c>
      <c r="H1096">
        <v>2760</v>
      </c>
      <c r="I1096" s="4">
        <v>38686</v>
      </c>
      <c r="J1096" s="5">
        <f t="shared" si="34"/>
        <v>-61</v>
      </c>
      <c r="K1096" s="6" t="str">
        <f t="shared" si="35"/>
        <v>A~0</v>
      </c>
      <c r="L1096" t="str">
        <f>IF(J1096&lt;0,"A~0",VLOOKUP(J1096,[1]作法V!$B$1:$C$9,2,TRUE))</f>
        <v>A~0</v>
      </c>
    </row>
    <row r="1097" spans="1:12">
      <c r="A1097">
        <v>1068</v>
      </c>
      <c r="B1097" t="s">
        <v>62</v>
      </c>
      <c r="C1097" s="3">
        <v>38561</v>
      </c>
      <c r="D1097" s="3">
        <v>38747</v>
      </c>
      <c r="E1097" t="s">
        <v>18</v>
      </c>
      <c r="F1097">
        <v>1</v>
      </c>
      <c r="G1097">
        <v>232560</v>
      </c>
      <c r="H1097">
        <v>232560</v>
      </c>
      <c r="I1097" s="4">
        <v>38686</v>
      </c>
      <c r="J1097" s="5">
        <f t="shared" si="34"/>
        <v>-61</v>
      </c>
      <c r="K1097" s="6" t="str">
        <f t="shared" si="35"/>
        <v>A~0</v>
      </c>
      <c r="L1097" t="str">
        <f>IF(J1097&lt;0,"A~0",VLOOKUP(J1097,[1]作法V!$B$1:$C$9,2,TRUE))</f>
        <v>A~0</v>
      </c>
    </row>
    <row r="1098" spans="1:12">
      <c r="A1098">
        <v>1068</v>
      </c>
      <c r="B1098" t="s">
        <v>62</v>
      </c>
      <c r="C1098" s="3">
        <v>38561</v>
      </c>
      <c r="D1098" s="3">
        <v>38747</v>
      </c>
      <c r="E1098" t="s">
        <v>18</v>
      </c>
      <c r="F1098">
        <v>1</v>
      </c>
      <c r="G1098">
        <v>42800</v>
      </c>
      <c r="H1098">
        <v>42800</v>
      </c>
      <c r="I1098" s="4">
        <v>38686</v>
      </c>
      <c r="J1098" s="5">
        <f t="shared" si="34"/>
        <v>-61</v>
      </c>
      <c r="K1098" s="6" t="str">
        <f t="shared" si="35"/>
        <v>A~0</v>
      </c>
      <c r="L1098" t="str">
        <f>IF(J1098&lt;0,"A~0",VLOOKUP(J1098,[1]作法V!$B$1:$C$9,2,TRUE))</f>
        <v>A~0</v>
      </c>
    </row>
    <row r="1099" spans="1:12">
      <c r="A1099">
        <v>1068</v>
      </c>
      <c r="B1099" t="s">
        <v>62</v>
      </c>
      <c r="C1099" s="3">
        <v>38566</v>
      </c>
      <c r="D1099" s="3">
        <v>38747</v>
      </c>
      <c r="E1099" t="s">
        <v>18</v>
      </c>
      <c r="F1099">
        <v>1</v>
      </c>
      <c r="G1099">
        <v>16836</v>
      </c>
      <c r="H1099">
        <v>16836</v>
      </c>
      <c r="I1099" s="4">
        <v>38686</v>
      </c>
      <c r="J1099" s="5">
        <f t="shared" si="34"/>
        <v>-61</v>
      </c>
      <c r="K1099" s="6" t="str">
        <f t="shared" si="35"/>
        <v>A~0</v>
      </c>
      <c r="L1099" t="str">
        <f>IF(J1099&lt;0,"A~0",VLOOKUP(J1099,[1]作法V!$B$1:$C$9,2,TRUE))</f>
        <v>A~0</v>
      </c>
    </row>
    <row r="1100" spans="1:12">
      <c r="A1100">
        <v>1068</v>
      </c>
      <c r="B1100" t="s">
        <v>62</v>
      </c>
      <c r="C1100" s="3">
        <v>38568</v>
      </c>
      <c r="D1100" s="3">
        <v>38747</v>
      </c>
      <c r="E1100" t="s">
        <v>18</v>
      </c>
      <c r="F1100">
        <v>1</v>
      </c>
      <c r="G1100">
        <v>16836</v>
      </c>
      <c r="H1100">
        <v>16836</v>
      </c>
      <c r="I1100" s="4">
        <v>38686</v>
      </c>
      <c r="J1100" s="5">
        <f t="shared" si="34"/>
        <v>-61</v>
      </c>
      <c r="K1100" s="6" t="str">
        <f t="shared" si="35"/>
        <v>A~0</v>
      </c>
      <c r="L1100" t="str">
        <f>IF(J1100&lt;0,"A~0",VLOOKUP(J1100,[1]作法V!$B$1:$C$9,2,TRUE))</f>
        <v>A~0</v>
      </c>
    </row>
    <row r="1101" spans="1:12">
      <c r="A1101">
        <v>1068</v>
      </c>
      <c r="B1101" t="s">
        <v>62</v>
      </c>
      <c r="C1101" s="3">
        <v>38568</v>
      </c>
      <c r="D1101" s="3">
        <v>38747</v>
      </c>
      <c r="E1101" t="s">
        <v>18</v>
      </c>
      <c r="F1101">
        <v>1</v>
      </c>
      <c r="G1101">
        <v>38550</v>
      </c>
      <c r="H1101">
        <v>38550</v>
      </c>
      <c r="I1101" s="4">
        <v>38686</v>
      </c>
      <c r="J1101" s="5">
        <f t="shared" si="34"/>
        <v>-61</v>
      </c>
      <c r="K1101" s="6" t="str">
        <f t="shared" si="35"/>
        <v>A~0</v>
      </c>
      <c r="L1101" t="str">
        <f>IF(J1101&lt;0,"A~0",VLOOKUP(J1101,[1]作法V!$B$1:$C$9,2,TRUE))</f>
        <v>A~0</v>
      </c>
    </row>
    <row r="1102" spans="1:12">
      <c r="A1102">
        <v>1068</v>
      </c>
      <c r="B1102" t="s">
        <v>62</v>
      </c>
      <c r="C1102" s="3">
        <v>38568</v>
      </c>
      <c r="D1102" s="3">
        <v>38747</v>
      </c>
      <c r="E1102" t="s">
        <v>18</v>
      </c>
      <c r="F1102">
        <v>1</v>
      </c>
      <c r="G1102">
        <v>128400</v>
      </c>
      <c r="H1102">
        <v>128400</v>
      </c>
      <c r="I1102" s="4">
        <v>38686</v>
      </c>
      <c r="J1102" s="5">
        <f t="shared" si="34"/>
        <v>-61</v>
      </c>
      <c r="K1102" s="6" t="str">
        <f t="shared" si="35"/>
        <v>A~0</v>
      </c>
      <c r="L1102" t="str">
        <f>IF(J1102&lt;0,"A~0",VLOOKUP(J1102,[1]作法V!$B$1:$C$9,2,TRUE))</f>
        <v>A~0</v>
      </c>
    </row>
    <row r="1103" spans="1:12">
      <c r="A1103">
        <v>1068</v>
      </c>
      <c r="B1103" t="s">
        <v>62</v>
      </c>
      <c r="C1103" s="3">
        <v>38568</v>
      </c>
      <c r="D1103" s="3">
        <v>38747</v>
      </c>
      <c r="E1103" t="s">
        <v>18</v>
      </c>
      <c r="F1103">
        <v>1</v>
      </c>
      <c r="G1103">
        <v>25700</v>
      </c>
      <c r="H1103">
        <v>25700</v>
      </c>
      <c r="I1103" s="4">
        <v>38686</v>
      </c>
      <c r="J1103" s="5">
        <f t="shared" si="34"/>
        <v>-61</v>
      </c>
      <c r="K1103" s="6" t="str">
        <f t="shared" si="35"/>
        <v>A~0</v>
      </c>
      <c r="L1103" t="str">
        <f>IF(J1103&lt;0,"A~0",VLOOKUP(J1103,[1]作法V!$B$1:$C$9,2,TRUE))</f>
        <v>A~0</v>
      </c>
    </row>
    <row r="1104" spans="1:12">
      <c r="A1104">
        <v>1068</v>
      </c>
      <c r="B1104" t="s">
        <v>62</v>
      </c>
      <c r="C1104" s="3">
        <v>38568</v>
      </c>
      <c r="D1104" s="3">
        <v>38747</v>
      </c>
      <c r="E1104" t="s">
        <v>18</v>
      </c>
      <c r="F1104">
        <v>1</v>
      </c>
      <c r="G1104">
        <v>4560</v>
      </c>
      <c r="H1104">
        <v>4560</v>
      </c>
      <c r="I1104" s="4">
        <v>38686</v>
      </c>
      <c r="J1104" s="5">
        <f t="shared" si="34"/>
        <v>-61</v>
      </c>
      <c r="K1104" s="6" t="str">
        <f t="shared" si="35"/>
        <v>A~0</v>
      </c>
      <c r="L1104" t="str">
        <f>IF(J1104&lt;0,"A~0",VLOOKUP(J1104,[1]作法V!$B$1:$C$9,2,TRUE))</f>
        <v>A~0</v>
      </c>
    </row>
    <row r="1105" spans="1:12">
      <c r="A1105">
        <v>1068</v>
      </c>
      <c r="B1105" t="s">
        <v>62</v>
      </c>
      <c r="C1105" s="3">
        <v>38568</v>
      </c>
      <c r="D1105" s="3">
        <v>38747</v>
      </c>
      <c r="E1105" t="s">
        <v>18</v>
      </c>
      <c r="F1105">
        <v>1</v>
      </c>
      <c r="G1105">
        <v>5250</v>
      </c>
      <c r="H1105">
        <v>5250</v>
      </c>
      <c r="I1105" s="4">
        <v>38686</v>
      </c>
      <c r="J1105" s="5">
        <f t="shared" si="34"/>
        <v>-61</v>
      </c>
      <c r="K1105" s="6" t="str">
        <f t="shared" si="35"/>
        <v>A~0</v>
      </c>
      <c r="L1105" t="str">
        <f>IF(J1105&lt;0,"A~0",VLOOKUP(J1105,[1]作法V!$B$1:$C$9,2,TRUE))</f>
        <v>A~0</v>
      </c>
    </row>
    <row r="1106" spans="1:12">
      <c r="A1106">
        <v>1068</v>
      </c>
      <c r="B1106" t="s">
        <v>62</v>
      </c>
      <c r="C1106" s="3">
        <v>38575</v>
      </c>
      <c r="D1106" s="3">
        <v>38747</v>
      </c>
      <c r="E1106" t="s">
        <v>18</v>
      </c>
      <c r="F1106">
        <v>1</v>
      </c>
      <c r="G1106">
        <v>8560</v>
      </c>
      <c r="H1106">
        <v>8560</v>
      </c>
      <c r="I1106" s="4">
        <v>38686</v>
      </c>
      <c r="J1106" s="5">
        <f t="shared" si="34"/>
        <v>-61</v>
      </c>
      <c r="K1106" s="6" t="str">
        <f t="shared" si="35"/>
        <v>A~0</v>
      </c>
      <c r="L1106" t="str">
        <f>IF(J1106&lt;0,"A~0",VLOOKUP(J1106,[1]作法V!$B$1:$C$9,2,TRUE))</f>
        <v>A~0</v>
      </c>
    </row>
    <row r="1107" spans="1:12">
      <c r="A1107">
        <v>1068</v>
      </c>
      <c r="B1107" t="s">
        <v>62</v>
      </c>
      <c r="C1107" s="3">
        <v>38575</v>
      </c>
      <c r="D1107" s="3">
        <v>38747</v>
      </c>
      <c r="E1107" t="s">
        <v>18</v>
      </c>
      <c r="F1107">
        <v>1</v>
      </c>
      <c r="G1107">
        <v>100320</v>
      </c>
      <c r="H1107">
        <v>100320</v>
      </c>
      <c r="I1107" s="4">
        <v>38686</v>
      </c>
      <c r="J1107" s="5">
        <f t="shared" si="34"/>
        <v>-61</v>
      </c>
      <c r="K1107" s="6" t="str">
        <f t="shared" si="35"/>
        <v>A~0</v>
      </c>
      <c r="L1107" t="str">
        <f>IF(J1107&lt;0,"A~0",VLOOKUP(J1107,[1]作法V!$B$1:$C$9,2,TRUE))</f>
        <v>A~0</v>
      </c>
    </row>
    <row r="1108" spans="1:12">
      <c r="A1108">
        <v>1068</v>
      </c>
      <c r="B1108" t="s">
        <v>62</v>
      </c>
      <c r="C1108" s="3">
        <v>38575</v>
      </c>
      <c r="D1108" s="3">
        <v>38747</v>
      </c>
      <c r="E1108" t="s">
        <v>18</v>
      </c>
      <c r="F1108">
        <v>1</v>
      </c>
      <c r="G1108">
        <v>89950</v>
      </c>
      <c r="H1108">
        <v>89950</v>
      </c>
      <c r="I1108" s="4">
        <v>38686</v>
      </c>
      <c r="J1108" s="5">
        <f t="shared" si="34"/>
        <v>-61</v>
      </c>
      <c r="K1108" s="6" t="str">
        <f t="shared" si="35"/>
        <v>A~0</v>
      </c>
      <c r="L1108" t="str">
        <f>IF(J1108&lt;0,"A~0",VLOOKUP(J1108,[1]作法V!$B$1:$C$9,2,TRUE))</f>
        <v>A~0</v>
      </c>
    </row>
    <row r="1109" spans="1:12">
      <c r="A1109">
        <v>1068</v>
      </c>
      <c r="B1109" t="s">
        <v>62</v>
      </c>
      <c r="C1109" s="3">
        <v>38575</v>
      </c>
      <c r="D1109" s="3">
        <v>38747</v>
      </c>
      <c r="E1109" t="s">
        <v>18</v>
      </c>
      <c r="F1109">
        <v>1</v>
      </c>
      <c r="G1109">
        <v>127680</v>
      </c>
      <c r="H1109">
        <v>127680</v>
      </c>
      <c r="I1109" s="4">
        <v>38686</v>
      </c>
      <c r="J1109" s="5">
        <f t="shared" si="34"/>
        <v>-61</v>
      </c>
      <c r="K1109" s="6" t="str">
        <f t="shared" si="35"/>
        <v>A~0</v>
      </c>
      <c r="L1109" t="str">
        <f>IF(J1109&lt;0,"A~0",VLOOKUP(J1109,[1]作法V!$B$1:$C$9,2,TRUE))</f>
        <v>A~0</v>
      </c>
    </row>
    <row r="1110" spans="1:12">
      <c r="A1110">
        <v>1068</v>
      </c>
      <c r="B1110" t="s">
        <v>62</v>
      </c>
      <c r="C1110" s="3">
        <v>38576</v>
      </c>
      <c r="D1110" s="3">
        <v>38747</v>
      </c>
      <c r="E1110" t="s">
        <v>18</v>
      </c>
      <c r="F1110">
        <v>1</v>
      </c>
      <c r="G1110">
        <v>136960</v>
      </c>
      <c r="H1110">
        <v>136960</v>
      </c>
      <c r="I1110" s="4">
        <v>38686</v>
      </c>
      <c r="J1110" s="5">
        <f t="shared" si="34"/>
        <v>-61</v>
      </c>
      <c r="K1110" s="6" t="str">
        <f t="shared" si="35"/>
        <v>A~0</v>
      </c>
      <c r="L1110" t="str">
        <f>IF(J1110&lt;0,"A~0",VLOOKUP(J1110,[1]作法V!$B$1:$C$9,2,TRUE))</f>
        <v>A~0</v>
      </c>
    </row>
    <row r="1111" spans="1:12">
      <c r="A1111">
        <v>1068</v>
      </c>
      <c r="B1111" t="s">
        <v>62</v>
      </c>
      <c r="C1111" s="3">
        <v>38580</v>
      </c>
      <c r="D1111" s="3">
        <v>38747</v>
      </c>
      <c r="E1111" t="s">
        <v>18</v>
      </c>
      <c r="F1111">
        <v>1</v>
      </c>
      <c r="G1111">
        <v>50000</v>
      </c>
      <c r="H1111">
        <v>50000</v>
      </c>
      <c r="I1111" s="4">
        <v>38686</v>
      </c>
      <c r="J1111" s="5">
        <f t="shared" si="34"/>
        <v>-61</v>
      </c>
      <c r="K1111" s="6" t="str">
        <f t="shared" si="35"/>
        <v>A~0</v>
      </c>
      <c r="L1111" t="str">
        <f>IF(J1111&lt;0,"A~0",VLOOKUP(J1111,[1]作法V!$B$1:$C$9,2,TRUE))</f>
        <v>A~0</v>
      </c>
    </row>
    <row r="1112" spans="1:12">
      <c r="A1112">
        <v>1068</v>
      </c>
      <c r="B1112" t="s">
        <v>62</v>
      </c>
      <c r="C1112" s="3">
        <v>38580</v>
      </c>
      <c r="D1112" s="3">
        <v>38747</v>
      </c>
      <c r="E1112" t="s">
        <v>18</v>
      </c>
      <c r="F1112">
        <v>1</v>
      </c>
      <c r="G1112">
        <v>4560</v>
      </c>
      <c r="H1112">
        <v>4560</v>
      </c>
      <c r="I1112" s="4">
        <v>38686</v>
      </c>
      <c r="J1112" s="5">
        <f t="shared" si="34"/>
        <v>-61</v>
      </c>
      <c r="K1112" s="6" t="str">
        <f t="shared" si="35"/>
        <v>A~0</v>
      </c>
      <c r="L1112" t="str">
        <f>IF(J1112&lt;0,"A~0",VLOOKUP(J1112,[1]作法V!$B$1:$C$9,2,TRUE))</f>
        <v>A~0</v>
      </c>
    </row>
    <row r="1113" spans="1:12">
      <c r="A1113">
        <v>1068</v>
      </c>
      <c r="B1113" t="s">
        <v>62</v>
      </c>
      <c r="C1113" s="3">
        <v>38580</v>
      </c>
      <c r="D1113" s="3">
        <v>38747</v>
      </c>
      <c r="E1113" t="s">
        <v>18</v>
      </c>
      <c r="F1113">
        <v>1</v>
      </c>
      <c r="G1113">
        <v>20450</v>
      </c>
      <c r="H1113">
        <v>20450</v>
      </c>
      <c r="I1113" s="4">
        <v>38686</v>
      </c>
      <c r="J1113" s="5">
        <f t="shared" si="34"/>
        <v>-61</v>
      </c>
      <c r="K1113" s="6" t="str">
        <f t="shared" si="35"/>
        <v>A~0</v>
      </c>
      <c r="L1113" t="str">
        <f>IF(J1113&lt;0,"A~0",VLOOKUP(J1113,[1]作法V!$B$1:$C$9,2,TRUE))</f>
        <v>A~0</v>
      </c>
    </row>
    <row r="1114" spans="1:12">
      <c r="A1114">
        <v>1068</v>
      </c>
      <c r="B1114" t="s">
        <v>62</v>
      </c>
      <c r="C1114" s="3">
        <v>38580</v>
      </c>
      <c r="D1114" s="3">
        <v>38747</v>
      </c>
      <c r="E1114" t="s">
        <v>18</v>
      </c>
      <c r="F1114">
        <v>1</v>
      </c>
      <c r="G1114">
        <v>4280</v>
      </c>
      <c r="H1114">
        <v>4280</v>
      </c>
      <c r="I1114" s="4">
        <v>38686</v>
      </c>
      <c r="J1114" s="5">
        <f t="shared" si="34"/>
        <v>-61</v>
      </c>
      <c r="K1114" s="6" t="str">
        <f t="shared" si="35"/>
        <v>A~0</v>
      </c>
      <c r="L1114" t="str">
        <f>IF(J1114&lt;0,"A~0",VLOOKUP(J1114,[1]作法V!$B$1:$C$9,2,TRUE))</f>
        <v>A~0</v>
      </c>
    </row>
    <row r="1115" spans="1:12">
      <c r="A1115">
        <v>1068</v>
      </c>
      <c r="B1115" t="s">
        <v>62</v>
      </c>
      <c r="C1115" s="3">
        <v>38589</v>
      </c>
      <c r="D1115" s="3">
        <v>38776</v>
      </c>
      <c r="E1115" t="s">
        <v>18</v>
      </c>
      <c r="F1115">
        <v>1</v>
      </c>
      <c r="G1115">
        <v>115094</v>
      </c>
      <c r="H1115">
        <v>115094</v>
      </c>
      <c r="I1115" s="4">
        <v>38686</v>
      </c>
      <c r="J1115" s="5">
        <f t="shared" si="34"/>
        <v>-90</v>
      </c>
      <c r="K1115" s="6" t="str">
        <f t="shared" si="35"/>
        <v>A~0</v>
      </c>
      <c r="L1115" t="str">
        <f>IF(J1115&lt;0,"A~0",VLOOKUP(J1115,[1]作法V!$B$1:$C$9,2,TRUE))</f>
        <v>A~0</v>
      </c>
    </row>
    <row r="1116" spans="1:12">
      <c r="A1116">
        <v>1068</v>
      </c>
      <c r="B1116" t="s">
        <v>62</v>
      </c>
      <c r="C1116" s="3">
        <v>38589</v>
      </c>
      <c r="D1116" s="3">
        <v>38776</v>
      </c>
      <c r="E1116" t="s">
        <v>18</v>
      </c>
      <c r="F1116">
        <v>1</v>
      </c>
      <c r="G1116">
        <v>2760</v>
      </c>
      <c r="H1116">
        <v>2760</v>
      </c>
      <c r="I1116" s="4">
        <v>38686</v>
      </c>
      <c r="J1116" s="5">
        <f t="shared" si="34"/>
        <v>-90</v>
      </c>
      <c r="K1116" s="6" t="str">
        <f t="shared" si="35"/>
        <v>A~0</v>
      </c>
      <c r="L1116" t="str">
        <f>IF(J1116&lt;0,"A~0",VLOOKUP(J1116,[1]作法V!$B$1:$C$9,2,TRUE))</f>
        <v>A~0</v>
      </c>
    </row>
    <row r="1117" spans="1:12">
      <c r="A1117">
        <v>1068</v>
      </c>
      <c r="B1117" t="s">
        <v>62</v>
      </c>
      <c r="C1117" s="3">
        <v>38589</v>
      </c>
      <c r="D1117" s="3">
        <v>38776</v>
      </c>
      <c r="E1117" t="s">
        <v>18</v>
      </c>
      <c r="F1117">
        <v>1</v>
      </c>
      <c r="G1117">
        <v>88170</v>
      </c>
      <c r="H1117">
        <v>88170</v>
      </c>
      <c r="I1117" s="4">
        <v>38686</v>
      </c>
      <c r="J1117" s="5">
        <f t="shared" si="34"/>
        <v>-90</v>
      </c>
      <c r="K1117" s="6" t="str">
        <f t="shared" si="35"/>
        <v>A~0</v>
      </c>
      <c r="L1117" t="str">
        <f>IF(J1117&lt;0,"A~0",VLOOKUP(J1117,[1]作法V!$B$1:$C$9,2,TRUE))</f>
        <v>A~0</v>
      </c>
    </row>
    <row r="1118" spans="1:12">
      <c r="A1118">
        <v>1068</v>
      </c>
      <c r="B1118" t="s">
        <v>62</v>
      </c>
      <c r="C1118" s="3">
        <v>38589</v>
      </c>
      <c r="D1118" s="3">
        <v>38776</v>
      </c>
      <c r="E1118" t="s">
        <v>18</v>
      </c>
      <c r="F1118">
        <v>1</v>
      </c>
      <c r="G1118">
        <v>3500</v>
      </c>
      <c r="H1118">
        <v>3500</v>
      </c>
      <c r="I1118" s="4">
        <v>38686</v>
      </c>
      <c r="J1118" s="5">
        <f t="shared" si="34"/>
        <v>-90</v>
      </c>
      <c r="K1118" s="6" t="str">
        <f t="shared" si="35"/>
        <v>A~0</v>
      </c>
      <c r="L1118" t="str">
        <f>IF(J1118&lt;0,"A~0",VLOOKUP(J1118,[1]作法V!$B$1:$C$9,2,TRUE))</f>
        <v>A~0</v>
      </c>
    </row>
    <row r="1119" spans="1:12">
      <c r="A1119">
        <v>1068</v>
      </c>
      <c r="B1119" t="s">
        <v>62</v>
      </c>
      <c r="C1119" s="3">
        <v>38597</v>
      </c>
      <c r="D1119" s="3">
        <v>38776</v>
      </c>
      <c r="E1119" t="s">
        <v>18</v>
      </c>
      <c r="F1119">
        <v>1</v>
      </c>
      <c r="G1119">
        <v>16250</v>
      </c>
      <c r="H1119">
        <v>16250</v>
      </c>
      <c r="I1119" s="4">
        <v>38686</v>
      </c>
      <c r="J1119" s="5">
        <f t="shared" si="34"/>
        <v>-90</v>
      </c>
      <c r="K1119" s="6" t="str">
        <f t="shared" si="35"/>
        <v>A~0</v>
      </c>
      <c r="L1119" t="str">
        <f>IF(J1119&lt;0,"A~0",VLOOKUP(J1119,[1]作法V!$B$1:$C$9,2,TRUE))</f>
        <v>A~0</v>
      </c>
    </row>
    <row r="1120" spans="1:12">
      <c r="A1120">
        <v>1068</v>
      </c>
      <c r="B1120" t="s">
        <v>62</v>
      </c>
      <c r="C1120" s="3">
        <v>38597</v>
      </c>
      <c r="D1120" s="3">
        <v>38776</v>
      </c>
      <c r="E1120" t="s">
        <v>18</v>
      </c>
      <c r="F1120">
        <v>1</v>
      </c>
      <c r="G1120">
        <v>80420</v>
      </c>
      <c r="H1120">
        <v>80420</v>
      </c>
      <c r="I1120" s="4">
        <v>38686</v>
      </c>
      <c r="J1120" s="5">
        <f t="shared" si="34"/>
        <v>-90</v>
      </c>
      <c r="K1120" s="6" t="str">
        <f t="shared" si="35"/>
        <v>A~0</v>
      </c>
      <c r="L1120" t="str">
        <f>IF(J1120&lt;0,"A~0",VLOOKUP(J1120,[1]作法V!$B$1:$C$9,2,TRUE))</f>
        <v>A~0</v>
      </c>
    </row>
    <row r="1121" spans="1:12">
      <c r="A1121">
        <v>1068</v>
      </c>
      <c r="B1121" t="s">
        <v>62</v>
      </c>
      <c r="C1121" s="3">
        <v>38597</v>
      </c>
      <c r="D1121" s="3">
        <v>38776</v>
      </c>
      <c r="E1121" t="s">
        <v>18</v>
      </c>
      <c r="F1121">
        <v>1</v>
      </c>
      <c r="G1121">
        <v>48830</v>
      </c>
      <c r="H1121">
        <v>48830</v>
      </c>
      <c r="I1121" s="4">
        <v>38686</v>
      </c>
      <c r="J1121" s="5">
        <f t="shared" si="34"/>
        <v>-90</v>
      </c>
      <c r="K1121" s="6" t="str">
        <f t="shared" si="35"/>
        <v>A~0</v>
      </c>
      <c r="L1121" t="str">
        <f>IF(J1121&lt;0,"A~0",VLOOKUP(J1121,[1]作法V!$B$1:$C$9,2,TRUE))</f>
        <v>A~0</v>
      </c>
    </row>
    <row r="1122" spans="1:12">
      <c r="A1122">
        <v>1068</v>
      </c>
      <c r="B1122" t="s">
        <v>62</v>
      </c>
      <c r="C1122" s="3">
        <v>38597</v>
      </c>
      <c r="D1122" s="3">
        <v>38776</v>
      </c>
      <c r="E1122" t="s">
        <v>18</v>
      </c>
      <c r="F1122">
        <v>1</v>
      </c>
      <c r="G1122">
        <v>136800</v>
      </c>
      <c r="H1122">
        <v>136800</v>
      </c>
      <c r="I1122" s="4">
        <v>38686</v>
      </c>
      <c r="J1122" s="5">
        <f t="shared" si="34"/>
        <v>-90</v>
      </c>
      <c r="K1122" s="6" t="str">
        <f t="shared" si="35"/>
        <v>A~0</v>
      </c>
      <c r="L1122" t="str">
        <f>IF(J1122&lt;0,"A~0",VLOOKUP(J1122,[1]作法V!$B$1:$C$9,2,TRUE))</f>
        <v>A~0</v>
      </c>
    </row>
    <row r="1123" spans="1:12">
      <c r="A1123">
        <v>1068</v>
      </c>
      <c r="B1123" t="s">
        <v>62</v>
      </c>
      <c r="C1123" s="3">
        <v>38602</v>
      </c>
      <c r="D1123" s="3">
        <v>38776</v>
      </c>
      <c r="E1123" t="s">
        <v>18</v>
      </c>
      <c r="F1123">
        <v>1</v>
      </c>
      <c r="G1123">
        <v>40000</v>
      </c>
      <c r="H1123">
        <v>40000</v>
      </c>
      <c r="I1123" s="4">
        <v>38686</v>
      </c>
      <c r="J1123" s="5">
        <f t="shared" si="34"/>
        <v>-90</v>
      </c>
      <c r="K1123" s="6" t="str">
        <f t="shared" si="35"/>
        <v>A~0</v>
      </c>
      <c r="L1123" t="str">
        <f>IF(J1123&lt;0,"A~0",VLOOKUP(J1123,[1]作法V!$B$1:$C$9,2,TRUE))</f>
        <v>A~0</v>
      </c>
    </row>
    <row r="1124" spans="1:12">
      <c r="A1124">
        <v>1068</v>
      </c>
      <c r="B1124" t="s">
        <v>62</v>
      </c>
      <c r="C1124" s="3">
        <v>38602</v>
      </c>
      <c r="D1124" s="3">
        <v>38776</v>
      </c>
      <c r="E1124" t="s">
        <v>18</v>
      </c>
      <c r="F1124">
        <v>1</v>
      </c>
      <c r="G1124">
        <v>27360</v>
      </c>
      <c r="H1124">
        <v>27360</v>
      </c>
      <c r="I1124" s="4">
        <v>38686</v>
      </c>
      <c r="J1124" s="5">
        <f t="shared" si="34"/>
        <v>-90</v>
      </c>
      <c r="K1124" s="6" t="str">
        <f t="shared" si="35"/>
        <v>A~0</v>
      </c>
      <c r="L1124" t="str">
        <f>IF(J1124&lt;0,"A~0",VLOOKUP(J1124,[1]作法V!$B$1:$C$9,2,TRUE))</f>
        <v>A~0</v>
      </c>
    </row>
    <row r="1125" spans="1:12">
      <c r="A1125">
        <v>1068</v>
      </c>
      <c r="B1125" t="s">
        <v>62</v>
      </c>
      <c r="C1125" s="3">
        <v>38602</v>
      </c>
      <c r="D1125" s="3">
        <v>38776</v>
      </c>
      <c r="E1125" t="s">
        <v>18</v>
      </c>
      <c r="F1125">
        <v>1</v>
      </c>
      <c r="G1125">
        <v>7000</v>
      </c>
      <c r="H1125">
        <v>7000</v>
      </c>
      <c r="I1125" s="4">
        <v>38686</v>
      </c>
      <c r="J1125" s="5">
        <f t="shared" si="34"/>
        <v>-90</v>
      </c>
      <c r="K1125" s="6" t="str">
        <f t="shared" si="35"/>
        <v>A~0</v>
      </c>
      <c r="L1125" t="str">
        <f>IF(J1125&lt;0,"A~0",VLOOKUP(J1125,[1]作法V!$B$1:$C$9,2,TRUE))</f>
        <v>A~0</v>
      </c>
    </row>
    <row r="1126" spans="1:12">
      <c r="A1126">
        <v>1068</v>
      </c>
      <c r="B1126" t="s">
        <v>62</v>
      </c>
      <c r="C1126" s="3">
        <v>38617</v>
      </c>
      <c r="D1126" s="3">
        <v>38776</v>
      </c>
      <c r="E1126" t="s">
        <v>18</v>
      </c>
      <c r="F1126">
        <v>1</v>
      </c>
      <c r="G1126">
        <v>177840</v>
      </c>
      <c r="H1126">
        <v>177840</v>
      </c>
      <c r="I1126" s="4">
        <v>38686</v>
      </c>
      <c r="J1126" s="5">
        <f t="shared" si="34"/>
        <v>-90</v>
      </c>
      <c r="K1126" s="6" t="str">
        <f t="shared" si="35"/>
        <v>A~0</v>
      </c>
      <c r="L1126" t="str">
        <f>IF(J1126&lt;0,"A~0",VLOOKUP(J1126,[1]作法V!$B$1:$C$9,2,TRUE))</f>
        <v>A~0</v>
      </c>
    </row>
    <row r="1127" spans="1:12">
      <c r="A1127">
        <v>1068</v>
      </c>
      <c r="B1127" t="s">
        <v>62</v>
      </c>
      <c r="C1127" s="3">
        <v>38617</v>
      </c>
      <c r="D1127" s="3">
        <v>38776</v>
      </c>
      <c r="E1127" t="s">
        <v>18</v>
      </c>
      <c r="F1127">
        <v>1</v>
      </c>
      <c r="G1127">
        <v>42800</v>
      </c>
      <c r="H1127">
        <v>42800</v>
      </c>
      <c r="I1127" s="4">
        <v>38686</v>
      </c>
      <c r="J1127" s="5">
        <f t="shared" si="34"/>
        <v>-90</v>
      </c>
      <c r="K1127" s="6" t="str">
        <f t="shared" si="35"/>
        <v>A~0</v>
      </c>
      <c r="L1127" t="str">
        <f>IF(J1127&lt;0,"A~0",VLOOKUP(J1127,[1]作法V!$B$1:$C$9,2,TRUE))</f>
        <v>A~0</v>
      </c>
    </row>
    <row r="1128" spans="1:12">
      <c r="A1128">
        <v>1068</v>
      </c>
      <c r="B1128" t="s">
        <v>62</v>
      </c>
      <c r="C1128" s="3">
        <v>38617</v>
      </c>
      <c r="D1128" s="3">
        <v>38776</v>
      </c>
      <c r="E1128" t="s">
        <v>18</v>
      </c>
      <c r="F1128">
        <v>1</v>
      </c>
      <c r="G1128">
        <v>4560</v>
      </c>
      <c r="H1128">
        <v>4560</v>
      </c>
      <c r="I1128" s="4">
        <v>38686</v>
      </c>
      <c r="J1128" s="5">
        <f t="shared" si="34"/>
        <v>-90</v>
      </c>
      <c r="K1128" s="6" t="str">
        <f t="shared" si="35"/>
        <v>A~0</v>
      </c>
      <c r="L1128" t="str">
        <f>IF(J1128&lt;0,"A~0",VLOOKUP(J1128,[1]作法V!$B$1:$C$9,2,TRUE))</f>
        <v>A~0</v>
      </c>
    </row>
    <row r="1129" spans="1:12">
      <c r="A1129">
        <v>1068</v>
      </c>
      <c r="B1129" t="s">
        <v>62</v>
      </c>
      <c r="C1129" s="3">
        <v>38624</v>
      </c>
      <c r="D1129" s="3">
        <v>38806</v>
      </c>
      <c r="E1129" t="s">
        <v>18</v>
      </c>
      <c r="F1129">
        <v>1</v>
      </c>
      <c r="G1129">
        <v>500</v>
      </c>
      <c r="H1129">
        <v>500</v>
      </c>
      <c r="I1129" s="4">
        <v>38686</v>
      </c>
      <c r="J1129" s="5">
        <f t="shared" si="34"/>
        <v>-120</v>
      </c>
      <c r="K1129" s="6" t="str">
        <f t="shared" si="35"/>
        <v>A~0</v>
      </c>
      <c r="L1129" t="str">
        <f>IF(J1129&lt;0,"A~0",VLOOKUP(J1129,[1]作法V!$B$1:$C$9,2,TRUE))</f>
        <v>A~0</v>
      </c>
    </row>
    <row r="1130" spans="1:12">
      <c r="A1130">
        <v>1068</v>
      </c>
      <c r="B1130" t="s">
        <v>62</v>
      </c>
      <c r="C1130" s="3">
        <v>38624</v>
      </c>
      <c r="D1130" s="3">
        <v>38806</v>
      </c>
      <c r="E1130" t="s">
        <v>18</v>
      </c>
      <c r="F1130">
        <v>1</v>
      </c>
      <c r="G1130">
        <v>10280</v>
      </c>
      <c r="H1130">
        <v>10280</v>
      </c>
      <c r="I1130" s="4">
        <v>38686</v>
      </c>
      <c r="J1130" s="5">
        <f t="shared" si="34"/>
        <v>-120</v>
      </c>
      <c r="K1130" s="6" t="str">
        <f t="shared" si="35"/>
        <v>A~0</v>
      </c>
      <c r="L1130" t="str">
        <f>IF(J1130&lt;0,"A~0",VLOOKUP(J1130,[1]作法V!$B$1:$C$9,2,TRUE))</f>
        <v>A~0</v>
      </c>
    </row>
    <row r="1131" spans="1:12">
      <c r="A1131">
        <v>1068</v>
      </c>
      <c r="B1131" t="s">
        <v>62</v>
      </c>
      <c r="C1131" s="3">
        <v>38624</v>
      </c>
      <c r="D1131" s="3">
        <v>38806</v>
      </c>
      <c r="E1131" t="s">
        <v>18</v>
      </c>
      <c r="F1131">
        <v>1</v>
      </c>
      <c r="G1131">
        <v>53970</v>
      </c>
      <c r="H1131">
        <v>53970</v>
      </c>
      <c r="I1131" s="4">
        <v>38686</v>
      </c>
      <c r="J1131" s="5">
        <f t="shared" si="34"/>
        <v>-120</v>
      </c>
      <c r="K1131" s="6" t="str">
        <f t="shared" si="35"/>
        <v>A~0</v>
      </c>
      <c r="L1131" t="str">
        <f>IF(J1131&lt;0,"A~0",VLOOKUP(J1131,[1]作法V!$B$1:$C$9,2,TRUE))</f>
        <v>A~0</v>
      </c>
    </row>
    <row r="1132" spans="1:12">
      <c r="A1132">
        <v>1068</v>
      </c>
      <c r="B1132" t="s">
        <v>62</v>
      </c>
      <c r="C1132" s="3">
        <v>38631</v>
      </c>
      <c r="D1132" s="3">
        <v>38806</v>
      </c>
      <c r="E1132" t="s">
        <v>18</v>
      </c>
      <c r="F1132">
        <v>1</v>
      </c>
      <c r="G1132">
        <v>97500</v>
      </c>
      <c r="H1132">
        <v>97500</v>
      </c>
      <c r="I1132" s="4">
        <v>38686</v>
      </c>
      <c r="J1132" s="5">
        <f t="shared" si="34"/>
        <v>-120</v>
      </c>
      <c r="K1132" s="6" t="str">
        <f t="shared" si="35"/>
        <v>A~0</v>
      </c>
      <c r="L1132" t="str">
        <f>IF(J1132&lt;0,"A~0",VLOOKUP(J1132,[1]作法V!$B$1:$C$9,2,TRUE))</f>
        <v>A~0</v>
      </c>
    </row>
    <row r="1133" spans="1:12">
      <c r="A1133">
        <v>1068</v>
      </c>
      <c r="B1133" t="s">
        <v>62</v>
      </c>
      <c r="C1133" s="3">
        <v>38631</v>
      </c>
      <c r="D1133" s="3">
        <v>38806</v>
      </c>
      <c r="E1133" t="s">
        <v>18</v>
      </c>
      <c r="F1133">
        <v>1</v>
      </c>
      <c r="G1133">
        <v>8280</v>
      </c>
      <c r="H1133">
        <v>8280</v>
      </c>
      <c r="I1133" s="4">
        <v>38686</v>
      </c>
      <c r="J1133" s="5">
        <f t="shared" si="34"/>
        <v>-120</v>
      </c>
      <c r="K1133" s="6" t="str">
        <f t="shared" si="35"/>
        <v>A~0</v>
      </c>
      <c r="L1133" t="str">
        <f>IF(J1133&lt;0,"A~0",VLOOKUP(J1133,[1]作法V!$B$1:$C$9,2,TRUE))</f>
        <v>A~0</v>
      </c>
    </row>
    <row r="1134" spans="1:12">
      <c r="A1134">
        <v>1068</v>
      </c>
      <c r="B1134" t="s">
        <v>62</v>
      </c>
      <c r="C1134" s="3">
        <v>38631</v>
      </c>
      <c r="D1134" s="3">
        <v>38806</v>
      </c>
      <c r="E1134" t="s">
        <v>18</v>
      </c>
      <c r="F1134">
        <v>1</v>
      </c>
      <c r="G1134">
        <v>500</v>
      </c>
      <c r="H1134">
        <v>500</v>
      </c>
      <c r="I1134" s="4">
        <v>38686</v>
      </c>
      <c r="J1134" s="5">
        <f t="shared" si="34"/>
        <v>-120</v>
      </c>
      <c r="K1134" s="6" t="str">
        <f t="shared" si="35"/>
        <v>A~0</v>
      </c>
      <c r="L1134" t="str">
        <f>IF(J1134&lt;0,"A~0",VLOOKUP(J1134,[1]作法V!$B$1:$C$9,2,TRUE))</f>
        <v>A~0</v>
      </c>
    </row>
    <row r="1135" spans="1:12">
      <c r="A1135">
        <v>1068</v>
      </c>
      <c r="B1135" t="s">
        <v>62</v>
      </c>
      <c r="C1135" s="3">
        <v>38631</v>
      </c>
      <c r="D1135" s="3">
        <v>38806</v>
      </c>
      <c r="E1135" t="s">
        <v>18</v>
      </c>
      <c r="F1135">
        <v>1</v>
      </c>
      <c r="G1135">
        <v>2000</v>
      </c>
      <c r="H1135">
        <v>2000</v>
      </c>
      <c r="I1135" s="4">
        <v>38686</v>
      </c>
      <c r="J1135" s="5">
        <f t="shared" si="34"/>
        <v>-120</v>
      </c>
      <c r="K1135" s="6" t="str">
        <f t="shared" si="35"/>
        <v>A~0</v>
      </c>
      <c r="L1135" t="str">
        <f>IF(J1135&lt;0,"A~0",VLOOKUP(J1135,[1]作法V!$B$1:$C$9,2,TRUE))</f>
        <v>A~0</v>
      </c>
    </row>
    <row r="1136" spans="1:12">
      <c r="A1136">
        <v>1068</v>
      </c>
      <c r="B1136" t="s">
        <v>62</v>
      </c>
      <c r="C1136" s="3">
        <v>38631</v>
      </c>
      <c r="D1136" s="3">
        <v>38806</v>
      </c>
      <c r="E1136" t="s">
        <v>18</v>
      </c>
      <c r="F1136">
        <v>1</v>
      </c>
      <c r="G1136">
        <v>4560</v>
      </c>
      <c r="H1136">
        <v>4560</v>
      </c>
      <c r="I1136" s="4">
        <v>38686</v>
      </c>
      <c r="J1136" s="5">
        <f t="shared" si="34"/>
        <v>-120</v>
      </c>
      <c r="K1136" s="6" t="str">
        <f t="shared" si="35"/>
        <v>A~0</v>
      </c>
      <c r="L1136" t="str">
        <f>IF(J1136&lt;0,"A~0",VLOOKUP(J1136,[1]作法V!$B$1:$C$9,2,TRUE))</f>
        <v>A~0</v>
      </c>
    </row>
    <row r="1137" spans="1:12">
      <c r="A1137">
        <v>1068</v>
      </c>
      <c r="B1137" t="s">
        <v>62</v>
      </c>
      <c r="C1137" s="3">
        <v>38631</v>
      </c>
      <c r="D1137" s="3">
        <v>38806</v>
      </c>
      <c r="E1137" t="s">
        <v>18</v>
      </c>
      <c r="F1137">
        <v>1</v>
      </c>
      <c r="G1137">
        <v>82080</v>
      </c>
      <c r="H1137">
        <v>82080</v>
      </c>
      <c r="I1137" s="4">
        <v>38686</v>
      </c>
      <c r="J1137" s="5">
        <f t="shared" si="34"/>
        <v>-120</v>
      </c>
      <c r="K1137" s="6" t="str">
        <f t="shared" si="35"/>
        <v>A~0</v>
      </c>
      <c r="L1137" t="str">
        <f>IF(J1137&lt;0,"A~0",VLOOKUP(J1137,[1]作法V!$B$1:$C$9,2,TRUE))</f>
        <v>A~0</v>
      </c>
    </row>
    <row r="1138" spans="1:12">
      <c r="A1138">
        <v>1068</v>
      </c>
      <c r="B1138" t="s">
        <v>62</v>
      </c>
      <c r="C1138" s="3">
        <v>38631</v>
      </c>
      <c r="D1138" s="3">
        <v>38806</v>
      </c>
      <c r="E1138" t="s">
        <v>18</v>
      </c>
      <c r="F1138">
        <v>1</v>
      </c>
      <c r="G1138">
        <v>10280</v>
      </c>
      <c r="H1138">
        <v>10280</v>
      </c>
      <c r="I1138" s="4">
        <v>38686</v>
      </c>
      <c r="J1138" s="5">
        <f t="shared" si="34"/>
        <v>-120</v>
      </c>
      <c r="K1138" s="6" t="str">
        <f t="shared" si="35"/>
        <v>A~0</v>
      </c>
      <c r="L1138" t="str">
        <f>IF(J1138&lt;0,"A~0",VLOOKUP(J1138,[1]作法V!$B$1:$C$9,2,TRUE))</f>
        <v>A~0</v>
      </c>
    </row>
    <row r="1139" spans="1:12">
      <c r="A1139">
        <v>1068</v>
      </c>
      <c r="B1139" t="s">
        <v>62</v>
      </c>
      <c r="C1139" s="3">
        <v>38631</v>
      </c>
      <c r="D1139" s="3">
        <v>38806</v>
      </c>
      <c r="E1139" t="s">
        <v>18</v>
      </c>
      <c r="F1139">
        <v>1</v>
      </c>
      <c r="G1139">
        <v>43690</v>
      </c>
      <c r="H1139">
        <v>43690</v>
      </c>
      <c r="I1139" s="4">
        <v>38686</v>
      </c>
      <c r="J1139" s="5">
        <f t="shared" si="34"/>
        <v>-120</v>
      </c>
      <c r="K1139" s="6" t="str">
        <f t="shared" si="35"/>
        <v>A~0</v>
      </c>
      <c r="L1139" t="str">
        <f>IF(J1139&lt;0,"A~0",VLOOKUP(J1139,[1]作法V!$B$1:$C$9,2,TRUE))</f>
        <v>A~0</v>
      </c>
    </row>
    <row r="1140" spans="1:12">
      <c r="A1140">
        <v>1068</v>
      </c>
      <c r="B1140" t="s">
        <v>62</v>
      </c>
      <c r="C1140" s="3">
        <v>38631</v>
      </c>
      <c r="D1140" s="3">
        <v>38806</v>
      </c>
      <c r="E1140" t="s">
        <v>18</v>
      </c>
      <c r="F1140">
        <v>1</v>
      </c>
      <c r="G1140">
        <v>31920</v>
      </c>
      <c r="H1140">
        <v>31920</v>
      </c>
      <c r="I1140" s="4">
        <v>38686</v>
      </c>
      <c r="J1140" s="5">
        <f t="shared" si="34"/>
        <v>-120</v>
      </c>
      <c r="K1140" s="6" t="str">
        <f t="shared" si="35"/>
        <v>A~0</v>
      </c>
      <c r="L1140" t="str">
        <f>IF(J1140&lt;0,"A~0",VLOOKUP(J1140,[1]作法V!$B$1:$C$9,2,TRUE))</f>
        <v>A~0</v>
      </c>
    </row>
    <row r="1141" spans="1:12">
      <c r="A1141">
        <v>1068</v>
      </c>
      <c r="B1141" t="s">
        <v>62</v>
      </c>
      <c r="C1141" s="3">
        <v>38638</v>
      </c>
      <c r="D1141" s="3">
        <v>38806</v>
      </c>
      <c r="E1141" t="s">
        <v>18</v>
      </c>
      <c r="F1141">
        <v>1</v>
      </c>
      <c r="G1141">
        <v>21400</v>
      </c>
      <c r="H1141">
        <v>21400</v>
      </c>
      <c r="I1141" s="4">
        <v>38686</v>
      </c>
      <c r="J1141" s="5">
        <f t="shared" si="34"/>
        <v>-120</v>
      </c>
      <c r="K1141" s="6" t="str">
        <f t="shared" si="35"/>
        <v>A~0</v>
      </c>
      <c r="L1141" t="str">
        <f>IF(J1141&lt;0,"A~0",VLOOKUP(J1141,[1]作法V!$B$1:$C$9,2,TRUE))</f>
        <v>A~0</v>
      </c>
    </row>
    <row r="1142" spans="1:12">
      <c r="A1142">
        <v>1068</v>
      </c>
      <c r="B1142" t="s">
        <v>62</v>
      </c>
      <c r="C1142" s="3">
        <v>38638</v>
      </c>
      <c r="D1142" s="3">
        <v>38806</v>
      </c>
      <c r="E1142" t="s">
        <v>18</v>
      </c>
      <c r="F1142">
        <v>1</v>
      </c>
      <c r="G1142">
        <v>54720</v>
      </c>
      <c r="H1142">
        <v>54720</v>
      </c>
      <c r="I1142" s="4">
        <v>38686</v>
      </c>
      <c r="J1142" s="5">
        <f t="shared" si="34"/>
        <v>-120</v>
      </c>
      <c r="K1142" s="6" t="str">
        <f t="shared" si="35"/>
        <v>A~0</v>
      </c>
      <c r="L1142" t="str">
        <f>IF(J1142&lt;0,"A~0",VLOOKUP(J1142,[1]作法V!$B$1:$C$9,2,TRUE))</f>
        <v>A~0</v>
      </c>
    </row>
    <row r="1143" spans="1:12">
      <c r="A1143">
        <v>1068</v>
      </c>
      <c r="B1143" t="s">
        <v>62</v>
      </c>
      <c r="C1143" s="3">
        <v>38638</v>
      </c>
      <c r="D1143" s="3">
        <v>38806</v>
      </c>
      <c r="E1143" t="s">
        <v>18</v>
      </c>
      <c r="F1143">
        <v>1</v>
      </c>
      <c r="G1143">
        <v>5520</v>
      </c>
      <c r="H1143">
        <v>5520</v>
      </c>
      <c r="I1143" s="4">
        <v>38686</v>
      </c>
      <c r="J1143" s="5">
        <f t="shared" si="34"/>
        <v>-120</v>
      </c>
      <c r="K1143" s="6" t="str">
        <f t="shared" si="35"/>
        <v>A~0</v>
      </c>
      <c r="L1143" t="str">
        <f>IF(J1143&lt;0,"A~0",VLOOKUP(J1143,[1]作法V!$B$1:$C$9,2,TRUE))</f>
        <v>A~0</v>
      </c>
    </row>
    <row r="1144" spans="1:12">
      <c r="A1144">
        <v>1068</v>
      </c>
      <c r="B1144" t="s">
        <v>62</v>
      </c>
      <c r="C1144" s="3">
        <v>38638</v>
      </c>
      <c r="D1144" s="3">
        <v>38806</v>
      </c>
      <c r="E1144" t="s">
        <v>18</v>
      </c>
      <c r="F1144">
        <v>1</v>
      </c>
      <c r="G1144">
        <v>3500</v>
      </c>
      <c r="H1144">
        <v>3500</v>
      </c>
      <c r="I1144" s="4">
        <v>38686</v>
      </c>
      <c r="J1144" s="5">
        <f t="shared" si="34"/>
        <v>-120</v>
      </c>
      <c r="K1144" s="6" t="str">
        <f t="shared" si="35"/>
        <v>A~0</v>
      </c>
      <c r="L1144" t="str">
        <f>IF(J1144&lt;0,"A~0",VLOOKUP(J1144,[1]作法V!$B$1:$C$9,2,TRUE))</f>
        <v>A~0</v>
      </c>
    </row>
    <row r="1145" spans="1:12">
      <c r="A1145">
        <v>1068</v>
      </c>
      <c r="B1145" t="s">
        <v>62</v>
      </c>
      <c r="C1145" s="3">
        <v>38645</v>
      </c>
      <c r="D1145" s="3">
        <v>38806</v>
      </c>
      <c r="E1145" t="s">
        <v>18</v>
      </c>
      <c r="F1145">
        <v>1</v>
      </c>
      <c r="G1145">
        <v>1750</v>
      </c>
      <c r="H1145">
        <v>1750</v>
      </c>
      <c r="I1145" s="4">
        <v>38686</v>
      </c>
      <c r="J1145" s="5">
        <f t="shared" si="34"/>
        <v>-120</v>
      </c>
      <c r="K1145" s="6" t="str">
        <f t="shared" si="35"/>
        <v>A~0</v>
      </c>
      <c r="L1145" t="str">
        <f>IF(J1145&lt;0,"A~0",VLOOKUP(J1145,[1]作法V!$B$1:$C$9,2,TRUE))</f>
        <v>A~0</v>
      </c>
    </row>
    <row r="1146" spans="1:12">
      <c r="A1146">
        <v>1068</v>
      </c>
      <c r="B1146" t="s">
        <v>62</v>
      </c>
      <c r="C1146" s="3">
        <v>38645</v>
      </c>
      <c r="D1146" s="3">
        <v>38806</v>
      </c>
      <c r="E1146" t="s">
        <v>18</v>
      </c>
      <c r="F1146">
        <v>1</v>
      </c>
      <c r="G1146">
        <v>127680</v>
      </c>
      <c r="H1146">
        <v>127680</v>
      </c>
      <c r="I1146" s="4">
        <v>38686</v>
      </c>
      <c r="J1146" s="5">
        <f t="shared" si="34"/>
        <v>-120</v>
      </c>
      <c r="K1146" s="6" t="str">
        <f t="shared" si="35"/>
        <v>A~0</v>
      </c>
      <c r="L1146" t="str">
        <f>IF(J1146&lt;0,"A~0",VLOOKUP(J1146,[1]作法V!$B$1:$C$9,2,TRUE))</f>
        <v>A~0</v>
      </c>
    </row>
    <row r="1147" spans="1:12">
      <c r="A1147">
        <v>1068</v>
      </c>
      <c r="B1147" t="s">
        <v>62</v>
      </c>
      <c r="C1147" s="3">
        <v>38645</v>
      </c>
      <c r="D1147" s="3">
        <v>38806</v>
      </c>
      <c r="E1147" t="s">
        <v>18</v>
      </c>
      <c r="F1147">
        <v>1</v>
      </c>
      <c r="G1147">
        <v>7000</v>
      </c>
      <c r="H1147">
        <v>7000</v>
      </c>
      <c r="I1147" s="4">
        <v>38686</v>
      </c>
      <c r="J1147" s="5">
        <f t="shared" si="34"/>
        <v>-120</v>
      </c>
      <c r="K1147" s="6" t="str">
        <f t="shared" si="35"/>
        <v>A~0</v>
      </c>
      <c r="L1147" t="str">
        <f>IF(J1147&lt;0,"A~0",VLOOKUP(J1147,[1]作法V!$B$1:$C$9,2,TRUE))</f>
        <v>A~0</v>
      </c>
    </row>
    <row r="1148" spans="1:12">
      <c r="A1148">
        <v>1068</v>
      </c>
      <c r="B1148" t="s">
        <v>62</v>
      </c>
      <c r="C1148" s="3">
        <v>38645</v>
      </c>
      <c r="D1148" s="3">
        <v>38806</v>
      </c>
      <c r="E1148" t="s">
        <v>18</v>
      </c>
      <c r="F1148">
        <v>1</v>
      </c>
      <c r="G1148">
        <v>50160</v>
      </c>
      <c r="H1148">
        <v>50160</v>
      </c>
      <c r="I1148" s="4">
        <v>38686</v>
      </c>
      <c r="J1148" s="5">
        <f t="shared" si="34"/>
        <v>-120</v>
      </c>
      <c r="K1148" s="6" t="str">
        <f t="shared" si="35"/>
        <v>A~0</v>
      </c>
      <c r="L1148" t="str">
        <f>IF(J1148&lt;0,"A~0",VLOOKUP(J1148,[1]作法V!$B$1:$C$9,2,TRUE))</f>
        <v>A~0</v>
      </c>
    </row>
    <row r="1149" spans="1:12">
      <c r="A1149">
        <v>1068</v>
      </c>
      <c r="B1149" t="s">
        <v>62</v>
      </c>
      <c r="C1149" s="3">
        <v>38645</v>
      </c>
      <c r="D1149" s="3">
        <v>38806</v>
      </c>
      <c r="E1149" t="s">
        <v>18</v>
      </c>
      <c r="F1149">
        <v>1</v>
      </c>
      <c r="G1149">
        <v>10500</v>
      </c>
      <c r="H1149">
        <v>10500</v>
      </c>
      <c r="I1149" s="4">
        <v>38686</v>
      </c>
      <c r="J1149" s="5">
        <f t="shared" si="34"/>
        <v>-120</v>
      </c>
      <c r="K1149" s="6" t="str">
        <f t="shared" si="35"/>
        <v>A~0</v>
      </c>
      <c r="L1149" t="str">
        <f>IF(J1149&lt;0,"A~0",VLOOKUP(J1149,[1]作法V!$B$1:$C$9,2,TRUE))</f>
        <v>A~0</v>
      </c>
    </row>
    <row r="1150" spans="1:12">
      <c r="A1150">
        <v>1068</v>
      </c>
      <c r="B1150" t="s">
        <v>62</v>
      </c>
      <c r="C1150" s="3">
        <v>38645</v>
      </c>
      <c r="D1150" s="3">
        <v>38806</v>
      </c>
      <c r="E1150" t="s">
        <v>18</v>
      </c>
      <c r="F1150">
        <v>1</v>
      </c>
      <c r="G1150">
        <v>500</v>
      </c>
      <c r="H1150">
        <v>500</v>
      </c>
      <c r="I1150" s="4">
        <v>38686</v>
      </c>
      <c r="J1150" s="5">
        <f t="shared" si="34"/>
        <v>-120</v>
      </c>
      <c r="K1150" s="6" t="str">
        <f t="shared" si="35"/>
        <v>A~0</v>
      </c>
      <c r="L1150" t="str">
        <f>IF(J1150&lt;0,"A~0",VLOOKUP(J1150,[1]作法V!$B$1:$C$9,2,TRUE))</f>
        <v>A~0</v>
      </c>
    </row>
    <row r="1151" spans="1:12">
      <c r="A1151">
        <v>1068</v>
      </c>
      <c r="B1151" t="s">
        <v>62</v>
      </c>
      <c r="C1151" s="3">
        <v>38645</v>
      </c>
      <c r="D1151" s="3">
        <v>38806</v>
      </c>
      <c r="E1151" t="s">
        <v>18</v>
      </c>
      <c r="F1151">
        <v>1</v>
      </c>
      <c r="G1151">
        <v>99500</v>
      </c>
      <c r="H1151">
        <v>99500</v>
      </c>
      <c r="I1151" s="4">
        <v>38686</v>
      </c>
      <c r="J1151" s="5">
        <f t="shared" si="34"/>
        <v>-120</v>
      </c>
      <c r="K1151" s="6" t="str">
        <f t="shared" si="35"/>
        <v>A~0</v>
      </c>
      <c r="L1151" t="str">
        <f>IF(J1151&lt;0,"A~0",VLOOKUP(J1151,[1]作法V!$B$1:$C$9,2,TRUE))</f>
        <v>A~0</v>
      </c>
    </row>
    <row r="1152" spans="1:12">
      <c r="A1152">
        <v>1068</v>
      </c>
      <c r="B1152" t="s">
        <v>62</v>
      </c>
      <c r="C1152" s="3">
        <v>38645</v>
      </c>
      <c r="D1152" s="3">
        <v>38806</v>
      </c>
      <c r="E1152" t="s">
        <v>18</v>
      </c>
      <c r="F1152">
        <v>1</v>
      </c>
      <c r="G1152">
        <v>7710</v>
      </c>
      <c r="H1152">
        <v>7710</v>
      </c>
      <c r="I1152" s="4">
        <v>38686</v>
      </c>
      <c r="J1152" s="5">
        <f t="shared" si="34"/>
        <v>-120</v>
      </c>
      <c r="K1152" s="6" t="str">
        <f t="shared" si="35"/>
        <v>A~0</v>
      </c>
      <c r="L1152" t="str">
        <f>IF(J1152&lt;0,"A~0",VLOOKUP(J1152,[1]作法V!$B$1:$C$9,2,TRUE))</f>
        <v>A~0</v>
      </c>
    </row>
    <row r="1153" spans="1:12">
      <c r="A1153">
        <v>1068</v>
      </c>
      <c r="B1153" t="s">
        <v>62</v>
      </c>
      <c r="C1153" s="3">
        <v>38645</v>
      </c>
      <c r="D1153" s="3">
        <v>38806</v>
      </c>
      <c r="E1153" t="s">
        <v>18</v>
      </c>
      <c r="F1153">
        <v>1</v>
      </c>
      <c r="G1153">
        <v>51400</v>
      </c>
      <c r="H1153">
        <v>51400</v>
      </c>
      <c r="I1153" s="4">
        <v>38686</v>
      </c>
      <c r="J1153" s="5">
        <f t="shared" si="34"/>
        <v>-120</v>
      </c>
      <c r="K1153" s="6" t="str">
        <f t="shared" si="35"/>
        <v>A~0</v>
      </c>
      <c r="L1153" t="str">
        <f>IF(J1153&lt;0,"A~0",VLOOKUP(J1153,[1]作法V!$B$1:$C$9,2,TRUE))</f>
        <v>A~0</v>
      </c>
    </row>
    <row r="1154" spans="1:12">
      <c r="A1154">
        <v>1068</v>
      </c>
      <c r="B1154" t="s">
        <v>62</v>
      </c>
      <c r="C1154" s="3">
        <v>38645</v>
      </c>
      <c r="D1154" s="3">
        <v>38806</v>
      </c>
      <c r="E1154" t="s">
        <v>18</v>
      </c>
      <c r="F1154">
        <v>1</v>
      </c>
      <c r="G1154">
        <v>5140</v>
      </c>
      <c r="H1154">
        <v>5140</v>
      </c>
      <c r="I1154" s="4">
        <v>38686</v>
      </c>
      <c r="J1154" s="5">
        <f t="shared" ref="J1154:J1217" si="36">I1154-D1154</f>
        <v>-120</v>
      </c>
      <c r="K1154" s="6" t="str">
        <f t="shared" ref="K1154:K1217" si="37">IF(J1154&lt;1,"A~0",IF(J1154&lt;31,"B1~30",IF(J1154&lt;61,"C31~60",IF(J1154&lt;91,"D61~90",IF(J1154&lt;121,"E91~120",IF(J1154&lt;181,"F121~180",IF(J1154&lt;361,"G181~360","H361~")))))))</f>
        <v>A~0</v>
      </c>
      <c r="L1154" t="str">
        <f>IF(J1154&lt;0,"A~0",VLOOKUP(J1154,[1]作法V!$B$1:$C$9,2,TRUE))</f>
        <v>A~0</v>
      </c>
    </row>
    <row r="1155" spans="1:12">
      <c r="A1155">
        <v>1068</v>
      </c>
      <c r="B1155" t="s">
        <v>62</v>
      </c>
      <c r="C1155" s="3">
        <v>38649</v>
      </c>
      <c r="D1155" s="3">
        <v>38806</v>
      </c>
      <c r="E1155" t="s">
        <v>18</v>
      </c>
      <c r="F1155">
        <v>1</v>
      </c>
      <c r="G1155">
        <v>20450</v>
      </c>
      <c r="H1155">
        <v>20450</v>
      </c>
      <c r="I1155" s="4">
        <v>38686</v>
      </c>
      <c r="J1155" s="5">
        <f t="shared" si="36"/>
        <v>-120</v>
      </c>
      <c r="K1155" s="6" t="str">
        <f t="shared" si="37"/>
        <v>A~0</v>
      </c>
      <c r="L1155" t="str">
        <f>IF(J1155&lt;0,"A~0",VLOOKUP(J1155,[1]作法V!$B$1:$C$9,2,TRUE))</f>
        <v>A~0</v>
      </c>
    </row>
    <row r="1156" spans="1:12">
      <c r="A1156">
        <v>1068</v>
      </c>
      <c r="B1156" t="s">
        <v>62</v>
      </c>
      <c r="C1156" s="3">
        <v>38649</v>
      </c>
      <c r="D1156" s="3">
        <v>38806</v>
      </c>
      <c r="E1156" t="s">
        <v>18</v>
      </c>
      <c r="F1156">
        <v>1</v>
      </c>
      <c r="G1156">
        <v>3500</v>
      </c>
      <c r="H1156">
        <v>3500</v>
      </c>
      <c r="I1156" s="4">
        <v>38686</v>
      </c>
      <c r="J1156" s="5">
        <f t="shared" si="36"/>
        <v>-120</v>
      </c>
      <c r="K1156" s="6" t="str">
        <f t="shared" si="37"/>
        <v>A~0</v>
      </c>
      <c r="L1156" t="str">
        <f>IF(J1156&lt;0,"A~0",VLOOKUP(J1156,[1]作法V!$B$1:$C$9,2,TRUE))</f>
        <v>A~0</v>
      </c>
    </row>
    <row r="1157" spans="1:12">
      <c r="A1157">
        <v>1068</v>
      </c>
      <c r="B1157" t="s">
        <v>62</v>
      </c>
      <c r="C1157" s="3">
        <v>38649</v>
      </c>
      <c r="D1157" s="3">
        <v>38806</v>
      </c>
      <c r="E1157" t="s">
        <v>18</v>
      </c>
      <c r="F1157">
        <v>1</v>
      </c>
      <c r="G1157">
        <v>18240</v>
      </c>
      <c r="H1157">
        <v>18240</v>
      </c>
      <c r="I1157" s="4">
        <v>38686</v>
      </c>
      <c r="J1157" s="5">
        <f t="shared" si="36"/>
        <v>-120</v>
      </c>
      <c r="K1157" s="6" t="str">
        <f t="shared" si="37"/>
        <v>A~0</v>
      </c>
      <c r="L1157" t="str">
        <f>IF(J1157&lt;0,"A~0",VLOOKUP(J1157,[1]作法V!$B$1:$C$9,2,TRUE))</f>
        <v>A~0</v>
      </c>
    </row>
    <row r="1158" spans="1:12">
      <c r="A1158">
        <v>1068</v>
      </c>
      <c r="B1158" t="s">
        <v>62</v>
      </c>
      <c r="C1158" s="3">
        <v>38652</v>
      </c>
      <c r="D1158" s="3">
        <v>38837</v>
      </c>
      <c r="E1158" t="s">
        <v>18</v>
      </c>
      <c r="F1158">
        <v>1</v>
      </c>
      <c r="G1158">
        <v>17587</v>
      </c>
      <c r="H1158">
        <v>17587</v>
      </c>
      <c r="I1158" s="4">
        <v>38686</v>
      </c>
      <c r="J1158" s="5">
        <f t="shared" si="36"/>
        <v>-151</v>
      </c>
      <c r="K1158" s="6" t="str">
        <f t="shared" si="37"/>
        <v>A~0</v>
      </c>
      <c r="L1158" t="str">
        <f>IF(J1158&lt;0,"A~0",VLOOKUP(J1158,[1]作法V!$B$1:$C$9,2,TRUE))</f>
        <v>A~0</v>
      </c>
    </row>
    <row r="1159" spans="1:12">
      <c r="A1159">
        <v>1068</v>
      </c>
      <c r="B1159" t="s">
        <v>62</v>
      </c>
      <c r="C1159" s="3">
        <v>38652</v>
      </c>
      <c r="D1159" s="3">
        <v>38837</v>
      </c>
      <c r="E1159" t="s">
        <v>18</v>
      </c>
      <c r="F1159">
        <v>1</v>
      </c>
      <c r="G1159">
        <v>141480</v>
      </c>
      <c r="H1159">
        <v>141480</v>
      </c>
      <c r="I1159" s="4">
        <v>38686</v>
      </c>
      <c r="J1159" s="5">
        <f t="shared" si="36"/>
        <v>-151</v>
      </c>
      <c r="K1159" s="6" t="str">
        <f t="shared" si="37"/>
        <v>A~0</v>
      </c>
      <c r="L1159" t="str">
        <f>IF(J1159&lt;0,"A~0",VLOOKUP(J1159,[1]作法V!$B$1:$C$9,2,TRUE))</f>
        <v>A~0</v>
      </c>
    </row>
    <row r="1160" spans="1:12">
      <c r="A1160">
        <v>1068</v>
      </c>
      <c r="B1160" t="s">
        <v>62</v>
      </c>
      <c r="C1160" s="3">
        <v>38652</v>
      </c>
      <c r="D1160" s="3">
        <v>38837</v>
      </c>
      <c r="E1160" t="s">
        <v>18</v>
      </c>
      <c r="F1160">
        <v>1</v>
      </c>
      <c r="G1160">
        <v>100000</v>
      </c>
      <c r="H1160">
        <v>100000</v>
      </c>
      <c r="I1160" s="4">
        <v>38686</v>
      </c>
      <c r="J1160" s="5">
        <f t="shared" si="36"/>
        <v>-151</v>
      </c>
      <c r="K1160" s="6" t="str">
        <f t="shared" si="37"/>
        <v>A~0</v>
      </c>
      <c r="L1160" t="str">
        <f>IF(J1160&lt;0,"A~0",VLOOKUP(J1160,[1]作法V!$B$1:$C$9,2,TRUE))</f>
        <v>A~0</v>
      </c>
    </row>
    <row r="1161" spans="1:12">
      <c r="A1161">
        <v>1068</v>
      </c>
      <c r="B1161" t="s">
        <v>62</v>
      </c>
      <c r="C1161" s="3">
        <v>38652</v>
      </c>
      <c r="D1161" s="3">
        <v>38837</v>
      </c>
      <c r="E1161" t="s">
        <v>18</v>
      </c>
      <c r="F1161">
        <v>1</v>
      </c>
      <c r="G1161">
        <v>9120</v>
      </c>
      <c r="H1161">
        <v>9120</v>
      </c>
      <c r="I1161" s="4">
        <v>38686</v>
      </c>
      <c r="J1161" s="5">
        <f t="shared" si="36"/>
        <v>-151</v>
      </c>
      <c r="K1161" s="6" t="str">
        <f t="shared" si="37"/>
        <v>A~0</v>
      </c>
      <c r="L1161" t="str">
        <f>IF(J1161&lt;0,"A~0",VLOOKUP(J1161,[1]作法V!$B$1:$C$9,2,TRUE))</f>
        <v>A~0</v>
      </c>
    </row>
    <row r="1162" spans="1:12">
      <c r="A1162">
        <v>1068</v>
      </c>
      <c r="B1162" t="s">
        <v>62</v>
      </c>
      <c r="C1162" s="3">
        <v>38659</v>
      </c>
      <c r="D1162" s="3">
        <v>38837</v>
      </c>
      <c r="E1162" t="s">
        <v>18</v>
      </c>
      <c r="F1162">
        <v>1</v>
      </c>
      <c r="G1162">
        <v>13800</v>
      </c>
      <c r="H1162">
        <v>13800</v>
      </c>
      <c r="I1162" s="4">
        <v>38686</v>
      </c>
      <c r="J1162" s="5">
        <f t="shared" si="36"/>
        <v>-151</v>
      </c>
      <c r="K1162" s="6" t="str">
        <f t="shared" si="37"/>
        <v>A~0</v>
      </c>
      <c r="L1162" t="str">
        <f>IF(J1162&lt;0,"A~0",VLOOKUP(J1162,[1]作法V!$B$1:$C$9,2,TRUE))</f>
        <v>A~0</v>
      </c>
    </row>
    <row r="1163" spans="1:12">
      <c r="A1163">
        <v>1068</v>
      </c>
      <c r="B1163" t="s">
        <v>62</v>
      </c>
      <c r="C1163" s="3">
        <v>38659</v>
      </c>
      <c r="D1163" s="3">
        <v>38837</v>
      </c>
      <c r="E1163" t="s">
        <v>18</v>
      </c>
      <c r="F1163">
        <v>1</v>
      </c>
      <c r="G1163">
        <v>27360</v>
      </c>
      <c r="H1163">
        <v>27360</v>
      </c>
      <c r="I1163" s="4">
        <v>38686</v>
      </c>
      <c r="J1163" s="5">
        <f t="shared" si="36"/>
        <v>-151</v>
      </c>
      <c r="K1163" s="6" t="str">
        <f t="shared" si="37"/>
        <v>A~0</v>
      </c>
      <c r="L1163" t="str">
        <f>IF(J1163&lt;0,"A~0",VLOOKUP(J1163,[1]作法V!$B$1:$C$9,2,TRUE))</f>
        <v>A~0</v>
      </c>
    </row>
    <row r="1164" spans="1:12">
      <c r="A1164">
        <v>1068</v>
      </c>
      <c r="B1164" t="s">
        <v>62</v>
      </c>
      <c r="C1164" s="3">
        <v>38659</v>
      </c>
      <c r="D1164" s="3">
        <v>38837</v>
      </c>
      <c r="E1164" t="s">
        <v>18</v>
      </c>
      <c r="F1164">
        <v>1</v>
      </c>
      <c r="G1164">
        <v>45600</v>
      </c>
      <c r="H1164">
        <v>45600</v>
      </c>
      <c r="I1164" s="4">
        <v>38686</v>
      </c>
      <c r="J1164" s="5">
        <f t="shared" si="36"/>
        <v>-151</v>
      </c>
      <c r="K1164" s="6" t="str">
        <f t="shared" si="37"/>
        <v>A~0</v>
      </c>
      <c r="L1164" t="str">
        <f>IF(J1164&lt;0,"A~0",VLOOKUP(J1164,[1]作法V!$B$1:$C$9,2,TRUE))</f>
        <v>A~0</v>
      </c>
    </row>
    <row r="1165" spans="1:12">
      <c r="A1165">
        <v>1068</v>
      </c>
      <c r="B1165" t="s">
        <v>62</v>
      </c>
      <c r="C1165" s="3">
        <v>38659</v>
      </c>
      <c r="D1165" s="3">
        <v>38837</v>
      </c>
      <c r="E1165" t="s">
        <v>18</v>
      </c>
      <c r="F1165">
        <v>1</v>
      </c>
      <c r="G1165">
        <v>22800</v>
      </c>
      <c r="H1165">
        <v>22800</v>
      </c>
      <c r="I1165" s="4">
        <v>38686</v>
      </c>
      <c r="J1165" s="5">
        <f t="shared" si="36"/>
        <v>-151</v>
      </c>
      <c r="K1165" s="6" t="str">
        <f t="shared" si="37"/>
        <v>A~0</v>
      </c>
      <c r="L1165" t="str">
        <f>IF(J1165&lt;0,"A~0",VLOOKUP(J1165,[1]作法V!$B$1:$C$9,2,TRUE))</f>
        <v>A~0</v>
      </c>
    </row>
    <row r="1166" spans="1:12">
      <c r="A1166">
        <v>1068</v>
      </c>
      <c r="B1166" t="s">
        <v>62</v>
      </c>
      <c r="C1166" s="3">
        <v>38659</v>
      </c>
      <c r="D1166" s="3">
        <v>38837</v>
      </c>
      <c r="E1166" t="s">
        <v>18</v>
      </c>
      <c r="F1166">
        <v>1</v>
      </c>
      <c r="G1166">
        <v>19260</v>
      </c>
      <c r="H1166">
        <v>19260</v>
      </c>
      <c r="I1166" s="4">
        <v>38686</v>
      </c>
      <c r="J1166" s="5">
        <f t="shared" si="36"/>
        <v>-151</v>
      </c>
      <c r="K1166" s="6" t="str">
        <f t="shared" si="37"/>
        <v>A~0</v>
      </c>
      <c r="L1166" t="str">
        <f>IF(J1166&lt;0,"A~0",VLOOKUP(J1166,[1]作法V!$B$1:$C$9,2,TRUE))</f>
        <v>A~0</v>
      </c>
    </row>
    <row r="1167" spans="1:12">
      <c r="A1167">
        <v>1068</v>
      </c>
      <c r="B1167" t="s">
        <v>62</v>
      </c>
      <c r="C1167" s="3">
        <v>38659</v>
      </c>
      <c r="D1167" s="3">
        <v>38837</v>
      </c>
      <c r="E1167" t="s">
        <v>18</v>
      </c>
      <c r="F1167">
        <v>1</v>
      </c>
      <c r="G1167">
        <v>4280</v>
      </c>
      <c r="H1167">
        <v>4280</v>
      </c>
      <c r="I1167" s="4">
        <v>38686</v>
      </c>
      <c r="J1167" s="5">
        <f t="shared" si="36"/>
        <v>-151</v>
      </c>
      <c r="K1167" s="6" t="str">
        <f t="shared" si="37"/>
        <v>A~0</v>
      </c>
      <c r="L1167" t="str">
        <f>IF(J1167&lt;0,"A~0",VLOOKUP(J1167,[1]作法V!$B$1:$C$9,2,TRUE))</f>
        <v>A~0</v>
      </c>
    </row>
    <row r="1168" spans="1:12">
      <c r="A1168">
        <v>1068</v>
      </c>
      <c r="B1168" t="s">
        <v>62</v>
      </c>
      <c r="C1168" s="3">
        <v>38659</v>
      </c>
      <c r="D1168" s="3">
        <v>38837</v>
      </c>
      <c r="E1168" t="s">
        <v>18</v>
      </c>
      <c r="F1168">
        <v>1</v>
      </c>
      <c r="G1168">
        <v>2863</v>
      </c>
      <c r="H1168">
        <v>2863</v>
      </c>
      <c r="I1168" s="4">
        <v>38686</v>
      </c>
      <c r="J1168" s="5">
        <f t="shared" si="36"/>
        <v>-151</v>
      </c>
      <c r="K1168" s="6" t="str">
        <f t="shared" si="37"/>
        <v>A~0</v>
      </c>
      <c r="L1168" t="str">
        <f>IF(J1168&lt;0,"A~0",VLOOKUP(J1168,[1]作法V!$B$1:$C$9,2,TRUE))</f>
        <v>A~0</v>
      </c>
    </row>
    <row r="1169" spans="1:12">
      <c r="A1169">
        <v>1068</v>
      </c>
      <c r="B1169" t="s">
        <v>62</v>
      </c>
      <c r="C1169" s="3">
        <v>38659</v>
      </c>
      <c r="D1169" s="3">
        <v>38837</v>
      </c>
      <c r="E1169" t="s">
        <v>18</v>
      </c>
      <c r="F1169">
        <v>1</v>
      </c>
      <c r="G1169">
        <v>17120</v>
      </c>
      <c r="H1169">
        <v>17120</v>
      </c>
      <c r="I1169" s="4">
        <v>38686</v>
      </c>
      <c r="J1169" s="5">
        <f t="shared" si="36"/>
        <v>-151</v>
      </c>
      <c r="K1169" s="6" t="str">
        <f t="shared" si="37"/>
        <v>A~0</v>
      </c>
      <c r="L1169" t="str">
        <f>IF(J1169&lt;0,"A~0",VLOOKUP(J1169,[1]作法V!$B$1:$C$9,2,TRUE))</f>
        <v>A~0</v>
      </c>
    </row>
    <row r="1170" spans="1:12">
      <c r="A1170">
        <v>1068</v>
      </c>
      <c r="B1170" t="s">
        <v>62</v>
      </c>
      <c r="C1170" s="3">
        <v>38659</v>
      </c>
      <c r="D1170" s="3">
        <v>38837</v>
      </c>
      <c r="E1170" t="s">
        <v>18</v>
      </c>
      <c r="F1170">
        <v>1</v>
      </c>
      <c r="G1170">
        <v>20450</v>
      </c>
      <c r="H1170">
        <v>20450</v>
      </c>
      <c r="I1170" s="4">
        <v>38686</v>
      </c>
      <c r="J1170" s="5">
        <f t="shared" si="36"/>
        <v>-151</v>
      </c>
      <c r="K1170" s="6" t="str">
        <f t="shared" si="37"/>
        <v>A~0</v>
      </c>
      <c r="L1170" t="str">
        <f>IF(J1170&lt;0,"A~0",VLOOKUP(J1170,[1]作法V!$B$1:$C$9,2,TRUE))</f>
        <v>A~0</v>
      </c>
    </row>
    <row r="1171" spans="1:12">
      <c r="A1171">
        <v>1068</v>
      </c>
      <c r="B1171" t="s">
        <v>62</v>
      </c>
      <c r="C1171" s="3">
        <v>38659</v>
      </c>
      <c r="D1171" s="3">
        <v>38837</v>
      </c>
      <c r="E1171" t="s">
        <v>18</v>
      </c>
      <c r="F1171">
        <v>1</v>
      </c>
      <c r="G1171">
        <v>25680</v>
      </c>
      <c r="H1171">
        <v>25680</v>
      </c>
      <c r="I1171" s="4">
        <v>38686</v>
      </c>
      <c r="J1171" s="5">
        <f t="shared" si="36"/>
        <v>-151</v>
      </c>
      <c r="K1171" s="6" t="str">
        <f t="shared" si="37"/>
        <v>A~0</v>
      </c>
      <c r="L1171" t="str">
        <f>IF(J1171&lt;0,"A~0",VLOOKUP(J1171,[1]作法V!$B$1:$C$9,2,TRUE))</f>
        <v>A~0</v>
      </c>
    </row>
    <row r="1172" spans="1:12">
      <c r="A1172">
        <v>1068</v>
      </c>
      <c r="B1172" t="s">
        <v>62</v>
      </c>
      <c r="C1172" s="3">
        <v>38670</v>
      </c>
      <c r="D1172" s="3">
        <v>38837</v>
      </c>
      <c r="E1172" t="s">
        <v>18</v>
      </c>
      <c r="F1172">
        <v>1</v>
      </c>
      <c r="G1172">
        <v>20450</v>
      </c>
      <c r="H1172">
        <v>20450</v>
      </c>
      <c r="I1172" s="4">
        <v>38686</v>
      </c>
      <c r="J1172" s="5">
        <f t="shared" si="36"/>
        <v>-151</v>
      </c>
      <c r="K1172" s="6" t="str">
        <f t="shared" si="37"/>
        <v>A~0</v>
      </c>
      <c r="L1172" t="str">
        <f>IF(J1172&lt;0,"A~0",VLOOKUP(J1172,[1]作法V!$B$1:$C$9,2,TRUE))</f>
        <v>A~0</v>
      </c>
    </row>
    <row r="1173" spans="1:12">
      <c r="A1173">
        <v>1068</v>
      </c>
      <c r="B1173" t="s">
        <v>62</v>
      </c>
      <c r="C1173" s="3">
        <v>38670</v>
      </c>
      <c r="D1173" s="3">
        <v>38837</v>
      </c>
      <c r="E1173" t="s">
        <v>18</v>
      </c>
      <c r="F1173">
        <v>1</v>
      </c>
      <c r="G1173">
        <v>7710</v>
      </c>
      <c r="H1173">
        <v>7710</v>
      </c>
      <c r="I1173" s="4">
        <v>38686</v>
      </c>
      <c r="J1173" s="5">
        <f t="shared" si="36"/>
        <v>-151</v>
      </c>
      <c r="K1173" s="6" t="str">
        <f t="shared" si="37"/>
        <v>A~0</v>
      </c>
      <c r="L1173" t="str">
        <f>IF(J1173&lt;0,"A~0",VLOOKUP(J1173,[1]作法V!$B$1:$C$9,2,TRUE))</f>
        <v>A~0</v>
      </c>
    </row>
    <row r="1174" spans="1:12">
      <c r="A1174">
        <v>1068</v>
      </c>
      <c r="B1174" t="s">
        <v>62</v>
      </c>
      <c r="C1174" s="3">
        <v>38680</v>
      </c>
      <c r="D1174" s="3">
        <v>38837</v>
      </c>
      <c r="E1174" t="s">
        <v>18</v>
      </c>
      <c r="F1174">
        <v>1</v>
      </c>
      <c r="G1174">
        <v>13680</v>
      </c>
      <c r="H1174">
        <v>13680</v>
      </c>
      <c r="I1174" s="4">
        <v>38686</v>
      </c>
      <c r="J1174" s="5">
        <f t="shared" si="36"/>
        <v>-151</v>
      </c>
      <c r="K1174" s="6" t="str">
        <f t="shared" si="37"/>
        <v>A~0</v>
      </c>
      <c r="L1174" t="str">
        <f>IF(J1174&lt;0,"A~0",VLOOKUP(J1174,[1]作法V!$B$1:$C$9,2,TRUE))</f>
        <v>A~0</v>
      </c>
    </row>
    <row r="1175" spans="1:12">
      <c r="A1175">
        <v>1068</v>
      </c>
      <c r="B1175" t="s">
        <v>62</v>
      </c>
      <c r="C1175" s="3">
        <v>38680</v>
      </c>
      <c r="D1175" s="3">
        <v>38837</v>
      </c>
      <c r="E1175" t="s">
        <v>18</v>
      </c>
      <c r="F1175">
        <v>1</v>
      </c>
      <c r="G1175">
        <v>620</v>
      </c>
      <c r="H1175">
        <v>620</v>
      </c>
      <c r="I1175" s="4">
        <v>38686</v>
      </c>
      <c r="J1175" s="5">
        <f t="shared" si="36"/>
        <v>-151</v>
      </c>
      <c r="K1175" s="6" t="str">
        <f t="shared" si="37"/>
        <v>A~0</v>
      </c>
      <c r="L1175" t="str">
        <f>IF(J1175&lt;0,"A~0",VLOOKUP(J1175,[1]作法V!$B$1:$C$9,2,TRUE))</f>
        <v>A~0</v>
      </c>
    </row>
    <row r="1176" spans="1:12">
      <c r="A1176">
        <v>1068</v>
      </c>
      <c r="B1176" t="s">
        <v>62</v>
      </c>
      <c r="C1176" s="3">
        <v>38680</v>
      </c>
      <c r="D1176" s="3">
        <v>38837</v>
      </c>
      <c r="E1176" t="s">
        <v>18</v>
      </c>
      <c r="F1176">
        <v>1</v>
      </c>
      <c r="G1176">
        <v>40900</v>
      </c>
      <c r="H1176">
        <v>40900</v>
      </c>
      <c r="I1176" s="4">
        <v>38686</v>
      </c>
      <c r="J1176" s="5">
        <f t="shared" si="36"/>
        <v>-151</v>
      </c>
      <c r="K1176" s="6" t="str">
        <f t="shared" si="37"/>
        <v>A~0</v>
      </c>
      <c r="L1176" t="str">
        <f>IF(J1176&lt;0,"A~0",VLOOKUP(J1176,[1]作法V!$B$1:$C$9,2,TRUE))</f>
        <v>A~0</v>
      </c>
    </row>
    <row r="1177" spans="1:12">
      <c r="A1177">
        <v>1068</v>
      </c>
      <c r="B1177" t="s">
        <v>62</v>
      </c>
      <c r="C1177" s="3">
        <v>38680</v>
      </c>
      <c r="D1177" s="3">
        <v>38837</v>
      </c>
      <c r="E1177" t="s">
        <v>18</v>
      </c>
      <c r="F1177">
        <v>1</v>
      </c>
      <c r="G1177">
        <v>48830</v>
      </c>
      <c r="H1177">
        <v>48830</v>
      </c>
      <c r="I1177" s="4">
        <v>38686</v>
      </c>
      <c r="J1177" s="5">
        <f t="shared" si="36"/>
        <v>-151</v>
      </c>
      <c r="K1177" s="6" t="str">
        <f t="shared" si="37"/>
        <v>A~0</v>
      </c>
      <c r="L1177" t="str">
        <f>IF(J1177&lt;0,"A~0",VLOOKUP(J1177,[1]作法V!$B$1:$C$9,2,TRUE))</f>
        <v>A~0</v>
      </c>
    </row>
    <row r="1178" spans="1:12">
      <c r="A1178">
        <v>1070</v>
      </c>
      <c r="B1178" t="s">
        <v>64</v>
      </c>
      <c r="C1178" s="3">
        <v>38468</v>
      </c>
      <c r="D1178" s="3">
        <v>38531</v>
      </c>
      <c r="E1178" t="s">
        <v>18</v>
      </c>
      <c r="F1178">
        <v>1</v>
      </c>
      <c r="G1178">
        <v>885</v>
      </c>
      <c r="H1178">
        <v>885</v>
      </c>
      <c r="I1178" s="4">
        <v>38686</v>
      </c>
      <c r="J1178" s="5">
        <f t="shared" si="36"/>
        <v>155</v>
      </c>
      <c r="K1178" s="6" t="str">
        <f t="shared" si="37"/>
        <v>F121~180</v>
      </c>
      <c r="L1178" t="str">
        <f>IF(J1178&lt;0,"A~0",VLOOKUP(J1178,[1]作法V!$B$1:$C$9,2,TRUE))</f>
        <v>F121~180</v>
      </c>
    </row>
    <row r="1179" spans="1:12">
      <c r="A1179">
        <v>1070</v>
      </c>
      <c r="B1179" t="s">
        <v>64</v>
      </c>
      <c r="C1179" s="3">
        <v>38506</v>
      </c>
      <c r="D1179" s="3">
        <v>38623</v>
      </c>
      <c r="E1179" t="s">
        <v>18</v>
      </c>
      <c r="F1179">
        <v>1</v>
      </c>
      <c r="G1179">
        <v>90000</v>
      </c>
      <c r="H1179">
        <v>90000</v>
      </c>
      <c r="I1179" s="4">
        <v>38686</v>
      </c>
      <c r="J1179" s="5">
        <f t="shared" si="36"/>
        <v>63</v>
      </c>
      <c r="K1179" s="6" t="str">
        <f t="shared" si="37"/>
        <v>D61~90</v>
      </c>
      <c r="L1179" t="str">
        <f>IF(J1179&lt;0,"A~0",VLOOKUP(J1179,[1]作法V!$B$1:$C$9,2,TRUE))</f>
        <v>D61-90</v>
      </c>
    </row>
    <row r="1180" spans="1:12">
      <c r="A1180">
        <v>1070</v>
      </c>
      <c r="B1180" t="s">
        <v>64</v>
      </c>
      <c r="C1180" s="3">
        <v>38506</v>
      </c>
      <c r="D1180" s="3">
        <v>38623</v>
      </c>
      <c r="E1180" t="s">
        <v>18</v>
      </c>
      <c r="F1180">
        <v>1</v>
      </c>
      <c r="G1180">
        <v>45000</v>
      </c>
      <c r="H1180">
        <v>45000</v>
      </c>
      <c r="I1180" s="4">
        <v>38686</v>
      </c>
      <c r="J1180" s="5">
        <f t="shared" si="36"/>
        <v>63</v>
      </c>
      <c r="K1180" s="6" t="str">
        <f t="shared" si="37"/>
        <v>D61~90</v>
      </c>
      <c r="L1180" t="str">
        <f>IF(J1180&lt;0,"A~0",VLOOKUP(J1180,[1]作法V!$B$1:$C$9,2,TRUE))</f>
        <v>D61-90</v>
      </c>
    </row>
    <row r="1181" spans="1:12">
      <c r="A1181">
        <v>1070</v>
      </c>
      <c r="B1181" t="s">
        <v>64</v>
      </c>
      <c r="C1181" s="3">
        <v>38511</v>
      </c>
      <c r="D1181" s="3">
        <v>38623</v>
      </c>
      <c r="E1181" t="s">
        <v>18</v>
      </c>
      <c r="F1181">
        <v>1</v>
      </c>
      <c r="G1181">
        <v>4000</v>
      </c>
      <c r="H1181">
        <v>4000</v>
      </c>
      <c r="I1181" s="4">
        <v>38686</v>
      </c>
      <c r="J1181" s="5">
        <f t="shared" si="36"/>
        <v>63</v>
      </c>
      <c r="K1181" s="6" t="str">
        <f t="shared" si="37"/>
        <v>D61~90</v>
      </c>
      <c r="L1181" t="str">
        <f>IF(J1181&lt;0,"A~0",VLOOKUP(J1181,[1]作法V!$B$1:$C$9,2,TRUE))</f>
        <v>D61-90</v>
      </c>
    </row>
    <row r="1182" spans="1:12">
      <c r="A1182">
        <v>1070</v>
      </c>
      <c r="B1182" t="s">
        <v>64</v>
      </c>
      <c r="C1182" s="3">
        <v>38614</v>
      </c>
      <c r="D1182" s="3">
        <v>38714</v>
      </c>
      <c r="E1182" t="s">
        <v>18</v>
      </c>
      <c r="F1182">
        <v>1</v>
      </c>
      <c r="G1182">
        <v>33750</v>
      </c>
      <c r="H1182">
        <v>33750</v>
      </c>
      <c r="I1182" s="4">
        <v>38686</v>
      </c>
      <c r="J1182" s="5">
        <f t="shared" si="36"/>
        <v>-28</v>
      </c>
      <c r="K1182" s="6" t="str">
        <f t="shared" si="37"/>
        <v>A~0</v>
      </c>
      <c r="L1182" t="str">
        <f>IF(J1182&lt;0,"A~0",VLOOKUP(J1182,[1]作法V!$B$1:$C$9,2,TRUE))</f>
        <v>A~0</v>
      </c>
    </row>
    <row r="1183" spans="1:12">
      <c r="A1183">
        <v>1070</v>
      </c>
      <c r="B1183" t="s">
        <v>64</v>
      </c>
      <c r="C1183" s="3">
        <v>38614</v>
      </c>
      <c r="D1183" s="3">
        <v>38714</v>
      </c>
      <c r="E1183" t="s">
        <v>18</v>
      </c>
      <c r="F1183">
        <v>1</v>
      </c>
      <c r="G1183">
        <v>6250</v>
      </c>
      <c r="H1183">
        <v>6250</v>
      </c>
      <c r="I1183" s="4">
        <v>38686</v>
      </c>
      <c r="J1183" s="5">
        <f t="shared" si="36"/>
        <v>-28</v>
      </c>
      <c r="K1183" s="6" t="str">
        <f t="shared" si="37"/>
        <v>A~0</v>
      </c>
      <c r="L1183" t="str">
        <f>IF(J1183&lt;0,"A~0",VLOOKUP(J1183,[1]作法V!$B$1:$C$9,2,TRUE))</f>
        <v>A~0</v>
      </c>
    </row>
    <row r="1184" spans="1:12">
      <c r="A1184">
        <v>1070</v>
      </c>
      <c r="B1184" t="s">
        <v>64</v>
      </c>
      <c r="C1184" s="3">
        <v>38623</v>
      </c>
      <c r="D1184" s="3">
        <v>38745</v>
      </c>
      <c r="E1184" t="s">
        <v>18</v>
      </c>
      <c r="F1184">
        <v>1</v>
      </c>
      <c r="G1184">
        <v>4368</v>
      </c>
      <c r="H1184">
        <v>4368</v>
      </c>
      <c r="I1184" s="4">
        <v>38686</v>
      </c>
      <c r="J1184" s="5">
        <f t="shared" si="36"/>
        <v>-59</v>
      </c>
      <c r="K1184" s="6" t="str">
        <f t="shared" si="37"/>
        <v>A~0</v>
      </c>
      <c r="L1184" t="str">
        <f>IF(J1184&lt;0,"A~0",VLOOKUP(J1184,[1]作法V!$B$1:$C$9,2,TRUE))</f>
        <v>A~0</v>
      </c>
    </row>
    <row r="1185" spans="1:12">
      <c r="A1185">
        <v>1070</v>
      </c>
      <c r="B1185" t="s">
        <v>64</v>
      </c>
      <c r="C1185" s="3">
        <v>38630</v>
      </c>
      <c r="D1185" s="3">
        <v>38745</v>
      </c>
      <c r="E1185" t="s">
        <v>18</v>
      </c>
      <c r="F1185">
        <v>1</v>
      </c>
      <c r="G1185">
        <v>32000</v>
      </c>
      <c r="H1185">
        <v>32000</v>
      </c>
      <c r="I1185" s="4">
        <v>38686</v>
      </c>
      <c r="J1185" s="5">
        <f t="shared" si="36"/>
        <v>-59</v>
      </c>
      <c r="K1185" s="6" t="str">
        <f t="shared" si="37"/>
        <v>A~0</v>
      </c>
      <c r="L1185" t="str">
        <f>IF(J1185&lt;0,"A~0",VLOOKUP(J1185,[1]作法V!$B$1:$C$9,2,TRUE))</f>
        <v>A~0</v>
      </c>
    </row>
    <row r="1186" spans="1:12">
      <c r="A1186">
        <v>1070</v>
      </c>
      <c r="B1186" t="s">
        <v>64</v>
      </c>
      <c r="C1186" s="3">
        <v>38630</v>
      </c>
      <c r="D1186" s="3">
        <v>38745</v>
      </c>
      <c r="E1186" t="s">
        <v>18</v>
      </c>
      <c r="F1186">
        <v>1</v>
      </c>
      <c r="G1186">
        <v>32000</v>
      </c>
      <c r="H1186">
        <v>32000</v>
      </c>
      <c r="I1186" s="4">
        <v>38686</v>
      </c>
      <c r="J1186" s="5">
        <f t="shared" si="36"/>
        <v>-59</v>
      </c>
      <c r="K1186" s="6" t="str">
        <f t="shared" si="37"/>
        <v>A~0</v>
      </c>
      <c r="L1186" t="str">
        <f>IF(J1186&lt;0,"A~0",VLOOKUP(J1186,[1]作法V!$B$1:$C$9,2,TRUE))</f>
        <v>A~0</v>
      </c>
    </row>
    <row r="1187" spans="1:12">
      <c r="A1187">
        <v>1070</v>
      </c>
      <c r="B1187" t="s">
        <v>64</v>
      </c>
      <c r="C1187" s="3">
        <v>38630</v>
      </c>
      <c r="D1187" s="3">
        <v>38745</v>
      </c>
      <c r="E1187" t="s">
        <v>18</v>
      </c>
      <c r="F1187">
        <v>1</v>
      </c>
      <c r="G1187">
        <v>96000</v>
      </c>
      <c r="H1187">
        <v>96000</v>
      </c>
      <c r="I1187" s="4">
        <v>38686</v>
      </c>
      <c r="J1187" s="5">
        <f t="shared" si="36"/>
        <v>-59</v>
      </c>
      <c r="K1187" s="6" t="str">
        <f t="shared" si="37"/>
        <v>A~0</v>
      </c>
      <c r="L1187" t="str">
        <f>IF(J1187&lt;0,"A~0",VLOOKUP(J1187,[1]作法V!$B$1:$C$9,2,TRUE))</f>
        <v>A~0</v>
      </c>
    </row>
    <row r="1188" spans="1:12">
      <c r="A1188">
        <v>1070</v>
      </c>
      <c r="B1188" t="s">
        <v>64</v>
      </c>
      <c r="C1188" s="3">
        <v>38631</v>
      </c>
      <c r="D1188" s="3">
        <v>38714</v>
      </c>
      <c r="E1188" t="s">
        <v>18</v>
      </c>
      <c r="F1188">
        <v>1</v>
      </c>
      <c r="G1188">
        <v>1125</v>
      </c>
      <c r="H1188">
        <v>1125</v>
      </c>
      <c r="I1188" s="4">
        <v>38686</v>
      </c>
      <c r="J1188" s="5">
        <f t="shared" si="36"/>
        <v>-28</v>
      </c>
      <c r="K1188" s="6" t="str">
        <f t="shared" si="37"/>
        <v>A~0</v>
      </c>
      <c r="L1188" t="str">
        <f>IF(J1188&lt;0,"A~0",VLOOKUP(J1188,[1]作法V!$B$1:$C$9,2,TRUE))</f>
        <v>A~0</v>
      </c>
    </row>
    <row r="1189" spans="1:12">
      <c r="A1189">
        <v>1070</v>
      </c>
      <c r="B1189" t="s">
        <v>64</v>
      </c>
      <c r="C1189" s="3">
        <v>38639</v>
      </c>
      <c r="D1189" s="3">
        <v>38714</v>
      </c>
      <c r="E1189" t="s">
        <v>18</v>
      </c>
      <c r="F1189">
        <v>1</v>
      </c>
      <c r="G1189">
        <v>25000</v>
      </c>
      <c r="H1189">
        <v>25000</v>
      </c>
      <c r="I1189" s="4">
        <v>38686</v>
      </c>
      <c r="J1189" s="5">
        <f t="shared" si="36"/>
        <v>-28</v>
      </c>
      <c r="K1189" s="6" t="str">
        <f t="shared" si="37"/>
        <v>A~0</v>
      </c>
      <c r="L1189" t="str">
        <f>IF(J1189&lt;0,"A~0",VLOOKUP(J1189,[1]作法V!$B$1:$C$9,2,TRUE))</f>
        <v>A~0</v>
      </c>
    </row>
    <row r="1190" spans="1:12">
      <c r="A1190">
        <v>1070</v>
      </c>
      <c r="B1190" t="s">
        <v>64</v>
      </c>
      <c r="C1190" s="3">
        <v>38639</v>
      </c>
      <c r="D1190" s="3">
        <v>38745</v>
      </c>
      <c r="E1190" t="s">
        <v>18</v>
      </c>
      <c r="F1190">
        <v>1</v>
      </c>
      <c r="G1190">
        <v>22500</v>
      </c>
      <c r="H1190">
        <v>22500</v>
      </c>
      <c r="I1190" s="4">
        <v>38686</v>
      </c>
      <c r="J1190" s="5">
        <f t="shared" si="36"/>
        <v>-59</v>
      </c>
      <c r="K1190" s="6" t="str">
        <f t="shared" si="37"/>
        <v>A~0</v>
      </c>
      <c r="L1190" t="str">
        <f>IF(J1190&lt;0,"A~0",VLOOKUP(J1190,[1]作法V!$B$1:$C$9,2,TRUE))</f>
        <v>A~0</v>
      </c>
    </row>
    <row r="1191" spans="1:12">
      <c r="A1191">
        <v>1070</v>
      </c>
      <c r="B1191" t="s">
        <v>64</v>
      </c>
      <c r="C1191" s="3">
        <v>38639</v>
      </c>
      <c r="D1191" s="3">
        <v>38745</v>
      </c>
      <c r="E1191" t="s">
        <v>18</v>
      </c>
      <c r="F1191">
        <v>1</v>
      </c>
      <c r="G1191">
        <v>22500</v>
      </c>
      <c r="H1191">
        <v>22500</v>
      </c>
      <c r="I1191" s="4">
        <v>38686</v>
      </c>
      <c r="J1191" s="5">
        <f t="shared" si="36"/>
        <v>-59</v>
      </c>
      <c r="K1191" s="6" t="str">
        <f t="shared" si="37"/>
        <v>A~0</v>
      </c>
      <c r="L1191" t="str">
        <f>IF(J1191&lt;0,"A~0",VLOOKUP(J1191,[1]作法V!$B$1:$C$9,2,TRUE))</f>
        <v>A~0</v>
      </c>
    </row>
    <row r="1192" spans="1:12">
      <c r="A1192">
        <v>1070</v>
      </c>
      <c r="B1192" t="s">
        <v>64</v>
      </c>
      <c r="C1192" s="3">
        <v>38642</v>
      </c>
      <c r="D1192" s="3">
        <v>38745</v>
      </c>
      <c r="E1192" t="s">
        <v>18</v>
      </c>
      <c r="F1192">
        <v>1</v>
      </c>
      <c r="G1192">
        <v>150000</v>
      </c>
      <c r="H1192">
        <v>150000</v>
      </c>
      <c r="I1192" s="4">
        <v>38686</v>
      </c>
      <c r="J1192" s="5">
        <f t="shared" si="36"/>
        <v>-59</v>
      </c>
      <c r="K1192" s="6" t="str">
        <f t="shared" si="37"/>
        <v>A~0</v>
      </c>
      <c r="L1192" t="str">
        <f>IF(J1192&lt;0,"A~0",VLOOKUP(J1192,[1]作法V!$B$1:$C$9,2,TRUE))</f>
        <v>A~0</v>
      </c>
    </row>
    <row r="1193" spans="1:12">
      <c r="A1193">
        <v>1070</v>
      </c>
      <c r="B1193" t="s">
        <v>64</v>
      </c>
      <c r="C1193" s="3">
        <v>38643</v>
      </c>
      <c r="D1193" s="3">
        <v>38745</v>
      </c>
      <c r="E1193" t="s">
        <v>18</v>
      </c>
      <c r="F1193">
        <v>1</v>
      </c>
      <c r="G1193">
        <v>45000</v>
      </c>
      <c r="H1193">
        <v>45000</v>
      </c>
      <c r="I1193" s="4">
        <v>38686</v>
      </c>
      <c r="J1193" s="5">
        <f t="shared" si="36"/>
        <v>-59</v>
      </c>
      <c r="K1193" s="6" t="str">
        <f t="shared" si="37"/>
        <v>A~0</v>
      </c>
      <c r="L1193" t="str">
        <f>IF(J1193&lt;0,"A~0",VLOOKUP(J1193,[1]作法V!$B$1:$C$9,2,TRUE))</f>
        <v>A~0</v>
      </c>
    </row>
    <row r="1194" spans="1:12">
      <c r="A1194">
        <v>1070</v>
      </c>
      <c r="B1194" t="s">
        <v>64</v>
      </c>
      <c r="C1194" s="3">
        <v>38643</v>
      </c>
      <c r="D1194" s="3">
        <v>38745</v>
      </c>
      <c r="E1194" t="s">
        <v>18</v>
      </c>
      <c r="F1194">
        <v>1</v>
      </c>
      <c r="G1194">
        <v>18000</v>
      </c>
      <c r="H1194">
        <v>18000</v>
      </c>
      <c r="I1194" s="4">
        <v>38686</v>
      </c>
      <c r="J1194" s="5">
        <f t="shared" si="36"/>
        <v>-59</v>
      </c>
      <c r="K1194" s="6" t="str">
        <f t="shared" si="37"/>
        <v>A~0</v>
      </c>
      <c r="L1194" t="str">
        <f>IF(J1194&lt;0,"A~0",VLOOKUP(J1194,[1]作法V!$B$1:$C$9,2,TRUE))</f>
        <v>A~0</v>
      </c>
    </row>
    <row r="1195" spans="1:12">
      <c r="A1195">
        <v>1070</v>
      </c>
      <c r="B1195" t="s">
        <v>64</v>
      </c>
      <c r="C1195" s="3">
        <v>38643</v>
      </c>
      <c r="D1195" s="3">
        <v>38745</v>
      </c>
      <c r="E1195" t="s">
        <v>18</v>
      </c>
      <c r="F1195">
        <v>1</v>
      </c>
      <c r="G1195">
        <v>173250</v>
      </c>
      <c r="H1195">
        <v>173250</v>
      </c>
      <c r="I1195" s="4">
        <v>38686</v>
      </c>
      <c r="J1195" s="5">
        <f t="shared" si="36"/>
        <v>-59</v>
      </c>
      <c r="K1195" s="6" t="str">
        <f t="shared" si="37"/>
        <v>A~0</v>
      </c>
      <c r="L1195" t="str">
        <f>IF(J1195&lt;0,"A~0",VLOOKUP(J1195,[1]作法V!$B$1:$C$9,2,TRUE))</f>
        <v>A~0</v>
      </c>
    </row>
    <row r="1196" spans="1:12">
      <c r="A1196">
        <v>1070</v>
      </c>
      <c r="B1196" t="s">
        <v>64</v>
      </c>
      <c r="C1196" s="3">
        <v>38644</v>
      </c>
      <c r="D1196" s="3">
        <v>38745</v>
      </c>
      <c r="E1196" t="s">
        <v>18</v>
      </c>
      <c r="F1196">
        <v>1</v>
      </c>
      <c r="G1196">
        <v>10800</v>
      </c>
      <c r="H1196">
        <v>10800</v>
      </c>
      <c r="I1196" s="4">
        <v>38686</v>
      </c>
      <c r="J1196" s="5">
        <f t="shared" si="36"/>
        <v>-59</v>
      </c>
      <c r="K1196" s="6" t="str">
        <f t="shared" si="37"/>
        <v>A~0</v>
      </c>
      <c r="L1196" t="str">
        <f>IF(J1196&lt;0,"A~0",VLOOKUP(J1196,[1]作法V!$B$1:$C$9,2,TRUE))</f>
        <v>A~0</v>
      </c>
    </row>
    <row r="1197" spans="1:12">
      <c r="A1197">
        <v>1070</v>
      </c>
      <c r="B1197" t="s">
        <v>64</v>
      </c>
      <c r="C1197" s="3">
        <v>38644</v>
      </c>
      <c r="D1197" s="3">
        <v>38745</v>
      </c>
      <c r="E1197" t="s">
        <v>18</v>
      </c>
      <c r="F1197">
        <v>1</v>
      </c>
      <c r="G1197">
        <v>3600</v>
      </c>
      <c r="H1197">
        <v>3600</v>
      </c>
      <c r="I1197" s="4">
        <v>38686</v>
      </c>
      <c r="J1197" s="5">
        <f t="shared" si="36"/>
        <v>-59</v>
      </c>
      <c r="K1197" s="6" t="str">
        <f t="shared" si="37"/>
        <v>A~0</v>
      </c>
      <c r="L1197" t="str">
        <f>IF(J1197&lt;0,"A~0",VLOOKUP(J1197,[1]作法V!$B$1:$C$9,2,TRUE))</f>
        <v>A~0</v>
      </c>
    </row>
    <row r="1198" spans="1:12">
      <c r="A1198">
        <v>1070</v>
      </c>
      <c r="B1198" t="s">
        <v>64</v>
      </c>
      <c r="C1198" s="3">
        <v>38644</v>
      </c>
      <c r="D1198" s="3">
        <v>38745</v>
      </c>
      <c r="E1198" t="s">
        <v>18</v>
      </c>
      <c r="F1198">
        <v>1</v>
      </c>
      <c r="G1198">
        <v>21600</v>
      </c>
      <c r="H1198">
        <v>21600</v>
      </c>
      <c r="I1198" s="4">
        <v>38686</v>
      </c>
      <c r="J1198" s="5">
        <f t="shared" si="36"/>
        <v>-59</v>
      </c>
      <c r="K1198" s="6" t="str">
        <f t="shared" si="37"/>
        <v>A~0</v>
      </c>
      <c r="L1198" t="str">
        <f>IF(J1198&lt;0,"A~0",VLOOKUP(J1198,[1]作法V!$B$1:$C$9,2,TRUE))</f>
        <v>A~0</v>
      </c>
    </row>
    <row r="1199" spans="1:12">
      <c r="A1199">
        <v>1070</v>
      </c>
      <c r="B1199" t="s">
        <v>64</v>
      </c>
      <c r="C1199" s="3">
        <v>38644</v>
      </c>
      <c r="D1199" s="3">
        <v>38745</v>
      </c>
      <c r="E1199" t="s">
        <v>18</v>
      </c>
      <c r="F1199">
        <v>1</v>
      </c>
      <c r="G1199">
        <v>32400</v>
      </c>
      <c r="H1199">
        <v>32400</v>
      </c>
      <c r="I1199" s="4">
        <v>38686</v>
      </c>
      <c r="J1199" s="5">
        <f t="shared" si="36"/>
        <v>-59</v>
      </c>
      <c r="K1199" s="6" t="str">
        <f t="shared" si="37"/>
        <v>A~0</v>
      </c>
      <c r="L1199" t="str">
        <f>IF(J1199&lt;0,"A~0",VLOOKUP(J1199,[1]作法V!$B$1:$C$9,2,TRUE))</f>
        <v>A~0</v>
      </c>
    </row>
    <row r="1200" spans="1:12">
      <c r="A1200">
        <v>1070</v>
      </c>
      <c r="B1200" t="s">
        <v>64</v>
      </c>
      <c r="C1200" s="3">
        <v>38644</v>
      </c>
      <c r="D1200" s="3">
        <v>38745</v>
      </c>
      <c r="E1200" t="s">
        <v>18</v>
      </c>
      <c r="F1200">
        <v>1</v>
      </c>
      <c r="G1200">
        <v>3600</v>
      </c>
      <c r="H1200">
        <v>3600</v>
      </c>
      <c r="I1200" s="4">
        <v>38686</v>
      </c>
      <c r="J1200" s="5">
        <f t="shared" si="36"/>
        <v>-59</v>
      </c>
      <c r="K1200" s="6" t="str">
        <f t="shared" si="37"/>
        <v>A~0</v>
      </c>
      <c r="L1200" t="str">
        <f>IF(J1200&lt;0,"A~0",VLOOKUP(J1200,[1]作法V!$B$1:$C$9,2,TRUE))</f>
        <v>A~0</v>
      </c>
    </row>
    <row r="1201" spans="1:12">
      <c r="A1201">
        <v>1070</v>
      </c>
      <c r="B1201" t="s">
        <v>64</v>
      </c>
      <c r="C1201" s="3">
        <v>38649</v>
      </c>
      <c r="D1201" s="3">
        <v>38745</v>
      </c>
      <c r="E1201" t="s">
        <v>17</v>
      </c>
      <c r="F1201">
        <v>33.4</v>
      </c>
      <c r="G1201">
        <v>2040</v>
      </c>
      <c r="H1201">
        <v>68136</v>
      </c>
      <c r="I1201" s="4">
        <v>38686</v>
      </c>
      <c r="J1201" s="5">
        <f t="shared" si="36"/>
        <v>-59</v>
      </c>
      <c r="K1201" s="6" t="str">
        <f t="shared" si="37"/>
        <v>A~0</v>
      </c>
      <c r="L1201" t="str">
        <f>IF(J1201&lt;0,"A~0",VLOOKUP(J1201,[1]作法V!$B$1:$C$9,2,TRUE))</f>
        <v>A~0</v>
      </c>
    </row>
    <row r="1202" spans="1:12">
      <c r="A1202">
        <v>1070</v>
      </c>
      <c r="B1202" t="s">
        <v>64</v>
      </c>
      <c r="C1202" s="3">
        <v>38650</v>
      </c>
      <c r="D1202" s="3">
        <v>38745</v>
      </c>
      <c r="E1202" t="s">
        <v>18</v>
      </c>
      <c r="F1202">
        <v>1</v>
      </c>
      <c r="G1202">
        <v>92000</v>
      </c>
      <c r="H1202">
        <v>92000</v>
      </c>
      <c r="I1202" s="4">
        <v>38686</v>
      </c>
      <c r="J1202" s="5">
        <f t="shared" si="36"/>
        <v>-59</v>
      </c>
      <c r="K1202" s="6" t="str">
        <f t="shared" si="37"/>
        <v>A~0</v>
      </c>
      <c r="L1202" t="str">
        <f>IF(J1202&lt;0,"A~0",VLOOKUP(J1202,[1]作法V!$B$1:$C$9,2,TRUE))</f>
        <v>A~0</v>
      </c>
    </row>
    <row r="1203" spans="1:12">
      <c r="A1203">
        <v>1070</v>
      </c>
      <c r="B1203" t="s">
        <v>64</v>
      </c>
      <c r="C1203" s="3">
        <v>38650</v>
      </c>
      <c r="D1203" s="3">
        <v>38745</v>
      </c>
      <c r="E1203" t="s">
        <v>18</v>
      </c>
      <c r="F1203">
        <v>1</v>
      </c>
      <c r="G1203">
        <v>69000</v>
      </c>
      <c r="H1203">
        <v>69000</v>
      </c>
      <c r="I1203" s="4">
        <v>38686</v>
      </c>
      <c r="J1203" s="5">
        <f t="shared" si="36"/>
        <v>-59</v>
      </c>
      <c r="K1203" s="6" t="str">
        <f t="shared" si="37"/>
        <v>A~0</v>
      </c>
      <c r="L1203" t="str">
        <f>IF(J1203&lt;0,"A~0",VLOOKUP(J1203,[1]作法V!$B$1:$C$9,2,TRUE))</f>
        <v>A~0</v>
      </c>
    </row>
    <row r="1204" spans="1:12">
      <c r="A1204">
        <v>1070</v>
      </c>
      <c r="B1204" t="s">
        <v>64</v>
      </c>
      <c r="C1204" s="3">
        <v>38650</v>
      </c>
      <c r="D1204" s="3">
        <v>38745</v>
      </c>
      <c r="E1204" t="s">
        <v>18</v>
      </c>
      <c r="F1204">
        <v>1</v>
      </c>
      <c r="G1204">
        <v>4500</v>
      </c>
      <c r="H1204">
        <v>4500</v>
      </c>
      <c r="I1204" s="4">
        <v>38686</v>
      </c>
      <c r="J1204" s="5">
        <f t="shared" si="36"/>
        <v>-59</v>
      </c>
      <c r="K1204" s="6" t="str">
        <f t="shared" si="37"/>
        <v>A~0</v>
      </c>
      <c r="L1204" t="str">
        <f>IF(J1204&lt;0,"A~0",VLOOKUP(J1204,[1]作法V!$B$1:$C$9,2,TRUE))</f>
        <v>A~0</v>
      </c>
    </row>
    <row r="1205" spans="1:12">
      <c r="A1205">
        <v>1070</v>
      </c>
      <c r="B1205" t="s">
        <v>64</v>
      </c>
      <c r="C1205" s="3">
        <v>38650</v>
      </c>
      <c r="D1205" s="3">
        <v>38745</v>
      </c>
      <c r="E1205" t="s">
        <v>18</v>
      </c>
      <c r="F1205">
        <v>1</v>
      </c>
      <c r="G1205">
        <v>90000</v>
      </c>
      <c r="H1205">
        <v>90000</v>
      </c>
      <c r="I1205" s="4">
        <v>38686</v>
      </c>
      <c r="J1205" s="5">
        <f t="shared" si="36"/>
        <v>-59</v>
      </c>
      <c r="K1205" s="6" t="str">
        <f t="shared" si="37"/>
        <v>A~0</v>
      </c>
      <c r="L1205" t="str">
        <f>IF(J1205&lt;0,"A~0",VLOOKUP(J1205,[1]作法V!$B$1:$C$9,2,TRUE))</f>
        <v>A~0</v>
      </c>
    </row>
    <row r="1206" spans="1:12">
      <c r="A1206">
        <v>1070</v>
      </c>
      <c r="B1206" t="s">
        <v>64</v>
      </c>
      <c r="C1206" s="3">
        <v>38657</v>
      </c>
      <c r="D1206" s="3">
        <v>38776</v>
      </c>
      <c r="E1206" t="s">
        <v>18</v>
      </c>
      <c r="F1206">
        <v>1</v>
      </c>
      <c r="G1206">
        <v>150000</v>
      </c>
      <c r="H1206">
        <v>150000</v>
      </c>
      <c r="I1206" s="4">
        <v>38686</v>
      </c>
      <c r="J1206" s="5">
        <f t="shared" si="36"/>
        <v>-90</v>
      </c>
      <c r="K1206" s="6" t="str">
        <f t="shared" si="37"/>
        <v>A~0</v>
      </c>
      <c r="L1206" t="str">
        <f>IF(J1206&lt;0,"A~0",VLOOKUP(J1206,[1]作法V!$B$1:$C$9,2,TRUE))</f>
        <v>A~0</v>
      </c>
    </row>
    <row r="1207" spans="1:12">
      <c r="A1207">
        <v>1070</v>
      </c>
      <c r="B1207" t="s">
        <v>64</v>
      </c>
      <c r="C1207" s="3">
        <v>38657</v>
      </c>
      <c r="D1207" s="3">
        <v>38776</v>
      </c>
      <c r="E1207" t="s">
        <v>18</v>
      </c>
      <c r="F1207">
        <v>1</v>
      </c>
      <c r="G1207">
        <v>18000</v>
      </c>
      <c r="H1207">
        <v>18000</v>
      </c>
      <c r="I1207" s="4">
        <v>38686</v>
      </c>
      <c r="J1207" s="5">
        <f t="shared" si="36"/>
        <v>-90</v>
      </c>
      <c r="K1207" s="6" t="str">
        <f t="shared" si="37"/>
        <v>A~0</v>
      </c>
      <c r="L1207" t="str">
        <f>IF(J1207&lt;0,"A~0",VLOOKUP(J1207,[1]作法V!$B$1:$C$9,2,TRUE))</f>
        <v>A~0</v>
      </c>
    </row>
    <row r="1208" spans="1:12">
      <c r="A1208">
        <v>1070</v>
      </c>
      <c r="B1208" t="s">
        <v>64</v>
      </c>
      <c r="C1208" s="3">
        <v>38657</v>
      </c>
      <c r="D1208" s="3">
        <v>38776</v>
      </c>
      <c r="E1208" t="s">
        <v>18</v>
      </c>
      <c r="F1208">
        <v>1</v>
      </c>
      <c r="G1208">
        <v>292500</v>
      </c>
      <c r="H1208">
        <v>292500</v>
      </c>
      <c r="I1208" s="4">
        <v>38686</v>
      </c>
      <c r="J1208" s="5">
        <f t="shared" si="36"/>
        <v>-90</v>
      </c>
      <c r="K1208" s="6" t="str">
        <f t="shared" si="37"/>
        <v>A~0</v>
      </c>
      <c r="L1208" t="str">
        <f>IF(J1208&lt;0,"A~0",VLOOKUP(J1208,[1]作法V!$B$1:$C$9,2,TRUE))</f>
        <v>A~0</v>
      </c>
    </row>
    <row r="1209" spans="1:12">
      <c r="A1209">
        <v>1070</v>
      </c>
      <c r="B1209" t="s">
        <v>64</v>
      </c>
      <c r="C1209" s="3">
        <v>38665</v>
      </c>
      <c r="D1209" s="3">
        <v>38776</v>
      </c>
      <c r="E1209" t="s">
        <v>18</v>
      </c>
      <c r="F1209">
        <v>1</v>
      </c>
      <c r="G1209">
        <v>11250</v>
      </c>
      <c r="H1209">
        <v>11250</v>
      </c>
      <c r="I1209" s="4">
        <v>38686</v>
      </c>
      <c r="J1209" s="5">
        <f t="shared" si="36"/>
        <v>-90</v>
      </c>
      <c r="K1209" s="6" t="str">
        <f t="shared" si="37"/>
        <v>A~0</v>
      </c>
      <c r="L1209" t="str">
        <f>IF(J1209&lt;0,"A~0",VLOOKUP(J1209,[1]作法V!$B$1:$C$9,2,TRUE))</f>
        <v>A~0</v>
      </c>
    </row>
    <row r="1210" spans="1:12">
      <c r="A1210">
        <v>1070</v>
      </c>
      <c r="B1210" t="s">
        <v>64</v>
      </c>
      <c r="C1210" s="3">
        <v>38667</v>
      </c>
      <c r="D1210" s="3">
        <v>38776</v>
      </c>
      <c r="E1210" t="s">
        <v>18</v>
      </c>
      <c r="F1210">
        <v>1</v>
      </c>
      <c r="G1210">
        <v>33750</v>
      </c>
      <c r="H1210">
        <v>33750</v>
      </c>
      <c r="I1210" s="4">
        <v>38686</v>
      </c>
      <c r="J1210" s="5">
        <f t="shared" si="36"/>
        <v>-90</v>
      </c>
      <c r="K1210" s="6" t="str">
        <f t="shared" si="37"/>
        <v>A~0</v>
      </c>
      <c r="L1210" t="str">
        <f>IF(J1210&lt;0,"A~0",VLOOKUP(J1210,[1]作法V!$B$1:$C$9,2,TRUE))</f>
        <v>A~0</v>
      </c>
    </row>
    <row r="1211" spans="1:12">
      <c r="A1211">
        <v>1070</v>
      </c>
      <c r="B1211" t="s">
        <v>64</v>
      </c>
      <c r="C1211" s="3">
        <v>38670</v>
      </c>
      <c r="D1211" s="3">
        <v>38776</v>
      </c>
      <c r="E1211" t="s">
        <v>18</v>
      </c>
      <c r="F1211">
        <v>1</v>
      </c>
      <c r="G1211">
        <v>150000</v>
      </c>
      <c r="H1211">
        <v>150000</v>
      </c>
      <c r="I1211" s="4">
        <v>38686</v>
      </c>
      <c r="J1211" s="5">
        <f t="shared" si="36"/>
        <v>-90</v>
      </c>
      <c r="K1211" s="6" t="str">
        <f t="shared" si="37"/>
        <v>A~0</v>
      </c>
      <c r="L1211" t="str">
        <f>IF(J1211&lt;0,"A~0",VLOOKUP(J1211,[1]作法V!$B$1:$C$9,2,TRUE))</f>
        <v>A~0</v>
      </c>
    </row>
    <row r="1212" spans="1:12">
      <c r="A1212">
        <v>1070</v>
      </c>
      <c r="B1212" t="s">
        <v>64</v>
      </c>
      <c r="C1212" s="3">
        <v>38670</v>
      </c>
      <c r="D1212" s="3">
        <v>38745</v>
      </c>
      <c r="E1212" t="s">
        <v>18</v>
      </c>
      <c r="F1212">
        <v>1</v>
      </c>
      <c r="G1212">
        <v>28800</v>
      </c>
      <c r="H1212">
        <v>28800</v>
      </c>
      <c r="I1212" s="4">
        <v>38686</v>
      </c>
      <c r="J1212" s="5">
        <f t="shared" si="36"/>
        <v>-59</v>
      </c>
      <c r="K1212" s="6" t="str">
        <f t="shared" si="37"/>
        <v>A~0</v>
      </c>
      <c r="L1212" t="str">
        <f>IF(J1212&lt;0,"A~0",VLOOKUP(J1212,[1]作法V!$B$1:$C$9,2,TRUE))</f>
        <v>A~0</v>
      </c>
    </row>
    <row r="1213" spans="1:12">
      <c r="A1213">
        <v>1070</v>
      </c>
      <c r="B1213" t="s">
        <v>64</v>
      </c>
      <c r="C1213" s="3">
        <v>38670</v>
      </c>
      <c r="D1213" s="3">
        <v>38776</v>
      </c>
      <c r="E1213" t="s">
        <v>18</v>
      </c>
      <c r="F1213">
        <v>1</v>
      </c>
      <c r="G1213">
        <v>12500</v>
      </c>
      <c r="H1213">
        <v>12500</v>
      </c>
      <c r="I1213" s="4">
        <v>38686</v>
      </c>
      <c r="J1213" s="5">
        <f t="shared" si="36"/>
        <v>-90</v>
      </c>
      <c r="K1213" s="6" t="str">
        <f t="shared" si="37"/>
        <v>A~0</v>
      </c>
      <c r="L1213" t="str">
        <f>IF(J1213&lt;0,"A~0",VLOOKUP(J1213,[1]作法V!$B$1:$C$9,2,TRUE))</f>
        <v>A~0</v>
      </c>
    </row>
    <row r="1214" spans="1:12">
      <c r="A1214">
        <v>1070</v>
      </c>
      <c r="B1214" t="s">
        <v>64</v>
      </c>
      <c r="C1214" s="3">
        <v>38674</v>
      </c>
      <c r="D1214" s="3">
        <v>38776</v>
      </c>
      <c r="E1214" t="s">
        <v>18</v>
      </c>
      <c r="F1214">
        <v>1</v>
      </c>
      <c r="G1214">
        <v>32400</v>
      </c>
      <c r="H1214">
        <v>32400</v>
      </c>
      <c r="I1214" s="4">
        <v>38686</v>
      </c>
      <c r="J1214" s="5">
        <f t="shared" si="36"/>
        <v>-90</v>
      </c>
      <c r="K1214" s="6" t="str">
        <f t="shared" si="37"/>
        <v>A~0</v>
      </c>
      <c r="L1214" t="str">
        <f>IF(J1214&lt;0,"A~0",VLOOKUP(J1214,[1]作法V!$B$1:$C$9,2,TRUE))</f>
        <v>A~0</v>
      </c>
    </row>
    <row r="1215" spans="1:12">
      <c r="A1215">
        <v>1070</v>
      </c>
      <c r="B1215" t="s">
        <v>64</v>
      </c>
      <c r="C1215" s="3">
        <v>38674</v>
      </c>
      <c r="D1215" s="3">
        <v>38776</v>
      </c>
      <c r="E1215" t="s">
        <v>18</v>
      </c>
      <c r="F1215">
        <v>1</v>
      </c>
      <c r="G1215">
        <v>39600</v>
      </c>
      <c r="H1215">
        <v>39600</v>
      </c>
      <c r="I1215" s="4">
        <v>38686</v>
      </c>
      <c r="J1215" s="5">
        <f t="shared" si="36"/>
        <v>-90</v>
      </c>
      <c r="K1215" s="6" t="str">
        <f t="shared" si="37"/>
        <v>A~0</v>
      </c>
      <c r="L1215" t="str">
        <f>IF(J1215&lt;0,"A~0",VLOOKUP(J1215,[1]作法V!$B$1:$C$9,2,TRUE))</f>
        <v>A~0</v>
      </c>
    </row>
    <row r="1216" spans="1:12">
      <c r="A1216">
        <v>1070</v>
      </c>
      <c r="B1216" t="s">
        <v>64</v>
      </c>
      <c r="C1216" s="3">
        <v>38674</v>
      </c>
      <c r="D1216" s="3">
        <v>38776</v>
      </c>
      <c r="E1216" t="s">
        <v>18</v>
      </c>
      <c r="F1216">
        <v>1</v>
      </c>
      <c r="G1216">
        <v>92000</v>
      </c>
      <c r="H1216">
        <v>92000</v>
      </c>
      <c r="I1216" s="4">
        <v>38686</v>
      </c>
      <c r="J1216" s="5">
        <f t="shared" si="36"/>
        <v>-90</v>
      </c>
      <c r="K1216" s="6" t="str">
        <f t="shared" si="37"/>
        <v>A~0</v>
      </c>
      <c r="L1216" t="str">
        <f>IF(J1216&lt;0,"A~0",VLOOKUP(J1216,[1]作法V!$B$1:$C$9,2,TRUE))</f>
        <v>A~0</v>
      </c>
    </row>
    <row r="1217" spans="1:12">
      <c r="A1217">
        <v>1070</v>
      </c>
      <c r="B1217" t="s">
        <v>64</v>
      </c>
      <c r="C1217" s="3">
        <v>38674</v>
      </c>
      <c r="D1217" s="3">
        <v>38776</v>
      </c>
      <c r="E1217" t="s">
        <v>18</v>
      </c>
      <c r="F1217">
        <v>1</v>
      </c>
      <c r="G1217">
        <v>3600</v>
      </c>
      <c r="H1217">
        <v>3600</v>
      </c>
      <c r="I1217" s="4">
        <v>38686</v>
      </c>
      <c r="J1217" s="5">
        <f t="shared" si="36"/>
        <v>-90</v>
      </c>
      <c r="K1217" s="6" t="str">
        <f t="shared" si="37"/>
        <v>A~0</v>
      </c>
      <c r="L1217" t="str">
        <f>IF(J1217&lt;0,"A~0",VLOOKUP(J1217,[1]作法V!$B$1:$C$9,2,TRUE))</f>
        <v>A~0</v>
      </c>
    </row>
    <row r="1218" spans="1:12">
      <c r="A1218">
        <v>1070</v>
      </c>
      <c r="B1218" t="s">
        <v>64</v>
      </c>
      <c r="C1218" s="3">
        <v>38674</v>
      </c>
      <c r="D1218" s="3">
        <v>38776</v>
      </c>
      <c r="E1218" t="s">
        <v>18</v>
      </c>
      <c r="F1218">
        <v>1</v>
      </c>
      <c r="G1218">
        <v>28800</v>
      </c>
      <c r="H1218">
        <v>28800</v>
      </c>
      <c r="I1218" s="4">
        <v>38686</v>
      </c>
      <c r="J1218" s="5">
        <f t="shared" ref="J1218:J1281" si="38">I1218-D1218</f>
        <v>-90</v>
      </c>
      <c r="K1218" s="6" t="str">
        <f t="shared" ref="K1218:K1281" si="39">IF(J1218&lt;1,"A~0",IF(J1218&lt;31,"B1~30",IF(J1218&lt;61,"C31~60",IF(J1218&lt;91,"D61~90",IF(J1218&lt;121,"E91~120",IF(J1218&lt;181,"F121~180",IF(J1218&lt;361,"G181~360","H361~")))))))</f>
        <v>A~0</v>
      </c>
      <c r="L1218" t="str">
        <f>IF(J1218&lt;0,"A~0",VLOOKUP(J1218,[1]作法V!$B$1:$C$9,2,TRUE))</f>
        <v>A~0</v>
      </c>
    </row>
    <row r="1219" spans="1:12">
      <c r="A1219">
        <v>1070</v>
      </c>
      <c r="B1219" t="s">
        <v>64</v>
      </c>
      <c r="C1219" s="3">
        <v>38680</v>
      </c>
      <c r="D1219" s="3">
        <v>38776</v>
      </c>
      <c r="E1219" t="s">
        <v>18</v>
      </c>
      <c r="F1219">
        <v>1</v>
      </c>
      <c r="G1219">
        <v>70000</v>
      </c>
      <c r="H1219">
        <v>70000</v>
      </c>
      <c r="I1219" s="4">
        <v>38686</v>
      </c>
      <c r="J1219" s="5">
        <f t="shared" si="38"/>
        <v>-90</v>
      </c>
      <c r="K1219" s="6" t="str">
        <f t="shared" si="39"/>
        <v>A~0</v>
      </c>
      <c r="L1219" t="str">
        <f>IF(J1219&lt;0,"A~0",VLOOKUP(J1219,[1]作法V!$B$1:$C$9,2,TRUE))</f>
        <v>A~0</v>
      </c>
    </row>
    <row r="1220" spans="1:12">
      <c r="A1220">
        <v>1070</v>
      </c>
      <c r="B1220" t="s">
        <v>64</v>
      </c>
      <c r="C1220" s="3">
        <v>38680</v>
      </c>
      <c r="D1220" s="3">
        <v>38776</v>
      </c>
      <c r="E1220" t="s">
        <v>18</v>
      </c>
      <c r="F1220">
        <v>1</v>
      </c>
      <c r="G1220">
        <v>112500</v>
      </c>
      <c r="H1220">
        <v>112500</v>
      </c>
      <c r="I1220" s="4">
        <v>38686</v>
      </c>
      <c r="J1220" s="5">
        <f t="shared" si="38"/>
        <v>-90</v>
      </c>
      <c r="K1220" s="6" t="str">
        <f t="shared" si="39"/>
        <v>A~0</v>
      </c>
      <c r="L1220" t="str">
        <f>IF(J1220&lt;0,"A~0",VLOOKUP(J1220,[1]作法V!$B$1:$C$9,2,TRUE))</f>
        <v>A~0</v>
      </c>
    </row>
    <row r="1221" spans="1:12">
      <c r="A1221">
        <v>1070</v>
      </c>
      <c r="B1221" t="s">
        <v>64</v>
      </c>
      <c r="C1221" s="3">
        <v>38680</v>
      </c>
      <c r="D1221" s="3">
        <v>38776</v>
      </c>
      <c r="E1221" t="s">
        <v>18</v>
      </c>
      <c r="F1221">
        <v>1</v>
      </c>
      <c r="G1221">
        <v>12500</v>
      </c>
      <c r="H1221">
        <v>12500</v>
      </c>
      <c r="I1221" s="4">
        <v>38686</v>
      </c>
      <c r="J1221" s="5">
        <f t="shared" si="38"/>
        <v>-90</v>
      </c>
      <c r="K1221" s="6" t="str">
        <f t="shared" si="39"/>
        <v>A~0</v>
      </c>
      <c r="L1221" t="str">
        <f>IF(J1221&lt;0,"A~0",VLOOKUP(J1221,[1]作法V!$B$1:$C$9,2,TRUE))</f>
        <v>A~0</v>
      </c>
    </row>
    <row r="1222" spans="1:12">
      <c r="A1222">
        <v>1070</v>
      </c>
      <c r="B1222" t="s">
        <v>64</v>
      </c>
      <c r="C1222" s="3">
        <v>38686</v>
      </c>
      <c r="D1222" s="3">
        <v>38804</v>
      </c>
      <c r="E1222" t="s">
        <v>18</v>
      </c>
      <c r="F1222">
        <v>1</v>
      </c>
      <c r="G1222">
        <v>6250</v>
      </c>
      <c r="H1222">
        <v>6250</v>
      </c>
      <c r="I1222" s="4">
        <v>38686</v>
      </c>
      <c r="J1222" s="5">
        <f t="shared" si="38"/>
        <v>-118</v>
      </c>
      <c r="K1222" s="6" t="str">
        <f t="shared" si="39"/>
        <v>A~0</v>
      </c>
      <c r="L1222" t="str">
        <f>IF(J1222&lt;0,"A~0",VLOOKUP(J1222,[1]作法V!$B$1:$C$9,2,TRUE))</f>
        <v>A~0</v>
      </c>
    </row>
    <row r="1223" spans="1:12">
      <c r="A1223">
        <v>1075</v>
      </c>
      <c r="B1223" t="s">
        <v>82</v>
      </c>
      <c r="C1223" s="3">
        <v>38573</v>
      </c>
      <c r="D1223" s="3">
        <v>38678</v>
      </c>
      <c r="E1223" t="s">
        <v>18</v>
      </c>
      <c r="F1223">
        <v>1</v>
      </c>
      <c r="G1223">
        <v>3780</v>
      </c>
      <c r="H1223">
        <v>3780</v>
      </c>
      <c r="I1223" s="4">
        <v>38686</v>
      </c>
      <c r="J1223" s="5">
        <f t="shared" si="38"/>
        <v>8</v>
      </c>
      <c r="K1223" s="6" t="str">
        <f t="shared" si="39"/>
        <v>B1~30</v>
      </c>
      <c r="L1223" t="str">
        <f>IF(J1223&lt;0,"A~0",VLOOKUP(J1223,[1]作法V!$B$1:$C$9,2,TRUE))</f>
        <v>B1~30</v>
      </c>
    </row>
    <row r="1224" spans="1:12">
      <c r="A1224">
        <v>1075</v>
      </c>
      <c r="B1224" t="s">
        <v>82</v>
      </c>
      <c r="C1224" s="3">
        <v>38593</v>
      </c>
      <c r="D1224" s="3">
        <v>38678</v>
      </c>
      <c r="E1224" t="s">
        <v>18</v>
      </c>
      <c r="F1224">
        <v>1</v>
      </c>
      <c r="G1224">
        <v>173250</v>
      </c>
      <c r="H1224">
        <v>173250</v>
      </c>
      <c r="I1224" s="4">
        <v>38686</v>
      </c>
      <c r="J1224" s="5">
        <f t="shared" si="38"/>
        <v>8</v>
      </c>
      <c r="K1224" s="6" t="str">
        <f t="shared" si="39"/>
        <v>B1~30</v>
      </c>
      <c r="L1224" t="str">
        <f>IF(J1224&lt;0,"A~0",VLOOKUP(J1224,[1]作法V!$B$1:$C$9,2,TRUE))</f>
        <v>B1~30</v>
      </c>
    </row>
    <row r="1225" spans="1:12">
      <c r="A1225">
        <v>1075</v>
      </c>
      <c r="B1225" t="s">
        <v>82</v>
      </c>
      <c r="C1225" s="3">
        <v>38610</v>
      </c>
      <c r="D1225" s="3">
        <v>38708</v>
      </c>
      <c r="E1225" t="s">
        <v>18</v>
      </c>
      <c r="F1225">
        <v>1</v>
      </c>
      <c r="G1225">
        <v>84000</v>
      </c>
      <c r="H1225">
        <v>84000</v>
      </c>
      <c r="I1225" s="4">
        <v>38686</v>
      </c>
      <c r="J1225" s="5">
        <f t="shared" si="38"/>
        <v>-22</v>
      </c>
      <c r="K1225" s="6" t="str">
        <f t="shared" si="39"/>
        <v>A~0</v>
      </c>
      <c r="L1225" t="str">
        <f>IF(J1225&lt;0,"A~0",VLOOKUP(J1225,[1]作法V!$B$1:$C$9,2,TRUE))</f>
        <v>A~0</v>
      </c>
    </row>
    <row r="1226" spans="1:12">
      <c r="A1226">
        <v>1075</v>
      </c>
      <c r="B1226" t="s">
        <v>82</v>
      </c>
      <c r="C1226" s="3">
        <v>38610</v>
      </c>
      <c r="D1226" s="3">
        <v>38708</v>
      </c>
      <c r="E1226" t="s">
        <v>18</v>
      </c>
      <c r="F1226">
        <v>1</v>
      </c>
      <c r="G1226">
        <v>6773</v>
      </c>
      <c r="H1226">
        <v>6773</v>
      </c>
      <c r="I1226" s="4">
        <v>38686</v>
      </c>
      <c r="J1226" s="5">
        <f t="shared" si="38"/>
        <v>-22</v>
      </c>
      <c r="K1226" s="6" t="str">
        <f t="shared" si="39"/>
        <v>A~0</v>
      </c>
      <c r="L1226" t="str">
        <f>IF(J1226&lt;0,"A~0",VLOOKUP(J1226,[1]作法V!$B$1:$C$9,2,TRUE))</f>
        <v>A~0</v>
      </c>
    </row>
    <row r="1227" spans="1:12">
      <c r="A1227">
        <v>1075</v>
      </c>
      <c r="B1227" t="s">
        <v>82</v>
      </c>
      <c r="C1227" s="3">
        <v>38611</v>
      </c>
      <c r="D1227" s="3">
        <v>38708</v>
      </c>
      <c r="E1227" t="s">
        <v>18</v>
      </c>
      <c r="F1227">
        <v>1</v>
      </c>
      <c r="G1227">
        <v>32603</v>
      </c>
      <c r="H1227">
        <v>32603</v>
      </c>
      <c r="I1227" s="4">
        <v>38686</v>
      </c>
      <c r="J1227" s="5">
        <f t="shared" si="38"/>
        <v>-22</v>
      </c>
      <c r="K1227" s="6" t="str">
        <f t="shared" si="39"/>
        <v>A~0</v>
      </c>
      <c r="L1227" t="str">
        <f>IF(J1227&lt;0,"A~0",VLOOKUP(J1227,[1]作法V!$B$1:$C$9,2,TRUE))</f>
        <v>A~0</v>
      </c>
    </row>
    <row r="1228" spans="1:12">
      <c r="A1228">
        <v>1075</v>
      </c>
      <c r="B1228" t="s">
        <v>82</v>
      </c>
      <c r="C1228" s="3">
        <v>38617</v>
      </c>
      <c r="D1228" s="3">
        <v>38708</v>
      </c>
      <c r="E1228" t="s">
        <v>18</v>
      </c>
      <c r="F1228">
        <v>1</v>
      </c>
      <c r="G1228">
        <v>30450</v>
      </c>
      <c r="H1228">
        <v>30450</v>
      </c>
      <c r="I1228" s="4">
        <v>38686</v>
      </c>
      <c r="J1228" s="5">
        <f t="shared" si="38"/>
        <v>-22</v>
      </c>
      <c r="K1228" s="6" t="str">
        <f t="shared" si="39"/>
        <v>A~0</v>
      </c>
      <c r="L1228" t="str">
        <f>IF(J1228&lt;0,"A~0",VLOOKUP(J1228,[1]作法V!$B$1:$C$9,2,TRUE))</f>
        <v>A~0</v>
      </c>
    </row>
    <row r="1229" spans="1:12">
      <c r="A1229">
        <v>1076</v>
      </c>
      <c r="B1229" t="s">
        <v>95</v>
      </c>
      <c r="C1229" s="3">
        <v>38588</v>
      </c>
      <c r="D1229" s="3">
        <v>38694</v>
      </c>
      <c r="E1229" t="s">
        <v>18</v>
      </c>
      <c r="F1229">
        <v>1</v>
      </c>
      <c r="G1229">
        <v>37380</v>
      </c>
      <c r="H1229">
        <v>37380</v>
      </c>
      <c r="I1229" s="4">
        <v>38686</v>
      </c>
      <c r="J1229" s="5">
        <f t="shared" si="38"/>
        <v>-8</v>
      </c>
      <c r="K1229" s="6" t="str">
        <f t="shared" si="39"/>
        <v>A~0</v>
      </c>
      <c r="L1229" t="str">
        <f>IF(J1229&lt;0,"A~0",VLOOKUP(J1229,[1]作法V!$B$1:$C$9,2,TRUE))</f>
        <v>A~0</v>
      </c>
    </row>
    <row r="1230" spans="1:12">
      <c r="A1230">
        <v>1076</v>
      </c>
      <c r="B1230" t="s">
        <v>95</v>
      </c>
      <c r="C1230" s="3">
        <v>38674</v>
      </c>
      <c r="D1230" s="3">
        <v>38784</v>
      </c>
      <c r="E1230" t="s">
        <v>18</v>
      </c>
      <c r="F1230">
        <v>1</v>
      </c>
      <c r="G1230">
        <v>1559</v>
      </c>
      <c r="H1230">
        <v>1559</v>
      </c>
      <c r="I1230" s="4">
        <v>38686</v>
      </c>
      <c r="J1230" s="5">
        <f t="shared" si="38"/>
        <v>-98</v>
      </c>
      <c r="K1230" s="6" t="str">
        <f t="shared" si="39"/>
        <v>A~0</v>
      </c>
      <c r="L1230" t="str">
        <f>IF(J1230&lt;0,"A~0",VLOOKUP(J1230,[1]作法V!$B$1:$C$9,2,TRUE))</f>
        <v>A~0</v>
      </c>
    </row>
    <row r="1231" spans="1:12">
      <c r="A1231">
        <v>1085</v>
      </c>
      <c r="B1231" t="s">
        <v>22</v>
      </c>
      <c r="C1231" s="3">
        <v>38593</v>
      </c>
      <c r="D1231" s="3">
        <v>38701</v>
      </c>
      <c r="E1231" t="s">
        <v>18</v>
      </c>
      <c r="F1231">
        <v>1</v>
      </c>
      <c r="G1231">
        <v>1386</v>
      </c>
      <c r="H1231">
        <v>1386</v>
      </c>
      <c r="I1231" s="4">
        <v>38686</v>
      </c>
      <c r="J1231" s="5">
        <f t="shared" si="38"/>
        <v>-15</v>
      </c>
      <c r="K1231" s="6" t="str">
        <f t="shared" si="39"/>
        <v>A~0</v>
      </c>
      <c r="L1231" t="str">
        <f>IF(J1231&lt;0,"A~0",VLOOKUP(J1231,[1]作法V!$B$1:$C$9,2,TRUE))</f>
        <v>A~0</v>
      </c>
    </row>
    <row r="1232" spans="1:12">
      <c r="A1232">
        <v>1085</v>
      </c>
      <c r="B1232" t="s">
        <v>22</v>
      </c>
      <c r="C1232" s="3">
        <v>38602</v>
      </c>
      <c r="D1232" s="3">
        <v>38732</v>
      </c>
      <c r="E1232" t="s">
        <v>18</v>
      </c>
      <c r="F1232">
        <v>1</v>
      </c>
      <c r="G1232">
        <v>55440</v>
      </c>
      <c r="H1232">
        <v>55440</v>
      </c>
      <c r="I1232" s="4">
        <v>38686</v>
      </c>
      <c r="J1232" s="5">
        <f t="shared" si="38"/>
        <v>-46</v>
      </c>
      <c r="K1232" s="6" t="str">
        <f t="shared" si="39"/>
        <v>A~0</v>
      </c>
      <c r="L1232" t="str">
        <f>IF(J1232&lt;0,"A~0",VLOOKUP(J1232,[1]作法V!$B$1:$C$9,2,TRUE))</f>
        <v>A~0</v>
      </c>
    </row>
    <row r="1233" spans="1:12">
      <c r="A1233">
        <v>1085</v>
      </c>
      <c r="B1233" t="s">
        <v>22</v>
      </c>
      <c r="C1233" s="3">
        <v>38602</v>
      </c>
      <c r="D1233" s="3">
        <v>38732</v>
      </c>
      <c r="E1233" t="s">
        <v>18</v>
      </c>
      <c r="F1233">
        <v>1</v>
      </c>
      <c r="G1233">
        <v>48825</v>
      </c>
      <c r="H1233">
        <v>48825</v>
      </c>
      <c r="I1233" s="4">
        <v>38686</v>
      </c>
      <c r="J1233" s="5">
        <f t="shared" si="38"/>
        <v>-46</v>
      </c>
      <c r="K1233" s="6" t="str">
        <f t="shared" si="39"/>
        <v>A~0</v>
      </c>
      <c r="L1233" t="str">
        <f>IF(J1233&lt;0,"A~0",VLOOKUP(J1233,[1]作法V!$B$1:$C$9,2,TRUE))</f>
        <v>A~0</v>
      </c>
    </row>
    <row r="1234" spans="1:12">
      <c r="A1234">
        <v>1085</v>
      </c>
      <c r="B1234" t="s">
        <v>22</v>
      </c>
      <c r="C1234" s="3">
        <v>38610</v>
      </c>
      <c r="D1234" s="3">
        <v>38732</v>
      </c>
      <c r="E1234" t="s">
        <v>18</v>
      </c>
      <c r="F1234">
        <v>1</v>
      </c>
      <c r="G1234">
        <v>22785</v>
      </c>
      <c r="H1234">
        <v>22785</v>
      </c>
      <c r="I1234" s="4">
        <v>38686</v>
      </c>
      <c r="J1234" s="5">
        <f t="shared" si="38"/>
        <v>-46</v>
      </c>
      <c r="K1234" s="6" t="str">
        <f t="shared" si="39"/>
        <v>A~0</v>
      </c>
      <c r="L1234" t="str">
        <f>IF(J1234&lt;0,"A~0",VLOOKUP(J1234,[1]作法V!$B$1:$C$9,2,TRUE))</f>
        <v>A~0</v>
      </c>
    </row>
    <row r="1235" spans="1:12">
      <c r="A1235">
        <v>1085</v>
      </c>
      <c r="B1235" t="s">
        <v>22</v>
      </c>
      <c r="C1235" s="3">
        <v>38610</v>
      </c>
      <c r="D1235" s="3">
        <v>38732</v>
      </c>
      <c r="E1235" t="s">
        <v>18</v>
      </c>
      <c r="F1235">
        <v>1</v>
      </c>
      <c r="G1235">
        <v>32550</v>
      </c>
      <c r="H1235">
        <v>32550</v>
      </c>
      <c r="I1235" s="4">
        <v>38686</v>
      </c>
      <c r="J1235" s="5">
        <f t="shared" si="38"/>
        <v>-46</v>
      </c>
      <c r="K1235" s="6" t="str">
        <f t="shared" si="39"/>
        <v>A~0</v>
      </c>
      <c r="L1235" t="str">
        <f>IF(J1235&lt;0,"A~0",VLOOKUP(J1235,[1]作法V!$B$1:$C$9,2,TRUE))</f>
        <v>A~0</v>
      </c>
    </row>
    <row r="1236" spans="1:12">
      <c r="A1236">
        <v>1085</v>
      </c>
      <c r="B1236" t="s">
        <v>22</v>
      </c>
      <c r="C1236" s="3">
        <v>38622</v>
      </c>
      <c r="D1236" s="3">
        <v>38732</v>
      </c>
      <c r="E1236" t="s">
        <v>18</v>
      </c>
      <c r="F1236">
        <v>1</v>
      </c>
      <c r="G1236">
        <v>1176</v>
      </c>
      <c r="H1236">
        <v>1176</v>
      </c>
      <c r="I1236" s="4">
        <v>38686</v>
      </c>
      <c r="J1236" s="5">
        <f t="shared" si="38"/>
        <v>-46</v>
      </c>
      <c r="K1236" s="6" t="str">
        <f t="shared" si="39"/>
        <v>A~0</v>
      </c>
      <c r="L1236" t="str">
        <f>IF(J1236&lt;0,"A~0",VLOOKUP(J1236,[1]作法V!$B$1:$C$9,2,TRUE))</f>
        <v>A~0</v>
      </c>
    </row>
    <row r="1237" spans="1:12">
      <c r="A1237">
        <v>1085</v>
      </c>
      <c r="B1237" t="s">
        <v>22</v>
      </c>
      <c r="C1237" s="3">
        <v>38623</v>
      </c>
      <c r="D1237" s="3">
        <v>38732</v>
      </c>
      <c r="E1237" t="s">
        <v>18</v>
      </c>
      <c r="F1237">
        <v>1</v>
      </c>
      <c r="G1237">
        <v>1785</v>
      </c>
      <c r="H1237">
        <v>1785</v>
      </c>
      <c r="I1237" s="4">
        <v>38686</v>
      </c>
      <c r="J1237" s="5">
        <f t="shared" si="38"/>
        <v>-46</v>
      </c>
      <c r="K1237" s="6" t="str">
        <f t="shared" si="39"/>
        <v>A~0</v>
      </c>
      <c r="L1237" t="str">
        <f>IF(J1237&lt;0,"A~0",VLOOKUP(J1237,[1]作法V!$B$1:$C$9,2,TRUE))</f>
        <v>A~0</v>
      </c>
    </row>
    <row r="1238" spans="1:12">
      <c r="A1238">
        <v>1085</v>
      </c>
      <c r="B1238" t="s">
        <v>22</v>
      </c>
      <c r="C1238" s="3">
        <v>38636</v>
      </c>
      <c r="D1238" s="3">
        <v>38763</v>
      </c>
      <c r="E1238" t="s">
        <v>18</v>
      </c>
      <c r="F1238">
        <v>1</v>
      </c>
      <c r="G1238">
        <v>6279</v>
      </c>
      <c r="H1238">
        <v>6279</v>
      </c>
      <c r="I1238" s="4">
        <v>38686</v>
      </c>
      <c r="J1238" s="5">
        <f t="shared" si="38"/>
        <v>-77</v>
      </c>
      <c r="K1238" s="6" t="str">
        <f t="shared" si="39"/>
        <v>A~0</v>
      </c>
      <c r="L1238" t="str">
        <f>IF(J1238&lt;0,"A~0",VLOOKUP(J1238,[1]作法V!$B$1:$C$9,2,TRUE))</f>
        <v>A~0</v>
      </c>
    </row>
    <row r="1239" spans="1:12">
      <c r="A1239">
        <v>1085</v>
      </c>
      <c r="B1239" t="s">
        <v>22</v>
      </c>
      <c r="C1239" s="3">
        <v>38636</v>
      </c>
      <c r="D1239" s="3">
        <v>38763</v>
      </c>
      <c r="E1239" t="s">
        <v>18</v>
      </c>
      <c r="F1239">
        <v>1</v>
      </c>
      <c r="G1239">
        <v>8610</v>
      </c>
      <c r="H1239">
        <v>8610</v>
      </c>
      <c r="I1239" s="4">
        <v>38686</v>
      </c>
      <c r="J1239" s="5">
        <f t="shared" si="38"/>
        <v>-77</v>
      </c>
      <c r="K1239" s="6" t="str">
        <f t="shared" si="39"/>
        <v>A~0</v>
      </c>
      <c r="L1239" t="str">
        <f>IF(J1239&lt;0,"A~0",VLOOKUP(J1239,[1]作法V!$B$1:$C$9,2,TRUE))</f>
        <v>A~0</v>
      </c>
    </row>
    <row r="1240" spans="1:12">
      <c r="A1240">
        <v>1085</v>
      </c>
      <c r="B1240" t="s">
        <v>22</v>
      </c>
      <c r="C1240" s="3">
        <v>38643</v>
      </c>
      <c r="D1240" s="3">
        <v>38763</v>
      </c>
      <c r="E1240" t="s">
        <v>18</v>
      </c>
      <c r="F1240">
        <v>1</v>
      </c>
      <c r="G1240">
        <v>39060</v>
      </c>
      <c r="H1240">
        <v>39060</v>
      </c>
      <c r="I1240" s="4">
        <v>38686</v>
      </c>
      <c r="J1240" s="5">
        <f t="shared" si="38"/>
        <v>-77</v>
      </c>
      <c r="K1240" s="6" t="str">
        <f t="shared" si="39"/>
        <v>A~0</v>
      </c>
      <c r="L1240" t="str">
        <f>IF(J1240&lt;0,"A~0",VLOOKUP(J1240,[1]作法V!$B$1:$C$9,2,TRUE))</f>
        <v>A~0</v>
      </c>
    </row>
    <row r="1241" spans="1:12">
      <c r="A1241">
        <v>1085</v>
      </c>
      <c r="B1241" t="s">
        <v>22</v>
      </c>
      <c r="C1241" s="3">
        <v>38643</v>
      </c>
      <c r="D1241" s="3">
        <v>38763</v>
      </c>
      <c r="E1241" t="s">
        <v>18</v>
      </c>
      <c r="F1241">
        <v>1</v>
      </c>
      <c r="G1241">
        <v>5544</v>
      </c>
      <c r="H1241">
        <v>5544</v>
      </c>
      <c r="I1241" s="4">
        <v>38686</v>
      </c>
      <c r="J1241" s="5">
        <f t="shared" si="38"/>
        <v>-77</v>
      </c>
      <c r="K1241" s="6" t="str">
        <f t="shared" si="39"/>
        <v>A~0</v>
      </c>
      <c r="L1241" t="str">
        <f>IF(J1241&lt;0,"A~0",VLOOKUP(J1241,[1]作法V!$B$1:$C$9,2,TRUE))</f>
        <v>A~0</v>
      </c>
    </row>
    <row r="1242" spans="1:12">
      <c r="A1242">
        <v>1085</v>
      </c>
      <c r="B1242" t="s">
        <v>22</v>
      </c>
      <c r="C1242" s="3">
        <v>38646</v>
      </c>
      <c r="D1242" s="3">
        <v>38763</v>
      </c>
      <c r="E1242" t="s">
        <v>18</v>
      </c>
      <c r="F1242">
        <v>1</v>
      </c>
      <c r="G1242">
        <v>6048</v>
      </c>
      <c r="H1242">
        <v>6048</v>
      </c>
      <c r="I1242" s="4">
        <v>38686</v>
      </c>
      <c r="J1242" s="5">
        <f t="shared" si="38"/>
        <v>-77</v>
      </c>
      <c r="K1242" s="6" t="str">
        <f t="shared" si="39"/>
        <v>A~0</v>
      </c>
      <c r="L1242" t="str">
        <f>IF(J1242&lt;0,"A~0",VLOOKUP(J1242,[1]作法V!$B$1:$C$9,2,TRUE))</f>
        <v>A~0</v>
      </c>
    </row>
    <row r="1243" spans="1:12">
      <c r="A1243">
        <v>1085</v>
      </c>
      <c r="B1243" t="s">
        <v>22</v>
      </c>
      <c r="C1243" s="3">
        <v>38656</v>
      </c>
      <c r="D1243" s="3">
        <v>38763</v>
      </c>
      <c r="E1243" t="s">
        <v>18</v>
      </c>
      <c r="F1243">
        <v>1</v>
      </c>
      <c r="G1243">
        <v>2100</v>
      </c>
      <c r="H1243">
        <v>2100</v>
      </c>
      <c r="I1243" s="4">
        <v>38686</v>
      </c>
      <c r="J1243" s="5">
        <f t="shared" si="38"/>
        <v>-77</v>
      </c>
      <c r="K1243" s="6" t="str">
        <f t="shared" si="39"/>
        <v>A~0</v>
      </c>
      <c r="L1243" t="str">
        <f>IF(J1243&lt;0,"A~0",VLOOKUP(J1243,[1]作法V!$B$1:$C$9,2,TRUE))</f>
        <v>A~0</v>
      </c>
    </row>
    <row r="1244" spans="1:12">
      <c r="A1244">
        <v>1085</v>
      </c>
      <c r="B1244" t="s">
        <v>22</v>
      </c>
      <c r="C1244" s="3">
        <v>38664</v>
      </c>
      <c r="D1244" s="3">
        <v>38791</v>
      </c>
      <c r="E1244" t="s">
        <v>18</v>
      </c>
      <c r="F1244">
        <v>1</v>
      </c>
      <c r="G1244">
        <v>8190</v>
      </c>
      <c r="H1244">
        <v>8190</v>
      </c>
      <c r="I1244" s="4">
        <v>38686</v>
      </c>
      <c r="J1244" s="5">
        <f t="shared" si="38"/>
        <v>-105</v>
      </c>
      <c r="K1244" s="6" t="str">
        <f t="shared" si="39"/>
        <v>A~0</v>
      </c>
      <c r="L1244" t="str">
        <f>IF(J1244&lt;0,"A~0",VLOOKUP(J1244,[1]作法V!$B$1:$C$9,2,TRUE))</f>
        <v>A~0</v>
      </c>
    </row>
    <row r="1245" spans="1:12">
      <c r="A1245">
        <v>1085</v>
      </c>
      <c r="B1245" t="s">
        <v>22</v>
      </c>
      <c r="C1245" s="3">
        <v>38664</v>
      </c>
      <c r="D1245" s="3">
        <v>38791</v>
      </c>
      <c r="E1245" t="s">
        <v>18</v>
      </c>
      <c r="F1245">
        <v>1</v>
      </c>
      <c r="G1245">
        <v>1155</v>
      </c>
      <c r="H1245">
        <v>1155</v>
      </c>
      <c r="I1245" s="4">
        <v>38686</v>
      </c>
      <c r="J1245" s="5">
        <f t="shared" si="38"/>
        <v>-105</v>
      </c>
      <c r="K1245" s="6" t="str">
        <f t="shared" si="39"/>
        <v>A~0</v>
      </c>
      <c r="L1245" t="str">
        <f>IF(J1245&lt;0,"A~0",VLOOKUP(J1245,[1]作法V!$B$1:$C$9,2,TRUE))</f>
        <v>A~0</v>
      </c>
    </row>
    <row r="1246" spans="1:12">
      <c r="A1246">
        <v>1085</v>
      </c>
      <c r="B1246" t="s">
        <v>22</v>
      </c>
      <c r="C1246" s="3">
        <v>38664</v>
      </c>
      <c r="D1246" s="3">
        <v>38791</v>
      </c>
      <c r="E1246" t="s">
        <v>18</v>
      </c>
      <c r="F1246">
        <v>1</v>
      </c>
      <c r="G1246">
        <v>5775</v>
      </c>
      <c r="H1246">
        <v>5775</v>
      </c>
      <c r="I1246" s="4">
        <v>38686</v>
      </c>
      <c r="J1246" s="5">
        <f t="shared" si="38"/>
        <v>-105</v>
      </c>
      <c r="K1246" s="6" t="str">
        <f t="shared" si="39"/>
        <v>A~0</v>
      </c>
      <c r="L1246" t="str">
        <f>IF(J1246&lt;0,"A~0",VLOOKUP(J1246,[1]作法V!$B$1:$C$9,2,TRUE))</f>
        <v>A~0</v>
      </c>
    </row>
    <row r="1247" spans="1:12">
      <c r="A1247">
        <v>1085</v>
      </c>
      <c r="B1247" t="s">
        <v>22</v>
      </c>
      <c r="C1247" s="3">
        <v>38670</v>
      </c>
      <c r="D1247" s="3">
        <v>38791</v>
      </c>
      <c r="E1247" t="s">
        <v>18</v>
      </c>
      <c r="F1247">
        <v>1</v>
      </c>
      <c r="G1247">
        <v>546</v>
      </c>
      <c r="H1247">
        <v>546</v>
      </c>
      <c r="I1247" s="4">
        <v>38686</v>
      </c>
      <c r="J1247" s="5">
        <f t="shared" si="38"/>
        <v>-105</v>
      </c>
      <c r="K1247" s="6" t="str">
        <f t="shared" si="39"/>
        <v>A~0</v>
      </c>
      <c r="L1247" t="str">
        <f>IF(J1247&lt;0,"A~0",VLOOKUP(J1247,[1]作法V!$B$1:$C$9,2,TRUE))</f>
        <v>A~0</v>
      </c>
    </row>
    <row r="1248" spans="1:12">
      <c r="A1248">
        <v>1085</v>
      </c>
      <c r="B1248" t="s">
        <v>22</v>
      </c>
      <c r="C1248" s="3">
        <v>38678</v>
      </c>
      <c r="D1248" s="3">
        <v>38791</v>
      </c>
      <c r="E1248" t="s">
        <v>18</v>
      </c>
      <c r="F1248">
        <v>1</v>
      </c>
      <c r="G1248">
        <v>1071</v>
      </c>
      <c r="H1248">
        <v>1071</v>
      </c>
      <c r="I1248" s="4">
        <v>38686</v>
      </c>
      <c r="J1248" s="5">
        <f t="shared" si="38"/>
        <v>-105</v>
      </c>
      <c r="K1248" s="6" t="str">
        <f t="shared" si="39"/>
        <v>A~0</v>
      </c>
      <c r="L1248" t="str">
        <f>IF(J1248&lt;0,"A~0",VLOOKUP(J1248,[1]作法V!$B$1:$C$9,2,TRUE))</f>
        <v>A~0</v>
      </c>
    </row>
    <row r="1249" spans="1:12">
      <c r="A1249">
        <v>1085</v>
      </c>
      <c r="B1249" t="s">
        <v>22</v>
      </c>
      <c r="C1249" s="3">
        <v>38684</v>
      </c>
      <c r="D1249" s="3">
        <v>38791</v>
      </c>
      <c r="E1249" t="s">
        <v>18</v>
      </c>
      <c r="F1249">
        <v>1</v>
      </c>
      <c r="G1249">
        <v>4095</v>
      </c>
      <c r="H1249">
        <v>4095</v>
      </c>
      <c r="I1249" s="4">
        <v>38686</v>
      </c>
      <c r="J1249" s="5">
        <f t="shared" si="38"/>
        <v>-105</v>
      </c>
      <c r="K1249" s="6" t="str">
        <f t="shared" si="39"/>
        <v>A~0</v>
      </c>
      <c r="L1249" t="str">
        <f>IF(J1249&lt;0,"A~0",VLOOKUP(J1249,[1]作法V!$B$1:$C$9,2,TRUE))</f>
        <v>A~0</v>
      </c>
    </row>
    <row r="1250" spans="1:12">
      <c r="A1250">
        <v>1090</v>
      </c>
      <c r="B1250" t="s">
        <v>83</v>
      </c>
      <c r="C1250" s="3">
        <v>37980</v>
      </c>
      <c r="D1250" s="3">
        <v>38076</v>
      </c>
      <c r="E1250" t="s">
        <v>18</v>
      </c>
      <c r="F1250">
        <v>1</v>
      </c>
      <c r="G1250">
        <v>12800</v>
      </c>
      <c r="H1250">
        <v>12800</v>
      </c>
      <c r="I1250" s="4">
        <v>38686</v>
      </c>
      <c r="J1250" s="5">
        <f t="shared" si="38"/>
        <v>610</v>
      </c>
      <c r="K1250" s="6" t="str">
        <f t="shared" si="39"/>
        <v>H361~</v>
      </c>
      <c r="L1250" t="str">
        <f>IF(J1250&lt;0,"A~0",VLOOKUP(J1250,[1]作法V!$B$1:$C$9,2,TRUE))</f>
        <v>H361~</v>
      </c>
    </row>
    <row r="1251" spans="1:12">
      <c r="A1251">
        <v>1106</v>
      </c>
      <c r="B1251" t="s">
        <v>23</v>
      </c>
      <c r="C1251" s="3">
        <v>38632</v>
      </c>
      <c r="D1251" s="3">
        <v>38776</v>
      </c>
      <c r="E1251" t="s">
        <v>18</v>
      </c>
      <c r="F1251">
        <v>1</v>
      </c>
      <c r="G1251">
        <v>477</v>
      </c>
      <c r="H1251">
        <v>477</v>
      </c>
      <c r="I1251" s="4">
        <v>38686</v>
      </c>
      <c r="J1251" s="5">
        <f t="shared" si="38"/>
        <v>-90</v>
      </c>
      <c r="K1251" s="6" t="str">
        <f t="shared" si="39"/>
        <v>A~0</v>
      </c>
      <c r="L1251" t="str">
        <f>IF(J1251&lt;0,"A~0",VLOOKUP(J1251,[1]作法V!$B$1:$C$9,2,TRUE))</f>
        <v>A~0</v>
      </c>
    </row>
    <row r="1252" spans="1:12">
      <c r="A1252">
        <v>1106</v>
      </c>
      <c r="B1252" t="s">
        <v>23</v>
      </c>
      <c r="C1252" s="3">
        <v>38638</v>
      </c>
      <c r="D1252" s="3">
        <v>38776</v>
      </c>
      <c r="E1252" t="s">
        <v>18</v>
      </c>
      <c r="F1252">
        <v>1</v>
      </c>
      <c r="G1252">
        <v>77040</v>
      </c>
      <c r="H1252">
        <v>77040</v>
      </c>
      <c r="I1252" s="4">
        <v>38686</v>
      </c>
      <c r="J1252" s="5">
        <f t="shared" si="38"/>
        <v>-90</v>
      </c>
      <c r="K1252" s="6" t="str">
        <f t="shared" si="39"/>
        <v>A~0</v>
      </c>
      <c r="L1252" t="str">
        <f>IF(J1252&lt;0,"A~0",VLOOKUP(J1252,[1]作法V!$B$1:$C$9,2,TRUE))</f>
        <v>A~0</v>
      </c>
    </row>
    <row r="1253" spans="1:12">
      <c r="A1253">
        <v>1106</v>
      </c>
      <c r="B1253" t="s">
        <v>23</v>
      </c>
      <c r="C1253" s="3">
        <v>38645</v>
      </c>
      <c r="D1253" s="3">
        <v>38776</v>
      </c>
      <c r="E1253" t="s">
        <v>18</v>
      </c>
      <c r="F1253">
        <v>1</v>
      </c>
      <c r="G1253">
        <v>75948</v>
      </c>
      <c r="H1253">
        <v>75948</v>
      </c>
      <c r="I1253" s="4">
        <v>38686</v>
      </c>
      <c r="J1253" s="5">
        <f t="shared" si="38"/>
        <v>-90</v>
      </c>
      <c r="K1253" s="6" t="str">
        <f t="shared" si="39"/>
        <v>A~0</v>
      </c>
      <c r="L1253" t="str">
        <f>IF(J1253&lt;0,"A~0",VLOOKUP(J1253,[1]作法V!$B$1:$C$9,2,TRUE))</f>
        <v>A~0</v>
      </c>
    </row>
    <row r="1254" spans="1:12">
      <c r="A1254">
        <v>1106</v>
      </c>
      <c r="B1254" t="s">
        <v>23</v>
      </c>
      <c r="C1254" s="3">
        <v>38656</v>
      </c>
      <c r="D1254" s="3">
        <v>38806</v>
      </c>
      <c r="E1254" t="s">
        <v>18</v>
      </c>
      <c r="F1254">
        <v>1</v>
      </c>
      <c r="G1254">
        <v>15400</v>
      </c>
      <c r="H1254">
        <v>15400</v>
      </c>
      <c r="I1254" s="4">
        <v>38686</v>
      </c>
      <c r="J1254" s="5">
        <f t="shared" si="38"/>
        <v>-120</v>
      </c>
      <c r="K1254" s="6" t="str">
        <f t="shared" si="39"/>
        <v>A~0</v>
      </c>
      <c r="L1254" t="str">
        <f>IF(J1254&lt;0,"A~0",VLOOKUP(J1254,[1]作法V!$B$1:$C$9,2,TRUE))</f>
        <v>A~0</v>
      </c>
    </row>
    <row r="1255" spans="1:12">
      <c r="A1255">
        <v>1106</v>
      </c>
      <c r="B1255" t="s">
        <v>23</v>
      </c>
      <c r="C1255" s="3">
        <v>38656</v>
      </c>
      <c r="D1255" s="3">
        <v>38806</v>
      </c>
      <c r="E1255" t="s">
        <v>18</v>
      </c>
      <c r="F1255">
        <v>1</v>
      </c>
      <c r="G1255">
        <v>2052</v>
      </c>
      <c r="H1255">
        <v>2052</v>
      </c>
      <c r="I1255" s="4">
        <v>38686</v>
      </c>
      <c r="J1255" s="5">
        <f t="shared" si="38"/>
        <v>-120</v>
      </c>
      <c r="K1255" s="6" t="str">
        <f t="shared" si="39"/>
        <v>A~0</v>
      </c>
      <c r="L1255" t="str">
        <f>IF(J1255&lt;0,"A~0",VLOOKUP(J1255,[1]作法V!$B$1:$C$9,2,TRUE))</f>
        <v>A~0</v>
      </c>
    </row>
    <row r="1256" spans="1:12">
      <c r="A1256">
        <v>1106</v>
      </c>
      <c r="B1256" t="s">
        <v>23</v>
      </c>
      <c r="C1256" s="3">
        <v>38671</v>
      </c>
      <c r="D1256" s="3">
        <v>38806</v>
      </c>
      <c r="E1256" t="s">
        <v>18</v>
      </c>
      <c r="F1256">
        <v>1</v>
      </c>
      <c r="G1256">
        <v>578</v>
      </c>
      <c r="H1256">
        <v>578</v>
      </c>
      <c r="I1256" s="4">
        <v>38686</v>
      </c>
      <c r="J1256" s="5">
        <f t="shared" si="38"/>
        <v>-120</v>
      </c>
      <c r="K1256" s="6" t="str">
        <f t="shared" si="39"/>
        <v>A~0</v>
      </c>
      <c r="L1256" t="str">
        <f>IF(J1256&lt;0,"A~0",VLOOKUP(J1256,[1]作法V!$B$1:$C$9,2,TRUE))</f>
        <v>A~0</v>
      </c>
    </row>
    <row r="1257" spans="1:12">
      <c r="A1257">
        <v>1106</v>
      </c>
      <c r="B1257" t="s">
        <v>23</v>
      </c>
      <c r="C1257" s="3">
        <v>38674</v>
      </c>
      <c r="D1257" s="3">
        <v>38806</v>
      </c>
      <c r="E1257" t="s">
        <v>18</v>
      </c>
      <c r="F1257">
        <v>1</v>
      </c>
      <c r="G1257">
        <v>255750</v>
      </c>
      <c r="H1257">
        <v>255750</v>
      </c>
      <c r="I1257" s="4">
        <v>38686</v>
      </c>
      <c r="J1257" s="5">
        <f t="shared" si="38"/>
        <v>-120</v>
      </c>
      <c r="K1257" s="6" t="str">
        <f t="shared" si="39"/>
        <v>A~0</v>
      </c>
      <c r="L1257" t="str">
        <f>IF(J1257&lt;0,"A~0",VLOOKUP(J1257,[1]作法V!$B$1:$C$9,2,TRUE))</f>
        <v>A~0</v>
      </c>
    </row>
    <row r="1258" spans="1:12">
      <c r="A1258">
        <v>1106</v>
      </c>
      <c r="B1258" t="s">
        <v>23</v>
      </c>
      <c r="C1258" s="3">
        <v>38678</v>
      </c>
      <c r="D1258" s="3">
        <v>38806</v>
      </c>
      <c r="E1258" t="s">
        <v>18</v>
      </c>
      <c r="F1258">
        <v>1</v>
      </c>
      <c r="G1258">
        <v>1155</v>
      </c>
      <c r="H1258">
        <v>1155</v>
      </c>
      <c r="I1258" s="4">
        <v>38686</v>
      </c>
      <c r="J1258" s="5">
        <f t="shared" si="38"/>
        <v>-120</v>
      </c>
      <c r="K1258" s="6" t="str">
        <f t="shared" si="39"/>
        <v>A~0</v>
      </c>
      <c r="L1258" t="str">
        <f>IF(J1258&lt;0,"A~0",VLOOKUP(J1258,[1]作法V!$B$1:$C$9,2,TRUE))</f>
        <v>A~0</v>
      </c>
    </row>
    <row r="1259" spans="1:12">
      <c r="A1259">
        <v>1106</v>
      </c>
      <c r="B1259" t="s">
        <v>23</v>
      </c>
      <c r="C1259" s="3">
        <v>38681</v>
      </c>
      <c r="D1259" s="3">
        <v>38837</v>
      </c>
      <c r="E1259" t="s">
        <v>18</v>
      </c>
      <c r="F1259">
        <v>1</v>
      </c>
      <c r="G1259">
        <v>37975</v>
      </c>
      <c r="H1259">
        <v>37975</v>
      </c>
      <c r="I1259" s="4">
        <v>38686</v>
      </c>
      <c r="J1259" s="5">
        <f t="shared" si="38"/>
        <v>-151</v>
      </c>
      <c r="K1259" s="6" t="str">
        <f t="shared" si="39"/>
        <v>A~0</v>
      </c>
      <c r="L1259" t="str">
        <f>IF(J1259&lt;0,"A~0",VLOOKUP(J1259,[1]作法V!$B$1:$C$9,2,TRUE))</f>
        <v>A~0</v>
      </c>
    </row>
    <row r="1260" spans="1:12">
      <c r="A1260">
        <v>1109</v>
      </c>
      <c r="B1260" t="s">
        <v>24</v>
      </c>
      <c r="C1260" s="3">
        <v>38524</v>
      </c>
      <c r="D1260" s="3">
        <v>38594</v>
      </c>
      <c r="E1260" t="s">
        <v>17</v>
      </c>
      <c r="F1260">
        <v>31.355</v>
      </c>
      <c r="G1260">
        <v>560</v>
      </c>
      <c r="H1260">
        <v>17559</v>
      </c>
      <c r="I1260" s="4">
        <v>38686</v>
      </c>
      <c r="J1260" s="5">
        <f t="shared" si="38"/>
        <v>92</v>
      </c>
      <c r="K1260" s="6" t="str">
        <f t="shared" si="39"/>
        <v>E91~120</v>
      </c>
      <c r="L1260" t="str">
        <f>IF(J1260&lt;0,"A~0",VLOOKUP(J1260,[1]作法V!$B$1:$C$9,2,TRUE))</f>
        <v>E91~120</v>
      </c>
    </row>
    <row r="1261" spans="1:12">
      <c r="A1261">
        <v>1109</v>
      </c>
      <c r="B1261" t="s">
        <v>24</v>
      </c>
      <c r="C1261" s="3">
        <v>38524</v>
      </c>
      <c r="D1261" s="3">
        <v>38594</v>
      </c>
      <c r="E1261" t="s">
        <v>17</v>
      </c>
      <c r="F1261">
        <v>31.355</v>
      </c>
      <c r="G1261">
        <v>560</v>
      </c>
      <c r="H1261">
        <v>17559</v>
      </c>
      <c r="I1261" s="4">
        <v>38686</v>
      </c>
      <c r="J1261" s="5">
        <f t="shared" si="38"/>
        <v>92</v>
      </c>
      <c r="K1261" s="6" t="str">
        <f t="shared" si="39"/>
        <v>E91~120</v>
      </c>
      <c r="L1261" t="str">
        <f>IF(J1261&lt;0,"A~0",VLOOKUP(J1261,[1]作法V!$B$1:$C$9,2,TRUE))</f>
        <v>E91~120</v>
      </c>
    </row>
    <row r="1262" spans="1:12">
      <c r="A1262">
        <v>1109</v>
      </c>
      <c r="B1262" t="s">
        <v>24</v>
      </c>
      <c r="C1262" s="3">
        <v>38524</v>
      </c>
      <c r="D1262" s="3">
        <v>38594</v>
      </c>
      <c r="E1262" t="s">
        <v>17</v>
      </c>
      <c r="F1262">
        <v>31.355</v>
      </c>
      <c r="G1262">
        <v>2695.45</v>
      </c>
      <c r="H1262">
        <v>84516</v>
      </c>
      <c r="I1262" s="4">
        <v>38686</v>
      </c>
      <c r="J1262" s="5">
        <f t="shared" si="38"/>
        <v>92</v>
      </c>
      <c r="K1262" s="6" t="str">
        <f t="shared" si="39"/>
        <v>E91~120</v>
      </c>
      <c r="L1262" t="str">
        <f>IF(J1262&lt;0,"A~0",VLOOKUP(J1262,[1]作法V!$B$1:$C$9,2,TRUE))</f>
        <v>E91~120</v>
      </c>
    </row>
    <row r="1263" spans="1:12">
      <c r="A1263">
        <v>1109</v>
      </c>
      <c r="B1263" t="s">
        <v>24</v>
      </c>
      <c r="C1263" s="3">
        <v>38566</v>
      </c>
      <c r="D1263" s="3">
        <v>38655</v>
      </c>
      <c r="E1263" t="s">
        <v>17</v>
      </c>
      <c r="F1263">
        <v>31.684999999999999</v>
      </c>
      <c r="G1263">
        <v>1239</v>
      </c>
      <c r="H1263">
        <v>39258</v>
      </c>
      <c r="I1263" s="4">
        <v>38686</v>
      </c>
      <c r="J1263" s="5">
        <f t="shared" si="38"/>
        <v>31</v>
      </c>
      <c r="K1263" s="6" t="str">
        <f t="shared" si="39"/>
        <v>C31~60</v>
      </c>
      <c r="L1263" t="str">
        <f>IF(J1263&lt;0,"A~0",VLOOKUP(J1263,[1]作法V!$B$1:$C$9,2,TRUE))</f>
        <v>C31~60</v>
      </c>
    </row>
    <row r="1264" spans="1:12">
      <c r="A1264">
        <v>1109</v>
      </c>
      <c r="B1264" t="s">
        <v>24</v>
      </c>
      <c r="C1264" s="3">
        <v>38566</v>
      </c>
      <c r="D1264" s="3">
        <v>38655</v>
      </c>
      <c r="E1264" t="s">
        <v>17</v>
      </c>
      <c r="F1264">
        <v>31.684999999999999</v>
      </c>
      <c r="G1264">
        <v>305.97000000000003</v>
      </c>
      <c r="H1264">
        <v>9695</v>
      </c>
      <c r="I1264" s="4">
        <v>38686</v>
      </c>
      <c r="J1264" s="5">
        <f t="shared" si="38"/>
        <v>31</v>
      </c>
      <c r="K1264" s="6" t="str">
        <f t="shared" si="39"/>
        <v>C31~60</v>
      </c>
      <c r="L1264" t="str">
        <f>IF(J1264&lt;0,"A~0",VLOOKUP(J1264,[1]作法V!$B$1:$C$9,2,TRUE))</f>
        <v>C31~60</v>
      </c>
    </row>
    <row r="1265" spans="1:12">
      <c r="A1265">
        <v>1109</v>
      </c>
      <c r="B1265" t="s">
        <v>24</v>
      </c>
      <c r="C1265" s="3">
        <v>38566</v>
      </c>
      <c r="D1265" s="3">
        <v>38655</v>
      </c>
      <c r="E1265" t="s">
        <v>17</v>
      </c>
      <c r="F1265">
        <v>31.684999999999999</v>
      </c>
      <c r="G1265">
        <v>1176</v>
      </c>
      <c r="H1265">
        <v>37262</v>
      </c>
      <c r="I1265" s="4">
        <v>38686</v>
      </c>
      <c r="J1265" s="5">
        <f t="shared" si="38"/>
        <v>31</v>
      </c>
      <c r="K1265" s="6" t="str">
        <f t="shared" si="39"/>
        <v>C31~60</v>
      </c>
      <c r="L1265" t="str">
        <f>IF(J1265&lt;0,"A~0",VLOOKUP(J1265,[1]作法V!$B$1:$C$9,2,TRUE))</f>
        <v>C31~60</v>
      </c>
    </row>
    <row r="1266" spans="1:12">
      <c r="A1266">
        <v>1109</v>
      </c>
      <c r="B1266" t="s">
        <v>24</v>
      </c>
      <c r="C1266" s="3">
        <v>38567</v>
      </c>
      <c r="D1266" s="3">
        <v>38655</v>
      </c>
      <c r="E1266" t="s">
        <v>17</v>
      </c>
      <c r="F1266">
        <v>31.684999999999999</v>
      </c>
      <c r="G1266">
        <v>5828</v>
      </c>
      <c r="H1266">
        <v>184660</v>
      </c>
      <c r="I1266" s="4">
        <v>38686</v>
      </c>
      <c r="J1266" s="5">
        <f t="shared" si="38"/>
        <v>31</v>
      </c>
      <c r="K1266" s="6" t="str">
        <f t="shared" si="39"/>
        <v>C31~60</v>
      </c>
      <c r="L1266" t="str">
        <f>IF(J1266&lt;0,"A~0",VLOOKUP(J1266,[1]作法V!$B$1:$C$9,2,TRUE))</f>
        <v>C31~60</v>
      </c>
    </row>
    <row r="1267" spans="1:12">
      <c r="A1267">
        <v>1109</v>
      </c>
      <c r="B1267" t="s">
        <v>24</v>
      </c>
      <c r="C1267" s="3">
        <v>38573</v>
      </c>
      <c r="D1267" s="3">
        <v>38655</v>
      </c>
      <c r="E1267" t="s">
        <v>17</v>
      </c>
      <c r="F1267">
        <v>31.684999999999999</v>
      </c>
      <c r="G1267">
        <v>795</v>
      </c>
      <c r="H1267">
        <v>25190</v>
      </c>
      <c r="I1267" s="4">
        <v>38686</v>
      </c>
      <c r="J1267" s="5">
        <f t="shared" si="38"/>
        <v>31</v>
      </c>
      <c r="K1267" s="6" t="str">
        <f t="shared" si="39"/>
        <v>C31~60</v>
      </c>
      <c r="L1267" t="str">
        <f>IF(J1267&lt;0,"A~0",VLOOKUP(J1267,[1]作法V!$B$1:$C$9,2,TRUE))</f>
        <v>C31~60</v>
      </c>
    </row>
    <row r="1268" spans="1:12">
      <c r="A1268">
        <v>1109</v>
      </c>
      <c r="B1268" t="s">
        <v>24</v>
      </c>
      <c r="C1268" s="3">
        <v>38573</v>
      </c>
      <c r="D1268" s="3">
        <v>38655</v>
      </c>
      <c r="E1268" t="s">
        <v>17</v>
      </c>
      <c r="F1268">
        <v>31.684999999999999</v>
      </c>
      <c r="G1268">
        <v>399.49</v>
      </c>
      <c r="H1268">
        <v>12658</v>
      </c>
      <c r="I1268" s="4">
        <v>38686</v>
      </c>
      <c r="J1268" s="5">
        <f t="shared" si="38"/>
        <v>31</v>
      </c>
      <c r="K1268" s="6" t="str">
        <f t="shared" si="39"/>
        <v>C31~60</v>
      </c>
      <c r="L1268" t="str">
        <f>IF(J1268&lt;0,"A~0",VLOOKUP(J1268,[1]作法V!$B$1:$C$9,2,TRUE))</f>
        <v>C31~60</v>
      </c>
    </row>
    <row r="1269" spans="1:12">
      <c r="A1269">
        <v>1109</v>
      </c>
      <c r="B1269" t="s">
        <v>24</v>
      </c>
      <c r="C1269" s="3">
        <v>38573</v>
      </c>
      <c r="D1269" s="3">
        <v>38655</v>
      </c>
      <c r="E1269" t="s">
        <v>17</v>
      </c>
      <c r="F1269">
        <v>31.684999999999999</v>
      </c>
      <c r="G1269">
        <v>728.5</v>
      </c>
      <c r="H1269">
        <v>23083</v>
      </c>
      <c r="I1269" s="4">
        <v>38686</v>
      </c>
      <c r="J1269" s="5">
        <f t="shared" si="38"/>
        <v>31</v>
      </c>
      <c r="K1269" s="6" t="str">
        <f t="shared" si="39"/>
        <v>C31~60</v>
      </c>
      <c r="L1269" t="str">
        <f>IF(J1269&lt;0,"A~0",VLOOKUP(J1269,[1]作法V!$B$1:$C$9,2,TRUE))</f>
        <v>C31~60</v>
      </c>
    </row>
    <row r="1270" spans="1:12">
      <c r="A1270">
        <v>1109</v>
      </c>
      <c r="B1270" t="s">
        <v>24</v>
      </c>
      <c r="C1270" s="3">
        <v>38576</v>
      </c>
      <c r="D1270" s="3">
        <v>38655</v>
      </c>
      <c r="E1270" t="s">
        <v>17</v>
      </c>
      <c r="F1270">
        <v>31.875</v>
      </c>
      <c r="G1270">
        <v>1804.93</v>
      </c>
      <c r="H1270">
        <v>57532</v>
      </c>
      <c r="I1270" s="4">
        <v>38686</v>
      </c>
      <c r="J1270" s="5">
        <f t="shared" si="38"/>
        <v>31</v>
      </c>
      <c r="K1270" s="6" t="str">
        <f t="shared" si="39"/>
        <v>C31~60</v>
      </c>
      <c r="L1270" t="str">
        <f>IF(J1270&lt;0,"A~0",VLOOKUP(J1270,[1]作法V!$B$1:$C$9,2,TRUE))</f>
        <v>C31~60</v>
      </c>
    </row>
    <row r="1271" spans="1:12">
      <c r="A1271">
        <v>1109</v>
      </c>
      <c r="B1271" t="s">
        <v>24</v>
      </c>
      <c r="C1271" s="3">
        <v>38579</v>
      </c>
      <c r="D1271" s="3">
        <v>38655</v>
      </c>
      <c r="E1271" t="s">
        <v>17</v>
      </c>
      <c r="F1271">
        <v>31.875</v>
      </c>
      <c r="G1271">
        <v>7.6</v>
      </c>
      <c r="H1271">
        <v>242</v>
      </c>
      <c r="I1271" s="4">
        <v>38686</v>
      </c>
      <c r="J1271" s="5">
        <f t="shared" si="38"/>
        <v>31</v>
      </c>
      <c r="K1271" s="6" t="str">
        <f t="shared" si="39"/>
        <v>C31~60</v>
      </c>
      <c r="L1271" t="str">
        <f>IF(J1271&lt;0,"A~0",VLOOKUP(J1271,[1]作法V!$B$1:$C$9,2,TRUE))</f>
        <v>C31~60</v>
      </c>
    </row>
    <row r="1272" spans="1:12">
      <c r="A1272">
        <v>1109</v>
      </c>
      <c r="B1272" t="s">
        <v>24</v>
      </c>
      <c r="C1272" s="3">
        <v>38579</v>
      </c>
      <c r="D1272" s="3">
        <v>38655</v>
      </c>
      <c r="E1272" t="s">
        <v>17</v>
      </c>
      <c r="F1272">
        <v>31.875</v>
      </c>
      <c r="G1272">
        <v>435.85</v>
      </c>
      <c r="H1272">
        <v>13893</v>
      </c>
      <c r="I1272" s="4">
        <v>38686</v>
      </c>
      <c r="J1272" s="5">
        <f t="shared" si="38"/>
        <v>31</v>
      </c>
      <c r="K1272" s="6" t="str">
        <f t="shared" si="39"/>
        <v>C31~60</v>
      </c>
      <c r="L1272" t="str">
        <f>IF(J1272&lt;0,"A~0",VLOOKUP(J1272,[1]作法V!$B$1:$C$9,2,TRUE))</f>
        <v>C31~60</v>
      </c>
    </row>
    <row r="1273" spans="1:12">
      <c r="A1273">
        <v>1109</v>
      </c>
      <c r="B1273" t="s">
        <v>24</v>
      </c>
      <c r="C1273" s="3">
        <v>38579</v>
      </c>
      <c r="D1273" s="3">
        <v>38655</v>
      </c>
      <c r="E1273" t="s">
        <v>17</v>
      </c>
      <c r="F1273">
        <v>31.875</v>
      </c>
      <c r="G1273">
        <v>83.62</v>
      </c>
      <c r="H1273">
        <v>2665</v>
      </c>
      <c r="I1273" s="4">
        <v>38686</v>
      </c>
      <c r="J1273" s="5">
        <f t="shared" si="38"/>
        <v>31</v>
      </c>
      <c r="K1273" s="6" t="str">
        <f t="shared" si="39"/>
        <v>C31~60</v>
      </c>
      <c r="L1273" t="str">
        <f>IF(J1273&lt;0,"A~0",VLOOKUP(J1273,[1]作法V!$B$1:$C$9,2,TRUE))</f>
        <v>C31~60</v>
      </c>
    </row>
    <row r="1274" spans="1:12">
      <c r="A1274">
        <v>1109</v>
      </c>
      <c r="B1274" t="s">
        <v>24</v>
      </c>
      <c r="C1274" s="3">
        <v>38579</v>
      </c>
      <c r="D1274" s="3">
        <v>38655</v>
      </c>
      <c r="E1274" t="s">
        <v>17</v>
      </c>
      <c r="F1274">
        <v>31.875</v>
      </c>
      <c r="G1274">
        <v>150.52000000000001</v>
      </c>
      <c r="H1274">
        <v>4798</v>
      </c>
      <c r="I1274" s="4">
        <v>38686</v>
      </c>
      <c r="J1274" s="5">
        <f t="shared" si="38"/>
        <v>31</v>
      </c>
      <c r="K1274" s="6" t="str">
        <f t="shared" si="39"/>
        <v>C31~60</v>
      </c>
      <c r="L1274" t="str">
        <f>IF(J1274&lt;0,"A~0",VLOOKUP(J1274,[1]作法V!$B$1:$C$9,2,TRUE))</f>
        <v>C31~60</v>
      </c>
    </row>
    <row r="1275" spans="1:12">
      <c r="A1275">
        <v>1109</v>
      </c>
      <c r="B1275" t="s">
        <v>24</v>
      </c>
      <c r="C1275" s="3">
        <v>38579</v>
      </c>
      <c r="D1275" s="3">
        <v>38655</v>
      </c>
      <c r="E1275" t="s">
        <v>17</v>
      </c>
      <c r="F1275">
        <v>31.875</v>
      </c>
      <c r="G1275">
        <v>37</v>
      </c>
      <c r="H1275">
        <v>1179</v>
      </c>
      <c r="I1275" s="4">
        <v>38686</v>
      </c>
      <c r="J1275" s="5">
        <f t="shared" si="38"/>
        <v>31</v>
      </c>
      <c r="K1275" s="6" t="str">
        <f t="shared" si="39"/>
        <v>C31~60</v>
      </c>
      <c r="L1275" t="str">
        <f>IF(J1275&lt;0,"A~0",VLOOKUP(J1275,[1]作法V!$B$1:$C$9,2,TRUE))</f>
        <v>C31~60</v>
      </c>
    </row>
    <row r="1276" spans="1:12">
      <c r="A1276">
        <v>1109</v>
      </c>
      <c r="B1276" t="s">
        <v>24</v>
      </c>
      <c r="C1276" s="3">
        <v>38579</v>
      </c>
      <c r="D1276" s="3">
        <v>38655</v>
      </c>
      <c r="E1276" t="s">
        <v>17</v>
      </c>
      <c r="F1276">
        <v>31.875</v>
      </c>
      <c r="G1276">
        <v>440.92</v>
      </c>
      <c r="H1276">
        <v>14054</v>
      </c>
      <c r="I1276" s="4">
        <v>38686</v>
      </c>
      <c r="J1276" s="5">
        <f t="shared" si="38"/>
        <v>31</v>
      </c>
      <c r="K1276" s="6" t="str">
        <f t="shared" si="39"/>
        <v>C31~60</v>
      </c>
      <c r="L1276" t="str">
        <f>IF(J1276&lt;0,"A~0",VLOOKUP(J1276,[1]作法V!$B$1:$C$9,2,TRUE))</f>
        <v>C31~60</v>
      </c>
    </row>
    <row r="1277" spans="1:12">
      <c r="A1277">
        <v>1109</v>
      </c>
      <c r="B1277" t="s">
        <v>24</v>
      </c>
      <c r="C1277" s="3">
        <v>38588</v>
      </c>
      <c r="D1277" s="3">
        <v>38655</v>
      </c>
      <c r="E1277" t="s">
        <v>17</v>
      </c>
      <c r="F1277">
        <v>31.905000000000001</v>
      </c>
      <c r="G1277">
        <v>4010.9</v>
      </c>
      <c r="H1277">
        <v>127968</v>
      </c>
      <c r="I1277" s="4">
        <v>38686</v>
      </c>
      <c r="J1277" s="5">
        <f t="shared" si="38"/>
        <v>31</v>
      </c>
      <c r="K1277" s="6" t="str">
        <f t="shared" si="39"/>
        <v>C31~60</v>
      </c>
      <c r="L1277" t="str">
        <f>IF(J1277&lt;0,"A~0",VLOOKUP(J1277,[1]作法V!$B$1:$C$9,2,TRUE))</f>
        <v>C31~60</v>
      </c>
    </row>
    <row r="1278" spans="1:12">
      <c r="A1278">
        <v>1109</v>
      </c>
      <c r="B1278" t="s">
        <v>24</v>
      </c>
      <c r="C1278" s="3">
        <v>38588</v>
      </c>
      <c r="D1278" s="3">
        <v>38655</v>
      </c>
      <c r="E1278" t="s">
        <v>17</v>
      </c>
      <c r="F1278">
        <v>31.905000000000001</v>
      </c>
      <c r="G1278">
        <v>1180</v>
      </c>
      <c r="H1278">
        <v>37648</v>
      </c>
      <c r="I1278" s="4">
        <v>38686</v>
      </c>
      <c r="J1278" s="5">
        <f t="shared" si="38"/>
        <v>31</v>
      </c>
      <c r="K1278" s="6" t="str">
        <f t="shared" si="39"/>
        <v>C31~60</v>
      </c>
      <c r="L1278" t="str">
        <f>IF(J1278&lt;0,"A~0",VLOOKUP(J1278,[1]作法V!$B$1:$C$9,2,TRUE))</f>
        <v>C31~60</v>
      </c>
    </row>
    <row r="1279" spans="1:12">
      <c r="A1279">
        <v>1109</v>
      </c>
      <c r="B1279" t="s">
        <v>24</v>
      </c>
      <c r="C1279" s="3">
        <v>38590</v>
      </c>
      <c r="D1279" s="3">
        <v>38655</v>
      </c>
      <c r="E1279" t="s">
        <v>17</v>
      </c>
      <c r="F1279">
        <v>31.905000000000001</v>
      </c>
      <c r="G1279">
        <v>1546.32</v>
      </c>
      <c r="H1279">
        <v>49335</v>
      </c>
      <c r="I1279" s="4">
        <v>38686</v>
      </c>
      <c r="J1279" s="5">
        <f t="shared" si="38"/>
        <v>31</v>
      </c>
      <c r="K1279" s="6" t="str">
        <f t="shared" si="39"/>
        <v>C31~60</v>
      </c>
      <c r="L1279" t="str">
        <f>IF(J1279&lt;0,"A~0",VLOOKUP(J1279,[1]作法V!$B$1:$C$9,2,TRUE))</f>
        <v>C31~60</v>
      </c>
    </row>
    <row r="1280" spans="1:12">
      <c r="A1280">
        <v>1109</v>
      </c>
      <c r="B1280" t="s">
        <v>24</v>
      </c>
      <c r="C1280" s="3">
        <v>38594</v>
      </c>
      <c r="D1280" s="3">
        <v>38686</v>
      </c>
      <c r="E1280" t="s">
        <v>17</v>
      </c>
      <c r="F1280">
        <v>31.905000000000001</v>
      </c>
      <c r="G1280">
        <v>2914</v>
      </c>
      <c r="H1280">
        <v>92971</v>
      </c>
      <c r="I1280" s="4">
        <v>38686</v>
      </c>
      <c r="J1280" s="5">
        <f t="shared" si="38"/>
        <v>0</v>
      </c>
      <c r="K1280" s="6" t="str">
        <f t="shared" si="39"/>
        <v>A~0</v>
      </c>
      <c r="L1280" t="str">
        <f>IF(J1280&lt;0,"A~0",VLOOKUP(J1280,[1]作法V!$B$1:$C$9,2,TRUE))</f>
        <v>A~0</v>
      </c>
    </row>
    <row r="1281" spans="1:12">
      <c r="A1281">
        <v>1109</v>
      </c>
      <c r="B1281" t="s">
        <v>24</v>
      </c>
      <c r="C1281" s="3">
        <v>38594</v>
      </c>
      <c r="D1281" s="3">
        <v>38686</v>
      </c>
      <c r="E1281" t="s">
        <v>17</v>
      </c>
      <c r="F1281">
        <v>31.905000000000001</v>
      </c>
      <c r="G1281">
        <v>1239</v>
      </c>
      <c r="H1281">
        <v>39530</v>
      </c>
      <c r="I1281" s="4">
        <v>38686</v>
      </c>
      <c r="J1281" s="5">
        <f t="shared" si="38"/>
        <v>0</v>
      </c>
      <c r="K1281" s="6" t="str">
        <f t="shared" si="39"/>
        <v>A~0</v>
      </c>
      <c r="L1281" t="str">
        <f>IF(J1281&lt;0,"A~0",VLOOKUP(J1281,[1]作法V!$B$1:$C$9,2,TRUE))</f>
        <v>A~0</v>
      </c>
    </row>
    <row r="1282" spans="1:12">
      <c r="A1282">
        <v>1109</v>
      </c>
      <c r="B1282" t="s">
        <v>24</v>
      </c>
      <c r="C1282" s="3">
        <v>38598</v>
      </c>
      <c r="D1282" s="3">
        <v>38686</v>
      </c>
      <c r="E1282" t="s">
        <v>17</v>
      </c>
      <c r="F1282">
        <v>32.195</v>
      </c>
      <c r="G1282">
        <v>731.34</v>
      </c>
      <c r="H1282">
        <v>23545</v>
      </c>
      <c r="I1282" s="4">
        <v>38686</v>
      </c>
      <c r="J1282" s="5">
        <f t="shared" ref="J1282:J1345" si="40">I1282-D1282</f>
        <v>0</v>
      </c>
      <c r="K1282" s="6" t="str">
        <f t="shared" ref="K1282:K1345" si="41">IF(J1282&lt;1,"A~0",IF(J1282&lt;31,"B1~30",IF(J1282&lt;61,"C31~60",IF(J1282&lt;91,"D61~90",IF(J1282&lt;121,"E91~120",IF(J1282&lt;181,"F121~180",IF(J1282&lt;361,"G181~360","H361~")))))))</f>
        <v>A~0</v>
      </c>
      <c r="L1282" t="str">
        <f>IF(J1282&lt;0,"A~0",VLOOKUP(J1282,[1]作法V!$B$1:$C$9,2,TRUE))</f>
        <v>A~0</v>
      </c>
    </row>
    <row r="1283" spans="1:12">
      <c r="A1283">
        <v>1109</v>
      </c>
      <c r="B1283" t="s">
        <v>24</v>
      </c>
      <c r="C1283" s="3">
        <v>38598</v>
      </c>
      <c r="D1283" s="3">
        <v>38686</v>
      </c>
      <c r="E1283" t="s">
        <v>17</v>
      </c>
      <c r="F1283">
        <v>32.195</v>
      </c>
      <c r="G1283">
        <v>687.72</v>
      </c>
      <c r="H1283">
        <v>22141</v>
      </c>
      <c r="I1283" s="4">
        <v>38686</v>
      </c>
      <c r="J1283" s="5">
        <f t="shared" si="40"/>
        <v>0</v>
      </c>
      <c r="K1283" s="6" t="str">
        <f t="shared" si="41"/>
        <v>A~0</v>
      </c>
      <c r="L1283" t="str">
        <f>IF(J1283&lt;0,"A~0",VLOOKUP(J1283,[1]作法V!$B$1:$C$9,2,TRUE))</f>
        <v>A~0</v>
      </c>
    </row>
    <row r="1284" spans="1:12">
      <c r="A1284">
        <v>1109</v>
      </c>
      <c r="B1284" t="s">
        <v>24</v>
      </c>
      <c r="C1284" s="3">
        <v>38600</v>
      </c>
      <c r="D1284" s="3">
        <v>38686</v>
      </c>
      <c r="E1284" t="s">
        <v>17</v>
      </c>
      <c r="F1284">
        <v>32.195</v>
      </c>
      <c r="G1284">
        <v>5026.6499999999996</v>
      </c>
      <c r="H1284">
        <v>161833</v>
      </c>
      <c r="I1284" s="4">
        <v>38686</v>
      </c>
      <c r="J1284" s="5">
        <f t="shared" si="40"/>
        <v>0</v>
      </c>
      <c r="K1284" s="6" t="str">
        <f t="shared" si="41"/>
        <v>A~0</v>
      </c>
      <c r="L1284" t="str">
        <f>IF(J1284&lt;0,"A~0",VLOOKUP(J1284,[1]作法V!$B$1:$C$9,2,TRUE))</f>
        <v>A~0</v>
      </c>
    </row>
    <row r="1285" spans="1:12">
      <c r="A1285">
        <v>1109</v>
      </c>
      <c r="B1285" t="s">
        <v>24</v>
      </c>
      <c r="C1285" s="3">
        <v>38600</v>
      </c>
      <c r="D1285" s="3">
        <v>38686</v>
      </c>
      <c r="E1285" t="s">
        <v>17</v>
      </c>
      <c r="F1285">
        <v>32.195</v>
      </c>
      <c r="G1285">
        <v>560</v>
      </c>
      <c r="H1285">
        <v>18029</v>
      </c>
      <c r="I1285" s="4">
        <v>38686</v>
      </c>
      <c r="J1285" s="5">
        <f t="shared" si="40"/>
        <v>0</v>
      </c>
      <c r="K1285" s="6" t="str">
        <f t="shared" si="41"/>
        <v>A~0</v>
      </c>
      <c r="L1285" t="str">
        <f>IF(J1285&lt;0,"A~0",VLOOKUP(J1285,[1]作法V!$B$1:$C$9,2,TRUE))</f>
        <v>A~0</v>
      </c>
    </row>
    <row r="1286" spans="1:12">
      <c r="A1286">
        <v>1109</v>
      </c>
      <c r="B1286" t="s">
        <v>24</v>
      </c>
      <c r="C1286" s="3">
        <v>38605</v>
      </c>
      <c r="D1286" s="3">
        <v>38686</v>
      </c>
      <c r="E1286" t="s">
        <v>17</v>
      </c>
      <c r="F1286">
        <v>32.195</v>
      </c>
      <c r="G1286">
        <v>560</v>
      </c>
      <c r="H1286">
        <v>18029</v>
      </c>
      <c r="I1286" s="4">
        <v>38686</v>
      </c>
      <c r="J1286" s="5">
        <f t="shared" si="40"/>
        <v>0</v>
      </c>
      <c r="K1286" s="6" t="str">
        <f t="shared" si="41"/>
        <v>A~0</v>
      </c>
      <c r="L1286" t="str">
        <f>IF(J1286&lt;0,"A~0",VLOOKUP(J1286,[1]作法V!$B$1:$C$9,2,TRUE))</f>
        <v>A~0</v>
      </c>
    </row>
    <row r="1287" spans="1:12">
      <c r="A1287">
        <v>1109</v>
      </c>
      <c r="B1287" t="s">
        <v>24</v>
      </c>
      <c r="C1287" s="3">
        <v>38607</v>
      </c>
      <c r="D1287" s="3">
        <v>38686</v>
      </c>
      <c r="E1287" t="s">
        <v>17</v>
      </c>
      <c r="F1287">
        <v>32.365000000000002</v>
      </c>
      <c r="G1287">
        <v>2206</v>
      </c>
      <c r="H1287">
        <v>71397</v>
      </c>
      <c r="I1287" s="4">
        <v>38686</v>
      </c>
      <c r="J1287" s="5">
        <f t="shared" si="40"/>
        <v>0</v>
      </c>
      <c r="K1287" s="6" t="str">
        <f t="shared" si="41"/>
        <v>A~0</v>
      </c>
      <c r="L1287" t="str">
        <f>IF(J1287&lt;0,"A~0",VLOOKUP(J1287,[1]作法V!$B$1:$C$9,2,TRUE))</f>
        <v>A~0</v>
      </c>
    </row>
    <row r="1288" spans="1:12">
      <c r="A1288">
        <v>1109</v>
      </c>
      <c r="B1288" t="s">
        <v>24</v>
      </c>
      <c r="C1288" s="3">
        <v>38614</v>
      </c>
      <c r="D1288" s="3">
        <v>38686</v>
      </c>
      <c r="E1288" t="s">
        <v>17</v>
      </c>
      <c r="F1288">
        <v>32.365000000000002</v>
      </c>
      <c r="G1288">
        <v>840</v>
      </c>
      <c r="H1288">
        <v>27187</v>
      </c>
      <c r="I1288" s="4">
        <v>38686</v>
      </c>
      <c r="J1288" s="5">
        <f t="shared" si="40"/>
        <v>0</v>
      </c>
      <c r="K1288" s="6" t="str">
        <f t="shared" si="41"/>
        <v>A~0</v>
      </c>
      <c r="L1288" t="str">
        <f>IF(J1288&lt;0,"A~0",VLOOKUP(J1288,[1]作法V!$B$1:$C$9,2,TRUE))</f>
        <v>A~0</v>
      </c>
    </row>
    <row r="1289" spans="1:12">
      <c r="A1289">
        <v>1109</v>
      </c>
      <c r="B1289" t="s">
        <v>24</v>
      </c>
      <c r="C1289" s="3">
        <v>38614</v>
      </c>
      <c r="D1289" s="3">
        <v>38686</v>
      </c>
      <c r="E1289" t="s">
        <v>17</v>
      </c>
      <c r="F1289">
        <v>32.365000000000002</v>
      </c>
      <c r="G1289">
        <v>280</v>
      </c>
      <c r="H1289">
        <v>9062</v>
      </c>
      <c r="I1289" s="4">
        <v>38686</v>
      </c>
      <c r="J1289" s="5">
        <f t="shared" si="40"/>
        <v>0</v>
      </c>
      <c r="K1289" s="6" t="str">
        <f t="shared" si="41"/>
        <v>A~0</v>
      </c>
      <c r="L1289" t="str">
        <f>IF(J1289&lt;0,"A~0",VLOOKUP(J1289,[1]作法V!$B$1:$C$9,2,TRUE))</f>
        <v>A~0</v>
      </c>
    </row>
    <row r="1290" spans="1:12">
      <c r="A1290">
        <v>1109</v>
      </c>
      <c r="B1290" t="s">
        <v>24</v>
      </c>
      <c r="C1290" s="3">
        <v>38614</v>
      </c>
      <c r="D1290" s="3">
        <v>38686</v>
      </c>
      <c r="E1290" t="s">
        <v>17</v>
      </c>
      <c r="F1290">
        <v>32.365000000000002</v>
      </c>
      <c r="G1290">
        <v>1400</v>
      </c>
      <c r="H1290">
        <v>45311</v>
      </c>
      <c r="I1290" s="4">
        <v>38686</v>
      </c>
      <c r="J1290" s="5">
        <f t="shared" si="40"/>
        <v>0</v>
      </c>
      <c r="K1290" s="6" t="str">
        <f t="shared" si="41"/>
        <v>A~0</v>
      </c>
      <c r="L1290" t="str">
        <f>IF(J1290&lt;0,"A~0",VLOOKUP(J1290,[1]作法V!$B$1:$C$9,2,TRUE))</f>
        <v>A~0</v>
      </c>
    </row>
    <row r="1291" spans="1:12">
      <c r="A1291">
        <v>1109</v>
      </c>
      <c r="B1291" t="s">
        <v>24</v>
      </c>
      <c r="C1291" s="3">
        <v>38614</v>
      </c>
      <c r="D1291" s="3">
        <v>38686</v>
      </c>
      <c r="E1291" t="s">
        <v>17</v>
      </c>
      <c r="F1291">
        <v>32.365000000000002</v>
      </c>
      <c r="G1291">
        <v>1680</v>
      </c>
      <c r="H1291">
        <v>54373</v>
      </c>
      <c r="I1291" s="4">
        <v>38686</v>
      </c>
      <c r="J1291" s="5">
        <f t="shared" si="40"/>
        <v>0</v>
      </c>
      <c r="K1291" s="6" t="str">
        <f t="shared" si="41"/>
        <v>A~0</v>
      </c>
      <c r="L1291" t="str">
        <f>IF(J1291&lt;0,"A~0",VLOOKUP(J1291,[1]作法V!$B$1:$C$9,2,TRUE))</f>
        <v>A~0</v>
      </c>
    </row>
    <row r="1292" spans="1:12">
      <c r="A1292">
        <v>1109</v>
      </c>
      <c r="B1292" t="s">
        <v>24</v>
      </c>
      <c r="C1292" s="3">
        <v>38621</v>
      </c>
      <c r="D1292" s="3">
        <v>38686</v>
      </c>
      <c r="E1292" t="s">
        <v>17</v>
      </c>
      <c r="F1292">
        <v>32.799999999999997</v>
      </c>
      <c r="G1292">
        <v>1541.18</v>
      </c>
      <c r="H1292">
        <v>50551</v>
      </c>
      <c r="I1292" s="4">
        <v>38686</v>
      </c>
      <c r="J1292" s="5">
        <f t="shared" si="40"/>
        <v>0</v>
      </c>
      <c r="K1292" s="6" t="str">
        <f t="shared" si="41"/>
        <v>A~0</v>
      </c>
      <c r="L1292" t="str">
        <f>IF(J1292&lt;0,"A~0",VLOOKUP(J1292,[1]作法V!$B$1:$C$9,2,TRUE))</f>
        <v>A~0</v>
      </c>
    </row>
    <row r="1293" spans="1:12">
      <c r="A1293">
        <v>1109</v>
      </c>
      <c r="B1293" t="s">
        <v>24</v>
      </c>
      <c r="C1293" s="3">
        <v>38623</v>
      </c>
      <c r="D1293" s="3">
        <v>38716</v>
      </c>
      <c r="E1293" t="s">
        <v>17</v>
      </c>
      <c r="F1293">
        <v>32.799999999999997</v>
      </c>
      <c r="G1293">
        <v>2352</v>
      </c>
      <c r="H1293">
        <v>77146</v>
      </c>
      <c r="I1293" s="4">
        <v>38686</v>
      </c>
      <c r="J1293" s="5">
        <f t="shared" si="40"/>
        <v>-30</v>
      </c>
      <c r="K1293" s="6" t="str">
        <f t="shared" si="41"/>
        <v>A~0</v>
      </c>
      <c r="L1293" t="str">
        <f>IF(J1293&lt;0,"A~0",VLOOKUP(J1293,[1]作法V!$B$1:$C$9,2,TRUE))</f>
        <v>A~0</v>
      </c>
    </row>
    <row r="1294" spans="1:12">
      <c r="A1294">
        <v>1109</v>
      </c>
      <c r="B1294" t="s">
        <v>24</v>
      </c>
      <c r="C1294" s="3">
        <v>38636</v>
      </c>
      <c r="D1294" s="3">
        <v>38716</v>
      </c>
      <c r="E1294" t="s">
        <v>17</v>
      </c>
      <c r="F1294">
        <v>33.195</v>
      </c>
      <c r="G1294">
        <v>4567</v>
      </c>
      <c r="H1294">
        <v>151602</v>
      </c>
      <c r="I1294" s="4">
        <v>38686</v>
      </c>
      <c r="J1294" s="5">
        <f t="shared" si="40"/>
        <v>-30</v>
      </c>
      <c r="K1294" s="6" t="str">
        <f t="shared" si="41"/>
        <v>A~0</v>
      </c>
      <c r="L1294" t="str">
        <f>IF(J1294&lt;0,"A~0",VLOOKUP(J1294,[1]作法V!$B$1:$C$9,2,TRUE))</f>
        <v>A~0</v>
      </c>
    </row>
    <row r="1295" spans="1:12">
      <c r="A1295">
        <v>1109</v>
      </c>
      <c r="B1295" t="s">
        <v>24</v>
      </c>
      <c r="C1295" s="3">
        <v>38636</v>
      </c>
      <c r="D1295" s="3">
        <v>38716</v>
      </c>
      <c r="E1295" t="s">
        <v>17</v>
      </c>
      <c r="F1295">
        <v>33.195</v>
      </c>
      <c r="G1295">
        <v>784</v>
      </c>
      <c r="H1295">
        <v>26025</v>
      </c>
      <c r="I1295" s="4">
        <v>38686</v>
      </c>
      <c r="J1295" s="5">
        <f t="shared" si="40"/>
        <v>-30</v>
      </c>
      <c r="K1295" s="6" t="str">
        <f t="shared" si="41"/>
        <v>A~0</v>
      </c>
      <c r="L1295" t="str">
        <f>IF(J1295&lt;0,"A~0",VLOOKUP(J1295,[1]作法V!$B$1:$C$9,2,TRUE))</f>
        <v>A~0</v>
      </c>
    </row>
    <row r="1296" spans="1:12">
      <c r="A1296">
        <v>1109</v>
      </c>
      <c r="B1296" t="s">
        <v>24</v>
      </c>
      <c r="C1296" s="3">
        <v>38636</v>
      </c>
      <c r="D1296" s="3">
        <v>38716</v>
      </c>
      <c r="E1296" t="s">
        <v>17</v>
      </c>
      <c r="F1296">
        <v>33.195</v>
      </c>
      <c r="G1296">
        <v>5828</v>
      </c>
      <c r="H1296">
        <v>193460</v>
      </c>
      <c r="I1296" s="4">
        <v>38686</v>
      </c>
      <c r="J1296" s="5">
        <f t="shared" si="40"/>
        <v>-30</v>
      </c>
      <c r="K1296" s="6" t="str">
        <f t="shared" si="41"/>
        <v>A~0</v>
      </c>
      <c r="L1296" t="str">
        <f>IF(J1296&lt;0,"A~0",VLOOKUP(J1296,[1]作法V!$B$1:$C$9,2,TRUE))</f>
        <v>A~0</v>
      </c>
    </row>
    <row r="1297" spans="1:12">
      <c r="A1297">
        <v>1109</v>
      </c>
      <c r="B1297" t="s">
        <v>24</v>
      </c>
      <c r="C1297" s="3">
        <v>38636</v>
      </c>
      <c r="D1297" s="3">
        <v>38716</v>
      </c>
      <c r="E1297" t="s">
        <v>17</v>
      </c>
      <c r="F1297">
        <v>33.195</v>
      </c>
      <c r="G1297">
        <v>3136</v>
      </c>
      <c r="H1297">
        <v>104100</v>
      </c>
      <c r="I1297" s="4">
        <v>38686</v>
      </c>
      <c r="J1297" s="5">
        <f t="shared" si="40"/>
        <v>-30</v>
      </c>
      <c r="K1297" s="6" t="str">
        <f t="shared" si="41"/>
        <v>A~0</v>
      </c>
      <c r="L1297" t="str">
        <f>IF(J1297&lt;0,"A~0",VLOOKUP(J1297,[1]作法V!$B$1:$C$9,2,TRUE))</f>
        <v>A~0</v>
      </c>
    </row>
    <row r="1298" spans="1:12">
      <c r="A1298">
        <v>1109</v>
      </c>
      <c r="B1298" t="s">
        <v>24</v>
      </c>
      <c r="C1298" s="3">
        <v>38638</v>
      </c>
      <c r="D1298" s="3">
        <v>38716</v>
      </c>
      <c r="E1298" t="s">
        <v>17</v>
      </c>
      <c r="F1298">
        <v>33.195</v>
      </c>
      <c r="G1298">
        <v>995.52</v>
      </c>
      <c r="H1298">
        <v>33046</v>
      </c>
      <c r="I1298" s="4">
        <v>38686</v>
      </c>
      <c r="J1298" s="5">
        <f t="shared" si="40"/>
        <v>-30</v>
      </c>
      <c r="K1298" s="6" t="str">
        <f t="shared" si="41"/>
        <v>A~0</v>
      </c>
      <c r="L1298" t="str">
        <f>IF(J1298&lt;0,"A~0",VLOOKUP(J1298,[1]作法V!$B$1:$C$9,2,TRUE))</f>
        <v>A~0</v>
      </c>
    </row>
    <row r="1299" spans="1:12">
      <c r="A1299">
        <v>1109</v>
      </c>
      <c r="B1299" t="s">
        <v>24</v>
      </c>
      <c r="C1299" s="3">
        <v>38638</v>
      </c>
      <c r="D1299" s="3">
        <v>38716</v>
      </c>
      <c r="E1299" t="s">
        <v>17</v>
      </c>
      <c r="F1299">
        <v>33.195</v>
      </c>
      <c r="G1299">
        <v>1020</v>
      </c>
      <c r="H1299">
        <v>33859</v>
      </c>
      <c r="I1299" s="4">
        <v>38686</v>
      </c>
      <c r="J1299" s="5">
        <f t="shared" si="40"/>
        <v>-30</v>
      </c>
      <c r="K1299" s="6" t="str">
        <f t="shared" si="41"/>
        <v>A~0</v>
      </c>
      <c r="L1299" t="str">
        <f>IF(J1299&lt;0,"A~0",VLOOKUP(J1299,[1]作法V!$B$1:$C$9,2,TRUE))</f>
        <v>A~0</v>
      </c>
    </row>
    <row r="1300" spans="1:12">
      <c r="A1300">
        <v>1109</v>
      </c>
      <c r="B1300" t="s">
        <v>24</v>
      </c>
      <c r="C1300" s="3">
        <v>38638</v>
      </c>
      <c r="D1300" s="3">
        <v>38716</v>
      </c>
      <c r="E1300" t="s">
        <v>17</v>
      </c>
      <c r="F1300">
        <v>33.195</v>
      </c>
      <c r="G1300">
        <v>9800</v>
      </c>
      <c r="H1300">
        <v>325311</v>
      </c>
      <c r="I1300" s="4">
        <v>38686</v>
      </c>
      <c r="J1300" s="5">
        <f t="shared" si="40"/>
        <v>-30</v>
      </c>
      <c r="K1300" s="6" t="str">
        <f t="shared" si="41"/>
        <v>A~0</v>
      </c>
      <c r="L1300" t="str">
        <f>IF(J1300&lt;0,"A~0",VLOOKUP(J1300,[1]作法V!$B$1:$C$9,2,TRUE))</f>
        <v>A~0</v>
      </c>
    </row>
    <row r="1301" spans="1:12">
      <c r="A1301">
        <v>1109</v>
      </c>
      <c r="B1301" t="s">
        <v>24</v>
      </c>
      <c r="C1301" s="3">
        <v>38639</v>
      </c>
      <c r="D1301" s="3">
        <v>38716</v>
      </c>
      <c r="E1301" t="s">
        <v>17</v>
      </c>
      <c r="F1301">
        <v>33.195</v>
      </c>
      <c r="G1301">
        <v>4860</v>
      </c>
      <c r="H1301">
        <v>161328</v>
      </c>
      <c r="I1301" s="4">
        <v>38686</v>
      </c>
      <c r="J1301" s="5">
        <f t="shared" si="40"/>
        <v>-30</v>
      </c>
      <c r="K1301" s="6" t="str">
        <f t="shared" si="41"/>
        <v>A~0</v>
      </c>
      <c r="L1301" t="str">
        <f>IF(J1301&lt;0,"A~0",VLOOKUP(J1301,[1]作法V!$B$1:$C$9,2,TRUE))</f>
        <v>A~0</v>
      </c>
    </row>
    <row r="1302" spans="1:12">
      <c r="A1302">
        <v>1109</v>
      </c>
      <c r="B1302" t="s">
        <v>24</v>
      </c>
      <c r="C1302" s="3">
        <v>38639</v>
      </c>
      <c r="D1302" s="3">
        <v>38716</v>
      </c>
      <c r="E1302" t="s">
        <v>17</v>
      </c>
      <c r="F1302">
        <v>33.195</v>
      </c>
      <c r="G1302">
        <v>2914</v>
      </c>
      <c r="H1302">
        <v>96730</v>
      </c>
      <c r="I1302" s="4">
        <v>38686</v>
      </c>
      <c r="J1302" s="5">
        <f t="shared" si="40"/>
        <v>-30</v>
      </c>
      <c r="K1302" s="6" t="str">
        <f t="shared" si="41"/>
        <v>A~0</v>
      </c>
      <c r="L1302" t="str">
        <f>IF(J1302&lt;0,"A~0",VLOOKUP(J1302,[1]作法V!$B$1:$C$9,2,TRUE))</f>
        <v>A~0</v>
      </c>
    </row>
    <row r="1303" spans="1:12">
      <c r="A1303">
        <v>1109</v>
      </c>
      <c r="B1303" t="s">
        <v>24</v>
      </c>
      <c r="C1303" s="3">
        <v>38639</v>
      </c>
      <c r="D1303" s="3">
        <v>38716</v>
      </c>
      <c r="E1303" t="s">
        <v>17</v>
      </c>
      <c r="F1303">
        <v>33.195</v>
      </c>
      <c r="G1303">
        <v>4900</v>
      </c>
      <c r="H1303">
        <v>162656</v>
      </c>
      <c r="I1303" s="4">
        <v>38686</v>
      </c>
      <c r="J1303" s="5">
        <f t="shared" si="40"/>
        <v>-30</v>
      </c>
      <c r="K1303" s="6" t="str">
        <f t="shared" si="41"/>
        <v>A~0</v>
      </c>
      <c r="L1303" t="str">
        <f>IF(J1303&lt;0,"A~0",VLOOKUP(J1303,[1]作法V!$B$1:$C$9,2,TRUE))</f>
        <v>A~0</v>
      </c>
    </row>
    <row r="1304" spans="1:12">
      <c r="A1304">
        <v>1109</v>
      </c>
      <c r="B1304" t="s">
        <v>24</v>
      </c>
      <c r="C1304" s="3">
        <v>38642</v>
      </c>
      <c r="D1304" s="3">
        <v>38716</v>
      </c>
      <c r="E1304" t="s">
        <v>17</v>
      </c>
      <c r="F1304">
        <v>33.195</v>
      </c>
      <c r="G1304">
        <v>11348</v>
      </c>
      <c r="H1304">
        <v>376697</v>
      </c>
      <c r="I1304" s="4">
        <v>38686</v>
      </c>
      <c r="J1304" s="5">
        <f t="shared" si="40"/>
        <v>-30</v>
      </c>
      <c r="K1304" s="6" t="str">
        <f t="shared" si="41"/>
        <v>A~0</v>
      </c>
      <c r="L1304" t="str">
        <f>IF(J1304&lt;0,"A~0",VLOOKUP(J1304,[1]作法V!$B$1:$C$9,2,TRUE))</f>
        <v>A~0</v>
      </c>
    </row>
    <row r="1305" spans="1:12">
      <c r="A1305">
        <v>1109</v>
      </c>
      <c r="B1305" t="s">
        <v>24</v>
      </c>
      <c r="C1305" s="3">
        <v>38646</v>
      </c>
      <c r="D1305" s="3">
        <v>38716</v>
      </c>
      <c r="E1305" t="s">
        <v>17</v>
      </c>
      <c r="F1305">
        <v>33.4</v>
      </c>
      <c r="G1305">
        <v>9470.5</v>
      </c>
      <c r="H1305">
        <v>316315</v>
      </c>
      <c r="I1305" s="4">
        <v>38686</v>
      </c>
      <c r="J1305" s="5">
        <f t="shared" si="40"/>
        <v>-30</v>
      </c>
      <c r="K1305" s="6" t="str">
        <f t="shared" si="41"/>
        <v>A~0</v>
      </c>
      <c r="L1305" t="str">
        <f>IF(J1305&lt;0,"A~0",VLOOKUP(J1305,[1]作法V!$B$1:$C$9,2,TRUE))</f>
        <v>A~0</v>
      </c>
    </row>
    <row r="1306" spans="1:12">
      <c r="A1306">
        <v>1109</v>
      </c>
      <c r="B1306" t="s">
        <v>24</v>
      </c>
      <c r="C1306" s="3">
        <v>38649</v>
      </c>
      <c r="D1306" s="3">
        <v>38716</v>
      </c>
      <c r="E1306" t="s">
        <v>17</v>
      </c>
      <c r="F1306">
        <v>33.4</v>
      </c>
      <c r="G1306">
        <v>3080</v>
      </c>
      <c r="H1306">
        <v>102872</v>
      </c>
      <c r="I1306" s="4">
        <v>38686</v>
      </c>
      <c r="J1306" s="5">
        <f t="shared" si="40"/>
        <v>-30</v>
      </c>
      <c r="K1306" s="6" t="str">
        <f t="shared" si="41"/>
        <v>A~0</v>
      </c>
      <c r="L1306" t="str">
        <f>IF(J1306&lt;0,"A~0",VLOOKUP(J1306,[1]作法V!$B$1:$C$9,2,TRUE))</f>
        <v>A~0</v>
      </c>
    </row>
    <row r="1307" spans="1:12">
      <c r="A1307">
        <v>1109</v>
      </c>
      <c r="B1307" t="s">
        <v>24</v>
      </c>
      <c r="C1307" s="3">
        <v>38649</v>
      </c>
      <c r="D1307" s="3">
        <v>38716</v>
      </c>
      <c r="E1307" t="s">
        <v>17</v>
      </c>
      <c r="F1307">
        <v>33.4</v>
      </c>
      <c r="G1307">
        <v>5410.8</v>
      </c>
      <c r="H1307">
        <v>180721</v>
      </c>
      <c r="I1307" s="4">
        <v>38686</v>
      </c>
      <c r="J1307" s="5">
        <f t="shared" si="40"/>
        <v>-30</v>
      </c>
      <c r="K1307" s="6" t="str">
        <f t="shared" si="41"/>
        <v>A~0</v>
      </c>
      <c r="L1307" t="str">
        <f>IF(J1307&lt;0,"A~0",VLOOKUP(J1307,[1]作法V!$B$1:$C$9,2,TRUE))</f>
        <v>A~0</v>
      </c>
    </row>
    <row r="1308" spans="1:12">
      <c r="A1308">
        <v>1109</v>
      </c>
      <c r="B1308" t="s">
        <v>24</v>
      </c>
      <c r="C1308" s="3">
        <v>38653</v>
      </c>
      <c r="D1308" s="3">
        <v>38747</v>
      </c>
      <c r="E1308" t="s">
        <v>17</v>
      </c>
      <c r="F1308">
        <v>33.4</v>
      </c>
      <c r="G1308">
        <v>5734.8</v>
      </c>
      <c r="H1308">
        <v>191542</v>
      </c>
      <c r="I1308" s="4">
        <v>38686</v>
      </c>
      <c r="J1308" s="5">
        <f t="shared" si="40"/>
        <v>-61</v>
      </c>
      <c r="K1308" s="6" t="str">
        <f t="shared" si="41"/>
        <v>A~0</v>
      </c>
      <c r="L1308" t="str">
        <f>IF(J1308&lt;0,"A~0",VLOOKUP(J1308,[1]作法V!$B$1:$C$9,2,TRUE))</f>
        <v>A~0</v>
      </c>
    </row>
    <row r="1309" spans="1:12">
      <c r="A1309">
        <v>1109</v>
      </c>
      <c r="B1309" t="s">
        <v>24</v>
      </c>
      <c r="C1309" s="3">
        <v>38656</v>
      </c>
      <c r="D1309" s="3">
        <v>38747</v>
      </c>
      <c r="E1309" t="s">
        <v>17</v>
      </c>
      <c r="F1309">
        <v>33.4</v>
      </c>
      <c r="G1309">
        <v>1020</v>
      </c>
      <c r="H1309">
        <v>34068</v>
      </c>
      <c r="I1309" s="4">
        <v>38686</v>
      </c>
      <c r="J1309" s="5">
        <f t="shared" si="40"/>
        <v>-61</v>
      </c>
      <c r="K1309" s="6" t="str">
        <f t="shared" si="41"/>
        <v>A~0</v>
      </c>
      <c r="L1309" t="str">
        <f>IF(J1309&lt;0,"A~0",VLOOKUP(J1309,[1]作法V!$B$1:$C$9,2,TRUE))</f>
        <v>A~0</v>
      </c>
    </row>
    <row r="1310" spans="1:12">
      <c r="A1310">
        <v>1109</v>
      </c>
      <c r="B1310" t="s">
        <v>24</v>
      </c>
      <c r="C1310" s="3">
        <v>38658</v>
      </c>
      <c r="D1310" s="3">
        <v>38747</v>
      </c>
      <c r="E1310" t="s">
        <v>17</v>
      </c>
      <c r="F1310">
        <v>33.715000000000003</v>
      </c>
      <c r="G1310">
        <v>339.56</v>
      </c>
      <c r="H1310">
        <v>11448</v>
      </c>
      <c r="I1310" s="4">
        <v>38686</v>
      </c>
      <c r="J1310" s="5">
        <f t="shared" si="40"/>
        <v>-61</v>
      </c>
      <c r="K1310" s="6" t="str">
        <f t="shared" si="41"/>
        <v>A~0</v>
      </c>
      <c r="L1310" t="str">
        <f>IF(J1310&lt;0,"A~0",VLOOKUP(J1310,[1]作法V!$B$1:$C$9,2,TRUE))</f>
        <v>A~0</v>
      </c>
    </row>
    <row r="1311" spans="1:12">
      <c r="A1311">
        <v>1109</v>
      </c>
      <c r="B1311" t="s">
        <v>24</v>
      </c>
      <c r="C1311" s="3">
        <v>38658</v>
      </c>
      <c r="D1311" s="3">
        <v>38747</v>
      </c>
      <c r="E1311" t="s">
        <v>17</v>
      </c>
      <c r="F1311">
        <v>33.715000000000003</v>
      </c>
      <c r="G1311">
        <v>95.28</v>
      </c>
      <c r="H1311">
        <v>3212</v>
      </c>
      <c r="I1311" s="4">
        <v>38686</v>
      </c>
      <c r="J1311" s="5">
        <f t="shared" si="40"/>
        <v>-61</v>
      </c>
      <c r="K1311" s="6" t="str">
        <f t="shared" si="41"/>
        <v>A~0</v>
      </c>
      <c r="L1311" t="str">
        <f>IF(J1311&lt;0,"A~0",VLOOKUP(J1311,[1]作法V!$B$1:$C$9,2,TRUE))</f>
        <v>A~0</v>
      </c>
    </row>
    <row r="1312" spans="1:12">
      <c r="A1312">
        <v>1109</v>
      </c>
      <c r="B1312" t="s">
        <v>24</v>
      </c>
      <c r="C1312" s="3">
        <v>38667</v>
      </c>
      <c r="D1312" s="3">
        <v>38747</v>
      </c>
      <c r="E1312" t="s">
        <v>17</v>
      </c>
      <c r="F1312">
        <v>33.634999999999998</v>
      </c>
      <c r="G1312">
        <v>4147.2</v>
      </c>
      <c r="H1312">
        <v>139491</v>
      </c>
      <c r="I1312" s="4">
        <v>38686</v>
      </c>
      <c r="J1312" s="5">
        <f t="shared" si="40"/>
        <v>-61</v>
      </c>
      <c r="K1312" s="6" t="str">
        <f t="shared" si="41"/>
        <v>A~0</v>
      </c>
      <c r="L1312" t="str">
        <f>IF(J1312&lt;0,"A~0",VLOOKUP(J1312,[1]作法V!$B$1:$C$9,2,TRUE))</f>
        <v>A~0</v>
      </c>
    </row>
    <row r="1313" spans="1:12">
      <c r="A1313">
        <v>1109</v>
      </c>
      <c r="B1313" t="s">
        <v>24</v>
      </c>
      <c r="C1313" s="3">
        <v>38667</v>
      </c>
      <c r="D1313" s="3">
        <v>38747</v>
      </c>
      <c r="E1313" t="s">
        <v>17</v>
      </c>
      <c r="F1313">
        <v>33.634999999999998</v>
      </c>
      <c r="G1313">
        <v>1020</v>
      </c>
      <c r="H1313">
        <v>34308</v>
      </c>
      <c r="I1313" s="4">
        <v>38686</v>
      </c>
      <c r="J1313" s="5">
        <f t="shared" si="40"/>
        <v>-61</v>
      </c>
      <c r="K1313" s="6" t="str">
        <f t="shared" si="41"/>
        <v>A~0</v>
      </c>
      <c r="L1313" t="str">
        <f>IF(J1313&lt;0,"A~0",VLOOKUP(J1313,[1]作法V!$B$1:$C$9,2,TRUE))</f>
        <v>A~0</v>
      </c>
    </row>
    <row r="1314" spans="1:12">
      <c r="A1314">
        <v>1109</v>
      </c>
      <c r="B1314" t="s">
        <v>24</v>
      </c>
      <c r="C1314" s="3">
        <v>38667</v>
      </c>
      <c r="D1314" s="3">
        <v>38747</v>
      </c>
      <c r="E1314" t="s">
        <v>17</v>
      </c>
      <c r="F1314">
        <v>33.634999999999998</v>
      </c>
      <c r="G1314">
        <v>1020</v>
      </c>
      <c r="H1314">
        <v>34308</v>
      </c>
      <c r="I1314" s="4">
        <v>38686</v>
      </c>
      <c r="J1314" s="5">
        <f t="shared" si="40"/>
        <v>-61</v>
      </c>
      <c r="K1314" s="6" t="str">
        <f t="shared" si="41"/>
        <v>A~0</v>
      </c>
      <c r="L1314" t="str">
        <f>IF(J1314&lt;0,"A~0",VLOOKUP(J1314,[1]作法V!$B$1:$C$9,2,TRUE))</f>
        <v>A~0</v>
      </c>
    </row>
    <row r="1315" spans="1:12">
      <c r="A1315">
        <v>1109</v>
      </c>
      <c r="B1315" t="s">
        <v>24</v>
      </c>
      <c r="C1315" s="3">
        <v>38670</v>
      </c>
      <c r="D1315" s="3">
        <v>38747</v>
      </c>
      <c r="E1315" t="s">
        <v>17</v>
      </c>
      <c r="F1315">
        <v>33.634999999999998</v>
      </c>
      <c r="G1315">
        <v>3384</v>
      </c>
      <c r="H1315">
        <v>113821</v>
      </c>
      <c r="I1315" s="4">
        <v>38686</v>
      </c>
      <c r="J1315" s="5">
        <f t="shared" si="40"/>
        <v>-61</v>
      </c>
      <c r="K1315" s="6" t="str">
        <f t="shared" si="41"/>
        <v>A~0</v>
      </c>
      <c r="L1315" t="str">
        <f>IF(J1315&lt;0,"A~0",VLOOKUP(J1315,[1]作法V!$B$1:$C$9,2,TRUE))</f>
        <v>A~0</v>
      </c>
    </row>
    <row r="1316" spans="1:12">
      <c r="A1316">
        <v>1109</v>
      </c>
      <c r="B1316" t="s">
        <v>24</v>
      </c>
      <c r="C1316" s="3">
        <v>38672</v>
      </c>
      <c r="D1316" s="3">
        <v>38747</v>
      </c>
      <c r="E1316" t="s">
        <v>17</v>
      </c>
      <c r="F1316">
        <v>33.634999999999998</v>
      </c>
      <c r="G1316">
        <v>8811.33</v>
      </c>
      <c r="H1316">
        <v>296369</v>
      </c>
      <c r="I1316" s="4">
        <v>38686</v>
      </c>
      <c r="J1316" s="5">
        <f t="shared" si="40"/>
        <v>-61</v>
      </c>
      <c r="K1316" s="6" t="str">
        <f t="shared" si="41"/>
        <v>A~0</v>
      </c>
      <c r="L1316" t="str">
        <f>IF(J1316&lt;0,"A~0",VLOOKUP(J1316,[1]作法V!$B$1:$C$9,2,TRUE))</f>
        <v>A~0</v>
      </c>
    </row>
    <row r="1317" spans="1:12">
      <c r="A1317">
        <v>1109</v>
      </c>
      <c r="B1317" t="s">
        <v>24</v>
      </c>
      <c r="C1317" s="3">
        <v>38677</v>
      </c>
      <c r="D1317" s="3">
        <v>38747</v>
      </c>
      <c r="E1317" t="s">
        <v>17</v>
      </c>
      <c r="F1317">
        <v>33.409999999999997</v>
      </c>
      <c r="G1317">
        <v>2961</v>
      </c>
      <c r="H1317">
        <v>98927</v>
      </c>
      <c r="I1317" s="4">
        <v>38686</v>
      </c>
      <c r="J1317" s="5">
        <f t="shared" si="40"/>
        <v>-61</v>
      </c>
      <c r="K1317" s="6" t="str">
        <f t="shared" si="41"/>
        <v>A~0</v>
      </c>
      <c r="L1317" t="str">
        <f>IF(J1317&lt;0,"A~0",VLOOKUP(J1317,[1]作法V!$B$1:$C$9,2,TRUE))</f>
        <v>A~0</v>
      </c>
    </row>
    <row r="1318" spans="1:12">
      <c r="A1318">
        <v>1109</v>
      </c>
      <c r="B1318" t="s">
        <v>24</v>
      </c>
      <c r="C1318" s="3">
        <v>38677</v>
      </c>
      <c r="D1318" s="3">
        <v>38747</v>
      </c>
      <c r="E1318" t="s">
        <v>17</v>
      </c>
      <c r="F1318">
        <v>33.409999999999997</v>
      </c>
      <c r="G1318">
        <v>67.349999999999994</v>
      </c>
      <c r="H1318">
        <v>2250</v>
      </c>
      <c r="I1318" s="4">
        <v>38686</v>
      </c>
      <c r="J1318" s="5">
        <f t="shared" si="40"/>
        <v>-61</v>
      </c>
      <c r="K1318" s="6" t="str">
        <f t="shared" si="41"/>
        <v>A~0</v>
      </c>
      <c r="L1318" t="str">
        <f>IF(J1318&lt;0,"A~0",VLOOKUP(J1318,[1]作法V!$B$1:$C$9,2,TRUE))</f>
        <v>A~0</v>
      </c>
    </row>
    <row r="1319" spans="1:12">
      <c r="A1319">
        <v>1109</v>
      </c>
      <c r="B1319" t="s">
        <v>24</v>
      </c>
      <c r="C1319" s="3">
        <v>38679</v>
      </c>
      <c r="D1319" s="3">
        <v>38747</v>
      </c>
      <c r="E1319" t="s">
        <v>17</v>
      </c>
      <c r="F1319">
        <v>33.409999999999997</v>
      </c>
      <c r="G1319">
        <v>542.28</v>
      </c>
      <c r="H1319">
        <v>18118</v>
      </c>
      <c r="I1319" s="4">
        <v>38686</v>
      </c>
      <c r="J1319" s="5">
        <f t="shared" si="40"/>
        <v>-61</v>
      </c>
      <c r="K1319" s="6" t="str">
        <f t="shared" si="41"/>
        <v>A~0</v>
      </c>
      <c r="L1319" t="str">
        <f>IF(J1319&lt;0,"A~0",VLOOKUP(J1319,[1]作法V!$B$1:$C$9,2,TRUE))</f>
        <v>A~0</v>
      </c>
    </row>
    <row r="1320" spans="1:12">
      <c r="A1320">
        <v>1109</v>
      </c>
      <c r="B1320" t="s">
        <v>24</v>
      </c>
      <c r="C1320" s="3">
        <v>38681</v>
      </c>
      <c r="D1320" s="3">
        <v>38747</v>
      </c>
      <c r="E1320" t="s">
        <v>17</v>
      </c>
      <c r="F1320">
        <v>33.409999999999997</v>
      </c>
      <c r="G1320">
        <v>3554.28</v>
      </c>
      <c r="H1320">
        <v>118748</v>
      </c>
      <c r="I1320" s="4">
        <v>38686</v>
      </c>
      <c r="J1320" s="5">
        <f t="shared" si="40"/>
        <v>-61</v>
      </c>
      <c r="K1320" s="6" t="str">
        <f t="shared" si="41"/>
        <v>A~0</v>
      </c>
      <c r="L1320" t="str">
        <f>IF(J1320&lt;0,"A~0",VLOOKUP(J1320,[1]作法V!$B$1:$C$9,2,TRUE))</f>
        <v>A~0</v>
      </c>
    </row>
    <row r="1321" spans="1:12">
      <c r="A1321">
        <v>1109</v>
      </c>
      <c r="B1321" t="s">
        <v>24</v>
      </c>
      <c r="C1321" s="3">
        <v>38681</v>
      </c>
      <c r="D1321" s="3">
        <v>38747</v>
      </c>
      <c r="E1321" t="s">
        <v>17</v>
      </c>
      <c r="F1321">
        <v>33.409999999999997</v>
      </c>
      <c r="G1321">
        <v>2115</v>
      </c>
      <c r="H1321">
        <v>70662</v>
      </c>
      <c r="I1321" s="4">
        <v>38686</v>
      </c>
      <c r="J1321" s="5">
        <f t="shared" si="40"/>
        <v>-61</v>
      </c>
      <c r="K1321" s="6" t="str">
        <f t="shared" si="41"/>
        <v>A~0</v>
      </c>
      <c r="L1321" t="str">
        <f>IF(J1321&lt;0,"A~0",VLOOKUP(J1321,[1]作法V!$B$1:$C$9,2,TRUE))</f>
        <v>A~0</v>
      </c>
    </row>
    <row r="1322" spans="1:12">
      <c r="A1322">
        <v>1109</v>
      </c>
      <c r="B1322" t="s">
        <v>24</v>
      </c>
      <c r="C1322" s="3">
        <v>38684</v>
      </c>
      <c r="D1322" s="3">
        <v>38776</v>
      </c>
      <c r="E1322" t="s">
        <v>17</v>
      </c>
      <c r="F1322">
        <v>33.409999999999997</v>
      </c>
      <c r="G1322">
        <v>2538</v>
      </c>
      <c r="H1322">
        <v>84795</v>
      </c>
      <c r="I1322" s="4">
        <v>38686</v>
      </c>
      <c r="J1322" s="5">
        <f t="shared" si="40"/>
        <v>-90</v>
      </c>
      <c r="K1322" s="6" t="str">
        <f t="shared" si="41"/>
        <v>A~0</v>
      </c>
      <c r="L1322" t="str">
        <f>IF(J1322&lt;0,"A~0",VLOOKUP(J1322,[1]作法V!$B$1:$C$9,2,TRUE))</f>
        <v>A~0</v>
      </c>
    </row>
    <row r="1323" spans="1:12">
      <c r="A1323">
        <v>1109</v>
      </c>
      <c r="B1323" t="s">
        <v>24</v>
      </c>
      <c r="C1323" s="3">
        <v>38686</v>
      </c>
      <c r="D1323" s="3">
        <v>38776</v>
      </c>
      <c r="E1323" t="s">
        <v>17</v>
      </c>
      <c r="F1323">
        <v>33.409999999999997</v>
      </c>
      <c r="G1323">
        <v>168.36</v>
      </c>
      <c r="H1323">
        <v>5625</v>
      </c>
      <c r="I1323" s="4">
        <v>38686</v>
      </c>
      <c r="J1323" s="5">
        <f t="shared" si="40"/>
        <v>-90</v>
      </c>
      <c r="K1323" s="6" t="str">
        <f t="shared" si="41"/>
        <v>A~0</v>
      </c>
      <c r="L1323" t="str">
        <f>IF(J1323&lt;0,"A~0",VLOOKUP(J1323,[1]作法V!$B$1:$C$9,2,TRUE))</f>
        <v>A~0</v>
      </c>
    </row>
    <row r="1324" spans="1:12">
      <c r="A1324">
        <v>1113</v>
      </c>
      <c r="B1324" t="s">
        <v>107</v>
      </c>
      <c r="C1324" s="3">
        <v>38573</v>
      </c>
      <c r="D1324" s="3">
        <v>38682</v>
      </c>
      <c r="E1324" t="s">
        <v>17</v>
      </c>
      <c r="F1324">
        <v>31.684999999999999</v>
      </c>
      <c r="G1324">
        <v>8438</v>
      </c>
      <c r="H1324">
        <v>267358</v>
      </c>
      <c r="I1324" s="4">
        <v>38686</v>
      </c>
      <c r="J1324" s="5">
        <f t="shared" si="40"/>
        <v>4</v>
      </c>
      <c r="K1324" s="6" t="str">
        <f t="shared" si="41"/>
        <v>B1~30</v>
      </c>
      <c r="L1324" t="str">
        <f>IF(J1324&lt;0,"A~0",VLOOKUP(J1324,[1]作法V!$B$1:$C$9,2,TRUE))</f>
        <v>B1~30</v>
      </c>
    </row>
    <row r="1325" spans="1:12">
      <c r="A1325">
        <v>1113</v>
      </c>
      <c r="B1325" t="s">
        <v>107</v>
      </c>
      <c r="C1325" s="3">
        <v>38583</v>
      </c>
      <c r="D1325" s="3">
        <v>38682</v>
      </c>
      <c r="E1325" t="s">
        <v>17</v>
      </c>
      <c r="F1325">
        <v>31.875</v>
      </c>
      <c r="G1325">
        <v>5062.8</v>
      </c>
      <c r="H1325">
        <v>161377</v>
      </c>
      <c r="I1325" s="4">
        <v>38686</v>
      </c>
      <c r="J1325" s="5">
        <f t="shared" si="40"/>
        <v>4</v>
      </c>
      <c r="K1325" s="6" t="str">
        <f t="shared" si="41"/>
        <v>B1~30</v>
      </c>
      <c r="L1325" t="str">
        <f>IF(J1325&lt;0,"A~0",VLOOKUP(J1325,[1]作法V!$B$1:$C$9,2,TRUE))</f>
        <v>B1~30</v>
      </c>
    </row>
    <row r="1326" spans="1:12">
      <c r="A1326">
        <v>1113</v>
      </c>
      <c r="B1326" t="s">
        <v>107</v>
      </c>
      <c r="C1326" s="3">
        <v>38590</v>
      </c>
      <c r="D1326" s="3">
        <v>38712</v>
      </c>
      <c r="E1326" t="s">
        <v>17</v>
      </c>
      <c r="F1326">
        <v>31.905000000000001</v>
      </c>
      <c r="G1326">
        <v>406.3</v>
      </c>
      <c r="H1326">
        <v>12963</v>
      </c>
      <c r="I1326" s="4">
        <v>38686</v>
      </c>
      <c r="J1326" s="5">
        <f t="shared" si="40"/>
        <v>-26</v>
      </c>
      <c r="K1326" s="6" t="str">
        <f t="shared" si="41"/>
        <v>A~0</v>
      </c>
      <c r="L1326" t="str">
        <f>IF(J1326&lt;0,"A~0",VLOOKUP(J1326,[1]作法V!$B$1:$C$9,2,TRUE))</f>
        <v>A~0</v>
      </c>
    </row>
    <row r="1327" spans="1:12">
      <c r="A1327">
        <v>1113</v>
      </c>
      <c r="B1327" t="s">
        <v>107</v>
      </c>
      <c r="C1327" s="3">
        <v>38590</v>
      </c>
      <c r="D1327" s="3">
        <v>38712</v>
      </c>
      <c r="E1327" t="s">
        <v>17</v>
      </c>
      <c r="F1327">
        <v>31.905000000000001</v>
      </c>
      <c r="G1327">
        <v>8438</v>
      </c>
      <c r="H1327">
        <v>269214</v>
      </c>
      <c r="I1327" s="4">
        <v>38686</v>
      </c>
      <c r="J1327" s="5">
        <f t="shared" si="40"/>
        <v>-26</v>
      </c>
      <c r="K1327" s="6" t="str">
        <f t="shared" si="41"/>
        <v>A~0</v>
      </c>
      <c r="L1327" t="str">
        <f>IF(J1327&lt;0,"A~0",VLOOKUP(J1327,[1]作法V!$B$1:$C$9,2,TRUE))</f>
        <v>A~0</v>
      </c>
    </row>
    <row r="1328" spans="1:12">
      <c r="A1328">
        <v>1113</v>
      </c>
      <c r="B1328" t="s">
        <v>107</v>
      </c>
      <c r="C1328" s="3">
        <v>38597</v>
      </c>
      <c r="D1328" s="3">
        <v>38712</v>
      </c>
      <c r="E1328" t="s">
        <v>17</v>
      </c>
      <c r="F1328">
        <v>32.195</v>
      </c>
      <c r="G1328">
        <v>8438</v>
      </c>
      <c r="H1328">
        <v>271661</v>
      </c>
      <c r="I1328" s="4">
        <v>38686</v>
      </c>
      <c r="J1328" s="5">
        <f t="shared" si="40"/>
        <v>-26</v>
      </c>
      <c r="K1328" s="6" t="str">
        <f t="shared" si="41"/>
        <v>A~0</v>
      </c>
      <c r="L1328" t="str">
        <f>IF(J1328&lt;0,"A~0",VLOOKUP(J1328,[1]作法V!$B$1:$C$9,2,TRUE))</f>
        <v>A~0</v>
      </c>
    </row>
    <row r="1329" spans="1:12">
      <c r="A1329">
        <v>1113</v>
      </c>
      <c r="B1329" t="s">
        <v>107</v>
      </c>
      <c r="C1329" s="3">
        <v>38598</v>
      </c>
      <c r="D1329" s="3">
        <v>38712</v>
      </c>
      <c r="E1329" t="s">
        <v>17</v>
      </c>
      <c r="F1329">
        <v>32.195</v>
      </c>
      <c r="G1329">
        <v>2925</v>
      </c>
      <c r="H1329">
        <v>94170</v>
      </c>
      <c r="I1329" s="4">
        <v>38686</v>
      </c>
      <c r="J1329" s="5">
        <f t="shared" si="40"/>
        <v>-26</v>
      </c>
      <c r="K1329" s="6" t="str">
        <f t="shared" si="41"/>
        <v>A~0</v>
      </c>
      <c r="L1329" t="str">
        <f>IF(J1329&lt;0,"A~0",VLOOKUP(J1329,[1]作法V!$B$1:$C$9,2,TRUE))</f>
        <v>A~0</v>
      </c>
    </row>
    <row r="1330" spans="1:12">
      <c r="A1330">
        <v>1113</v>
      </c>
      <c r="B1330" t="s">
        <v>107</v>
      </c>
      <c r="C1330" s="3">
        <v>38598</v>
      </c>
      <c r="D1330" s="3">
        <v>38712</v>
      </c>
      <c r="E1330" t="s">
        <v>17</v>
      </c>
      <c r="F1330">
        <v>32.195</v>
      </c>
      <c r="G1330">
        <v>546.9</v>
      </c>
      <c r="H1330">
        <v>17607</v>
      </c>
      <c r="I1330" s="4">
        <v>38686</v>
      </c>
      <c r="J1330" s="5">
        <f t="shared" si="40"/>
        <v>-26</v>
      </c>
      <c r="K1330" s="6" t="str">
        <f t="shared" si="41"/>
        <v>A~0</v>
      </c>
      <c r="L1330" t="str">
        <f>IF(J1330&lt;0,"A~0",VLOOKUP(J1330,[1]作法V!$B$1:$C$9,2,TRUE))</f>
        <v>A~0</v>
      </c>
    </row>
    <row r="1331" spans="1:12">
      <c r="A1331">
        <v>1113</v>
      </c>
      <c r="B1331" t="s">
        <v>107</v>
      </c>
      <c r="C1331" s="3">
        <v>38605</v>
      </c>
      <c r="D1331" s="3">
        <v>38712</v>
      </c>
      <c r="E1331" t="s">
        <v>17</v>
      </c>
      <c r="F1331">
        <v>32.195</v>
      </c>
      <c r="G1331">
        <v>4140.5</v>
      </c>
      <c r="H1331">
        <v>133303</v>
      </c>
      <c r="I1331" s="4">
        <v>38686</v>
      </c>
      <c r="J1331" s="5">
        <f t="shared" si="40"/>
        <v>-26</v>
      </c>
      <c r="K1331" s="6" t="str">
        <f t="shared" si="41"/>
        <v>A~0</v>
      </c>
      <c r="L1331" t="str">
        <f>IF(J1331&lt;0,"A~0",VLOOKUP(J1331,[1]作法V!$B$1:$C$9,2,TRUE))</f>
        <v>A~0</v>
      </c>
    </row>
    <row r="1332" spans="1:12">
      <c r="A1332">
        <v>1113</v>
      </c>
      <c r="B1332" t="s">
        <v>107</v>
      </c>
      <c r="C1332" s="3">
        <v>38610</v>
      </c>
      <c r="D1332" s="3">
        <v>38712</v>
      </c>
      <c r="E1332" t="s">
        <v>17</v>
      </c>
      <c r="F1332">
        <v>32.365000000000002</v>
      </c>
      <c r="G1332">
        <v>3750</v>
      </c>
      <c r="H1332">
        <v>121369</v>
      </c>
      <c r="I1332" s="4">
        <v>38686</v>
      </c>
      <c r="J1332" s="5">
        <f t="shared" si="40"/>
        <v>-26</v>
      </c>
      <c r="K1332" s="6" t="str">
        <f t="shared" si="41"/>
        <v>A~0</v>
      </c>
      <c r="L1332" t="str">
        <f>IF(J1332&lt;0,"A~0",VLOOKUP(J1332,[1]作法V!$B$1:$C$9,2,TRUE))</f>
        <v>A~0</v>
      </c>
    </row>
    <row r="1333" spans="1:12">
      <c r="A1333">
        <v>1113</v>
      </c>
      <c r="B1333" t="s">
        <v>107</v>
      </c>
      <c r="C1333" s="3">
        <v>38623</v>
      </c>
      <c r="D1333" s="3">
        <v>38743</v>
      </c>
      <c r="E1333" t="s">
        <v>17</v>
      </c>
      <c r="F1333">
        <v>32.799999999999997</v>
      </c>
      <c r="G1333">
        <v>121.89</v>
      </c>
      <c r="H1333">
        <v>3998</v>
      </c>
      <c r="I1333" s="4">
        <v>38686</v>
      </c>
      <c r="J1333" s="5">
        <f t="shared" si="40"/>
        <v>-57</v>
      </c>
      <c r="K1333" s="6" t="str">
        <f t="shared" si="41"/>
        <v>A~0</v>
      </c>
      <c r="L1333" t="str">
        <f>IF(J1333&lt;0,"A~0",VLOOKUP(J1333,[1]作法V!$B$1:$C$9,2,TRUE))</f>
        <v>A~0</v>
      </c>
    </row>
    <row r="1334" spans="1:12">
      <c r="A1334">
        <v>1113</v>
      </c>
      <c r="B1334" t="s">
        <v>107</v>
      </c>
      <c r="C1334" s="3">
        <v>38623</v>
      </c>
      <c r="D1334" s="3">
        <v>38743</v>
      </c>
      <c r="E1334" t="s">
        <v>17</v>
      </c>
      <c r="F1334">
        <v>32.799999999999997</v>
      </c>
      <c r="G1334">
        <v>284.41000000000003</v>
      </c>
      <c r="H1334">
        <v>9329</v>
      </c>
      <c r="I1334" s="4">
        <v>38686</v>
      </c>
      <c r="J1334" s="5">
        <f t="shared" si="40"/>
        <v>-57</v>
      </c>
      <c r="K1334" s="6" t="str">
        <f t="shared" si="41"/>
        <v>A~0</v>
      </c>
      <c r="L1334" t="str">
        <f>IF(J1334&lt;0,"A~0",VLOOKUP(J1334,[1]作法V!$B$1:$C$9,2,TRUE))</f>
        <v>A~0</v>
      </c>
    </row>
    <row r="1335" spans="1:12">
      <c r="A1335">
        <v>1113</v>
      </c>
      <c r="B1335" t="s">
        <v>107</v>
      </c>
      <c r="C1335" s="3">
        <v>38623</v>
      </c>
      <c r="D1335" s="3">
        <v>38743</v>
      </c>
      <c r="E1335" t="s">
        <v>17</v>
      </c>
      <c r="F1335">
        <v>32.799999999999997</v>
      </c>
      <c r="G1335">
        <v>4968.6000000000004</v>
      </c>
      <c r="H1335">
        <v>162970</v>
      </c>
      <c r="I1335" s="4">
        <v>38686</v>
      </c>
      <c r="J1335" s="5">
        <f t="shared" si="40"/>
        <v>-57</v>
      </c>
      <c r="K1335" s="6" t="str">
        <f t="shared" si="41"/>
        <v>A~0</v>
      </c>
      <c r="L1335" t="str">
        <f>IF(J1335&lt;0,"A~0",VLOOKUP(J1335,[1]作法V!$B$1:$C$9,2,TRUE))</f>
        <v>A~0</v>
      </c>
    </row>
    <row r="1336" spans="1:12">
      <c r="A1336">
        <v>1113</v>
      </c>
      <c r="B1336" t="s">
        <v>107</v>
      </c>
      <c r="C1336" s="3">
        <v>38636</v>
      </c>
      <c r="D1336" s="3">
        <v>38743</v>
      </c>
      <c r="E1336" t="s">
        <v>17</v>
      </c>
      <c r="F1336">
        <v>33.195</v>
      </c>
      <c r="G1336">
        <v>1500</v>
      </c>
      <c r="H1336">
        <v>49793</v>
      </c>
      <c r="I1336" s="4">
        <v>38686</v>
      </c>
      <c r="J1336" s="5">
        <f t="shared" si="40"/>
        <v>-57</v>
      </c>
      <c r="K1336" s="6" t="str">
        <f t="shared" si="41"/>
        <v>A~0</v>
      </c>
      <c r="L1336" t="str">
        <f>IF(J1336&lt;0,"A~0",VLOOKUP(J1336,[1]作法V!$B$1:$C$9,2,TRUE))</f>
        <v>A~0</v>
      </c>
    </row>
    <row r="1337" spans="1:12">
      <c r="A1337">
        <v>1113</v>
      </c>
      <c r="B1337" t="s">
        <v>107</v>
      </c>
      <c r="C1337" s="3">
        <v>38636</v>
      </c>
      <c r="D1337" s="3">
        <v>38743</v>
      </c>
      <c r="E1337" t="s">
        <v>17</v>
      </c>
      <c r="F1337">
        <v>33.195</v>
      </c>
      <c r="G1337">
        <v>4687.3999999999996</v>
      </c>
      <c r="H1337">
        <v>155598</v>
      </c>
      <c r="I1337" s="4">
        <v>38686</v>
      </c>
      <c r="J1337" s="5">
        <f t="shared" si="40"/>
        <v>-57</v>
      </c>
      <c r="K1337" s="6" t="str">
        <f t="shared" si="41"/>
        <v>A~0</v>
      </c>
      <c r="L1337" t="str">
        <f>IF(J1337&lt;0,"A~0",VLOOKUP(J1337,[1]作法V!$B$1:$C$9,2,TRUE))</f>
        <v>A~0</v>
      </c>
    </row>
    <row r="1338" spans="1:12">
      <c r="A1338">
        <v>1113</v>
      </c>
      <c r="B1338" t="s">
        <v>107</v>
      </c>
      <c r="C1338" s="3">
        <v>38637</v>
      </c>
      <c r="D1338" s="3">
        <v>38743</v>
      </c>
      <c r="E1338" t="s">
        <v>17</v>
      </c>
      <c r="F1338">
        <v>33.195</v>
      </c>
      <c r="G1338">
        <v>343.8</v>
      </c>
      <c r="H1338">
        <v>11412</v>
      </c>
      <c r="I1338" s="4">
        <v>38686</v>
      </c>
      <c r="J1338" s="5">
        <f t="shared" si="40"/>
        <v>-57</v>
      </c>
      <c r="K1338" s="6" t="str">
        <f t="shared" si="41"/>
        <v>A~0</v>
      </c>
      <c r="L1338" t="str">
        <f>IF(J1338&lt;0,"A~0",VLOOKUP(J1338,[1]作法V!$B$1:$C$9,2,TRUE))</f>
        <v>A~0</v>
      </c>
    </row>
    <row r="1339" spans="1:12">
      <c r="A1339">
        <v>1113</v>
      </c>
      <c r="B1339" t="s">
        <v>107</v>
      </c>
      <c r="C1339" s="3">
        <v>38637</v>
      </c>
      <c r="D1339" s="3">
        <v>38743</v>
      </c>
      <c r="E1339" t="s">
        <v>17</v>
      </c>
      <c r="F1339">
        <v>33.195</v>
      </c>
      <c r="G1339">
        <v>68.760000000000005</v>
      </c>
      <c r="H1339">
        <v>2282</v>
      </c>
      <c r="I1339" s="4">
        <v>38686</v>
      </c>
      <c r="J1339" s="5">
        <f t="shared" si="40"/>
        <v>-57</v>
      </c>
      <c r="K1339" s="6" t="str">
        <f t="shared" si="41"/>
        <v>A~0</v>
      </c>
      <c r="L1339" t="str">
        <f>IF(J1339&lt;0,"A~0",VLOOKUP(J1339,[1]作法V!$B$1:$C$9,2,TRUE))</f>
        <v>A~0</v>
      </c>
    </row>
    <row r="1340" spans="1:12">
      <c r="A1340">
        <v>1113</v>
      </c>
      <c r="B1340" t="s">
        <v>107</v>
      </c>
      <c r="C1340" s="3">
        <v>38637</v>
      </c>
      <c r="D1340" s="3">
        <v>38743</v>
      </c>
      <c r="E1340" t="s">
        <v>17</v>
      </c>
      <c r="F1340">
        <v>33.195</v>
      </c>
      <c r="G1340">
        <v>2250</v>
      </c>
      <c r="H1340">
        <v>74689</v>
      </c>
      <c r="I1340" s="4">
        <v>38686</v>
      </c>
      <c r="J1340" s="5">
        <f t="shared" si="40"/>
        <v>-57</v>
      </c>
      <c r="K1340" s="6" t="str">
        <f t="shared" si="41"/>
        <v>A~0</v>
      </c>
      <c r="L1340" t="str">
        <f>IF(J1340&lt;0,"A~0",VLOOKUP(J1340,[1]作法V!$B$1:$C$9,2,TRUE))</f>
        <v>A~0</v>
      </c>
    </row>
    <row r="1341" spans="1:12">
      <c r="A1341">
        <v>1113</v>
      </c>
      <c r="B1341" t="s">
        <v>107</v>
      </c>
      <c r="C1341" s="3">
        <v>38639</v>
      </c>
      <c r="D1341" s="3">
        <v>38743</v>
      </c>
      <c r="E1341" t="s">
        <v>18</v>
      </c>
      <c r="F1341">
        <v>1</v>
      </c>
      <c r="G1341">
        <v>16538</v>
      </c>
      <c r="H1341">
        <v>16538</v>
      </c>
      <c r="I1341" s="4">
        <v>38686</v>
      </c>
      <c r="J1341" s="5">
        <f t="shared" si="40"/>
        <v>-57</v>
      </c>
      <c r="K1341" s="6" t="str">
        <f t="shared" si="41"/>
        <v>A~0</v>
      </c>
      <c r="L1341" t="str">
        <f>IF(J1341&lt;0,"A~0",VLOOKUP(J1341,[1]作法V!$B$1:$C$9,2,TRUE))</f>
        <v>A~0</v>
      </c>
    </row>
    <row r="1342" spans="1:12">
      <c r="A1342">
        <v>1113</v>
      </c>
      <c r="B1342" t="s">
        <v>107</v>
      </c>
      <c r="C1342" s="3">
        <v>38639</v>
      </c>
      <c r="D1342" s="3">
        <v>38743</v>
      </c>
      <c r="E1342" t="s">
        <v>18</v>
      </c>
      <c r="F1342">
        <v>1</v>
      </c>
      <c r="G1342">
        <v>53130</v>
      </c>
      <c r="H1342">
        <v>53130</v>
      </c>
      <c r="I1342" s="4">
        <v>38686</v>
      </c>
      <c r="J1342" s="5">
        <f t="shared" si="40"/>
        <v>-57</v>
      </c>
      <c r="K1342" s="6" t="str">
        <f t="shared" si="41"/>
        <v>A~0</v>
      </c>
      <c r="L1342" t="str">
        <f>IF(J1342&lt;0,"A~0",VLOOKUP(J1342,[1]作法V!$B$1:$C$9,2,TRUE))</f>
        <v>A~0</v>
      </c>
    </row>
    <row r="1343" spans="1:12">
      <c r="A1343">
        <v>1113</v>
      </c>
      <c r="B1343" t="s">
        <v>107</v>
      </c>
      <c r="C1343" s="3">
        <v>38645</v>
      </c>
      <c r="D1343" s="3">
        <v>38743</v>
      </c>
      <c r="E1343" t="s">
        <v>17</v>
      </c>
      <c r="F1343">
        <v>33.195</v>
      </c>
      <c r="G1343">
        <v>546.9</v>
      </c>
      <c r="H1343">
        <v>18154</v>
      </c>
      <c r="I1343" s="4">
        <v>38686</v>
      </c>
      <c r="J1343" s="5">
        <f t="shared" si="40"/>
        <v>-57</v>
      </c>
      <c r="K1343" s="6" t="str">
        <f t="shared" si="41"/>
        <v>A~0</v>
      </c>
      <c r="L1343" t="str">
        <f>IF(J1343&lt;0,"A~0",VLOOKUP(J1343,[1]作法V!$B$1:$C$9,2,TRUE))</f>
        <v>A~0</v>
      </c>
    </row>
    <row r="1344" spans="1:12">
      <c r="A1344">
        <v>1113</v>
      </c>
      <c r="B1344" t="s">
        <v>107</v>
      </c>
      <c r="C1344" s="3">
        <v>38646</v>
      </c>
      <c r="D1344" s="3">
        <v>38743</v>
      </c>
      <c r="E1344" t="s">
        <v>17</v>
      </c>
      <c r="F1344">
        <v>33.4</v>
      </c>
      <c r="G1344">
        <v>8281</v>
      </c>
      <c r="H1344">
        <v>276585</v>
      </c>
      <c r="I1344" s="4">
        <v>38686</v>
      </c>
      <c r="J1344" s="5">
        <f t="shared" si="40"/>
        <v>-57</v>
      </c>
      <c r="K1344" s="6" t="str">
        <f t="shared" si="41"/>
        <v>A~0</v>
      </c>
      <c r="L1344" t="str">
        <f>IF(J1344&lt;0,"A~0",VLOOKUP(J1344,[1]作法V!$B$1:$C$9,2,TRUE))</f>
        <v>A~0</v>
      </c>
    </row>
    <row r="1345" spans="1:12">
      <c r="A1345">
        <v>1113</v>
      </c>
      <c r="B1345" t="s">
        <v>107</v>
      </c>
      <c r="C1345" s="3">
        <v>38651</v>
      </c>
      <c r="D1345" s="3">
        <v>38774</v>
      </c>
      <c r="E1345" t="s">
        <v>18</v>
      </c>
      <c r="F1345">
        <v>1</v>
      </c>
      <c r="G1345">
        <v>7718</v>
      </c>
      <c r="H1345">
        <v>7718</v>
      </c>
      <c r="I1345" s="4">
        <v>38686</v>
      </c>
      <c r="J1345" s="5">
        <f t="shared" si="40"/>
        <v>-88</v>
      </c>
      <c r="K1345" s="6" t="str">
        <f t="shared" si="41"/>
        <v>A~0</v>
      </c>
      <c r="L1345" t="str">
        <f>IF(J1345&lt;0,"A~0",VLOOKUP(J1345,[1]作法V!$B$1:$C$9,2,TRUE))</f>
        <v>A~0</v>
      </c>
    </row>
    <row r="1346" spans="1:12">
      <c r="A1346">
        <v>1113</v>
      </c>
      <c r="B1346" t="s">
        <v>107</v>
      </c>
      <c r="C1346" s="3">
        <v>38653</v>
      </c>
      <c r="D1346" s="3">
        <v>38774</v>
      </c>
      <c r="E1346" t="s">
        <v>17</v>
      </c>
      <c r="F1346">
        <v>33.4</v>
      </c>
      <c r="G1346">
        <v>190.65</v>
      </c>
      <c r="H1346">
        <v>6368</v>
      </c>
      <c r="I1346" s="4">
        <v>38686</v>
      </c>
      <c r="J1346" s="5">
        <f t="shared" ref="J1346:J1409" si="42">I1346-D1346</f>
        <v>-88</v>
      </c>
      <c r="K1346" s="6" t="str">
        <f t="shared" ref="K1346:K1409" si="43">IF(J1346&lt;1,"A~0",IF(J1346&lt;31,"B1~30",IF(J1346&lt;61,"C31~60",IF(J1346&lt;91,"D61~90",IF(J1346&lt;121,"E91~120",IF(J1346&lt;181,"F121~180",IF(J1346&lt;361,"G181~360","H361~")))))))</f>
        <v>A~0</v>
      </c>
      <c r="L1346" t="str">
        <f>IF(J1346&lt;0,"A~0",VLOOKUP(J1346,[1]作法V!$B$1:$C$9,2,TRUE))</f>
        <v>A~0</v>
      </c>
    </row>
    <row r="1347" spans="1:12">
      <c r="A1347">
        <v>1113</v>
      </c>
      <c r="B1347" t="s">
        <v>107</v>
      </c>
      <c r="C1347" s="3">
        <v>38653</v>
      </c>
      <c r="D1347" s="3">
        <v>38774</v>
      </c>
      <c r="E1347" t="s">
        <v>17</v>
      </c>
      <c r="F1347">
        <v>33.4</v>
      </c>
      <c r="G1347">
        <v>3312.4</v>
      </c>
      <c r="H1347">
        <v>110634</v>
      </c>
      <c r="I1347" s="4">
        <v>38686</v>
      </c>
      <c r="J1347" s="5">
        <f t="shared" si="42"/>
        <v>-88</v>
      </c>
      <c r="K1347" s="6" t="str">
        <f t="shared" si="43"/>
        <v>A~0</v>
      </c>
      <c r="L1347" t="str">
        <f>IF(J1347&lt;0,"A~0",VLOOKUP(J1347,[1]作法V!$B$1:$C$9,2,TRUE))</f>
        <v>A~0</v>
      </c>
    </row>
    <row r="1348" spans="1:12">
      <c r="A1348">
        <v>1113</v>
      </c>
      <c r="B1348" t="s">
        <v>107</v>
      </c>
      <c r="C1348" s="3">
        <v>38653</v>
      </c>
      <c r="D1348" s="3">
        <v>38774</v>
      </c>
      <c r="E1348" t="s">
        <v>17</v>
      </c>
      <c r="F1348">
        <v>33.4</v>
      </c>
      <c r="G1348">
        <v>2250</v>
      </c>
      <c r="H1348">
        <v>75150</v>
      </c>
      <c r="I1348" s="4">
        <v>38686</v>
      </c>
      <c r="J1348" s="5">
        <f t="shared" si="42"/>
        <v>-88</v>
      </c>
      <c r="K1348" s="6" t="str">
        <f t="shared" si="43"/>
        <v>A~0</v>
      </c>
      <c r="L1348" t="str">
        <f>IF(J1348&lt;0,"A~0",VLOOKUP(J1348,[1]作法V!$B$1:$C$9,2,TRUE))</f>
        <v>A~0</v>
      </c>
    </row>
    <row r="1349" spans="1:12">
      <c r="A1349">
        <v>1113</v>
      </c>
      <c r="B1349" t="s">
        <v>107</v>
      </c>
      <c r="C1349" s="3">
        <v>38653</v>
      </c>
      <c r="D1349" s="3">
        <v>38774</v>
      </c>
      <c r="E1349" t="s">
        <v>18</v>
      </c>
      <c r="F1349">
        <v>1</v>
      </c>
      <c r="G1349">
        <v>68800</v>
      </c>
      <c r="H1349">
        <v>68800</v>
      </c>
      <c r="I1349" s="4">
        <v>38686</v>
      </c>
      <c r="J1349" s="5">
        <f t="shared" si="42"/>
        <v>-88</v>
      </c>
      <c r="K1349" s="6" t="str">
        <f t="shared" si="43"/>
        <v>A~0</v>
      </c>
      <c r="L1349" t="str">
        <f>IF(J1349&lt;0,"A~0",VLOOKUP(J1349,[1]作法V!$B$1:$C$9,2,TRUE))</f>
        <v>A~0</v>
      </c>
    </row>
    <row r="1350" spans="1:12">
      <c r="A1350">
        <v>1113</v>
      </c>
      <c r="B1350" t="s">
        <v>107</v>
      </c>
      <c r="C1350" s="3">
        <v>38653</v>
      </c>
      <c r="D1350" s="3">
        <v>38774</v>
      </c>
      <c r="E1350" t="s">
        <v>18</v>
      </c>
      <c r="F1350">
        <v>1</v>
      </c>
      <c r="G1350">
        <v>6100</v>
      </c>
      <c r="H1350">
        <v>6100</v>
      </c>
      <c r="I1350" s="4">
        <v>38686</v>
      </c>
      <c r="J1350" s="5">
        <f t="shared" si="42"/>
        <v>-88</v>
      </c>
      <c r="K1350" s="6" t="str">
        <f t="shared" si="43"/>
        <v>A~0</v>
      </c>
      <c r="L1350" t="str">
        <f>IF(J1350&lt;0,"A~0",VLOOKUP(J1350,[1]作法V!$B$1:$C$9,2,TRUE))</f>
        <v>A~0</v>
      </c>
    </row>
    <row r="1351" spans="1:12">
      <c r="A1351">
        <v>1113</v>
      </c>
      <c r="B1351" t="s">
        <v>107</v>
      </c>
      <c r="C1351" s="3">
        <v>38653</v>
      </c>
      <c r="D1351" s="3">
        <v>38774</v>
      </c>
      <c r="E1351" t="s">
        <v>18</v>
      </c>
      <c r="F1351">
        <v>1</v>
      </c>
      <c r="G1351">
        <v>35000</v>
      </c>
      <c r="H1351">
        <v>35000</v>
      </c>
      <c r="I1351" s="4">
        <v>38686</v>
      </c>
      <c r="J1351" s="5">
        <f t="shared" si="42"/>
        <v>-88</v>
      </c>
      <c r="K1351" s="6" t="str">
        <f t="shared" si="43"/>
        <v>A~0</v>
      </c>
      <c r="L1351" t="str">
        <f>IF(J1351&lt;0,"A~0",VLOOKUP(J1351,[1]作法V!$B$1:$C$9,2,TRUE))</f>
        <v>A~0</v>
      </c>
    </row>
    <row r="1352" spans="1:12">
      <c r="A1352">
        <v>1113</v>
      </c>
      <c r="B1352" t="s">
        <v>107</v>
      </c>
      <c r="C1352" s="3">
        <v>38653</v>
      </c>
      <c r="D1352" s="3">
        <v>38774</v>
      </c>
      <c r="E1352" t="s">
        <v>18</v>
      </c>
      <c r="F1352">
        <v>1</v>
      </c>
      <c r="G1352">
        <v>159000</v>
      </c>
      <c r="H1352">
        <v>159000</v>
      </c>
      <c r="I1352" s="4">
        <v>38686</v>
      </c>
      <c r="J1352" s="5">
        <f t="shared" si="42"/>
        <v>-88</v>
      </c>
      <c r="K1352" s="6" t="str">
        <f t="shared" si="43"/>
        <v>A~0</v>
      </c>
      <c r="L1352" t="str">
        <f>IF(J1352&lt;0,"A~0",VLOOKUP(J1352,[1]作法V!$B$1:$C$9,2,TRUE))</f>
        <v>A~0</v>
      </c>
    </row>
    <row r="1353" spans="1:12">
      <c r="A1353">
        <v>1113</v>
      </c>
      <c r="B1353" t="s">
        <v>107</v>
      </c>
      <c r="C1353" s="3">
        <v>38653</v>
      </c>
      <c r="D1353" s="3">
        <v>38774</v>
      </c>
      <c r="E1353" t="s">
        <v>18</v>
      </c>
      <c r="F1353">
        <v>1</v>
      </c>
      <c r="G1353">
        <v>67599</v>
      </c>
      <c r="H1353">
        <v>67599</v>
      </c>
      <c r="I1353" s="4">
        <v>38686</v>
      </c>
      <c r="J1353" s="5">
        <f t="shared" si="42"/>
        <v>-88</v>
      </c>
      <c r="K1353" s="6" t="str">
        <f t="shared" si="43"/>
        <v>A~0</v>
      </c>
      <c r="L1353" t="str">
        <f>IF(J1353&lt;0,"A~0",VLOOKUP(J1353,[1]作法V!$B$1:$C$9,2,TRUE))</f>
        <v>A~0</v>
      </c>
    </row>
    <row r="1354" spans="1:12">
      <c r="A1354">
        <v>1113</v>
      </c>
      <c r="B1354" t="s">
        <v>107</v>
      </c>
      <c r="C1354" s="3">
        <v>38653</v>
      </c>
      <c r="D1354" s="3">
        <v>38774</v>
      </c>
      <c r="E1354" t="s">
        <v>18</v>
      </c>
      <c r="F1354">
        <v>1</v>
      </c>
      <c r="G1354">
        <v>19425</v>
      </c>
      <c r="H1354">
        <v>19425</v>
      </c>
      <c r="I1354" s="4">
        <v>38686</v>
      </c>
      <c r="J1354" s="5">
        <f t="shared" si="42"/>
        <v>-88</v>
      </c>
      <c r="K1354" s="6" t="str">
        <f t="shared" si="43"/>
        <v>A~0</v>
      </c>
      <c r="L1354" t="str">
        <f>IF(J1354&lt;0,"A~0",VLOOKUP(J1354,[1]作法V!$B$1:$C$9,2,TRUE))</f>
        <v>A~0</v>
      </c>
    </row>
    <row r="1355" spans="1:12">
      <c r="A1355">
        <v>1113</v>
      </c>
      <c r="B1355" t="s">
        <v>107</v>
      </c>
      <c r="C1355" s="3">
        <v>38664</v>
      </c>
      <c r="D1355" s="3">
        <v>38774</v>
      </c>
      <c r="E1355" t="s">
        <v>18</v>
      </c>
      <c r="F1355">
        <v>1</v>
      </c>
      <c r="G1355">
        <v>52500</v>
      </c>
      <c r="H1355">
        <v>52500</v>
      </c>
      <c r="I1355" s="4">
        <v>38686</v>
      </c>
      <c r="J1355" s="5">
        <f t="shared" si="42"/>
        <v>-88</v>
      </c>
      <c r="K1355" s="6" t="str">
        <f t="shared" si="43"/>
        <v>A~0</v>
      </c>
      <c r="L1355" t="str">
        <f>IF(J1355&lt;0,"A~0",VLOOKUP(J1355,[1]作法V!$B$1:$C$9,2,TRUE))</f>
        <v>A~0</v>
      </c>
    </row>
    <row r="1356" spans="1:12">
      <c r="A1356">
        <v>1113</v>
      </c>
      <c r="B1356" t="s">
        <v>107</v>
      </c>
      <c r="C1356" s="3">
        <v>38665</v>
      </c>
      <c r="D1356" s="3">
        <v>38774</v>
      </c>
      <c r="E1356" t="s">
        <v>18</v>
      </c>
      <c r="F1356">
        <v>1</v>
      </c>
      <c r="G1356">
        <v>1470</v>
      </c>
      <c r="H1356">
        <v>1470</v>
      </c>
      <c r="I1356" s="4">
        <v>38686</v>
      </c>
      <c r="J1356" s="5">
        <f t="shared" si="42"/>
        <v>-88</v>
      </c>
      <c r="K1356" s="6" t="str">
        <f t="shared" si="43"/>
        <v>A~0</v>
      </c>
      <c r="L1356" t="str">
        <f>IF(J1356&lt;0,"A~0",VLOOKUP(J1356,[1]作法V!$B$1:$C$9,2,TRUE))</f>
        <v>A~0</v>
      </c>
    </row>
    <row r="1357" spans="1:12">
      <c r="A1357">
        <v>1113</v>
      </c>
      <c r="B1357" t="s">
        <v>107</v>
      </c>
      <c r="C1357" s="3">
        <v>38665</v>
      </c>
      <c r="D1357" s="3">
        <v>38774</v>
      </c>
      <c r="E1357" t="s">
        <v>17</v>
      </c>
      <c r="F1357">
        <v>33.715000000000003</v>
      </c>
      <c r="G1357">
        <v>1500</v>
      </c>
      <c r="H1357">
        <v>50573</v>
      </c>
      <c r="I1357" s="4">
        <v>38686</v>
      </c>
      <c r="J1357" s="5">
        <f t="shared" si="42"/>
        <v>-88</v>
      </c>
      <c r="K1357" s="6" t="str">
        <f t="shared" si="43"/>
        <v>A~0</v>
      </c>
      <c r="L1357" t="str">
        <f>IF(J1357&lt;0,"A~0",VLOOKUP(J1357,[1]作法V!$B$1:$C$9,2,TRUE))</f>
        <v>A~0</v>
      </c>
    </row>
    <row r="1358" spans="1:12">
      <c r="A1358">
        <v>1113</v>
      </c>
      <c r="B1358" t="s">
        <v>107</v>
      </c>
      <c r="C1358" s="3">
        <v>38665</v>
      </c>
      <c r="D1358" s="3">
        <v>38774</v>
      </c>
      <c r="E1358" t="s">
        <v>18</v>
      </c>
      <c r="F1358">
        <v>1</v>
      </c>
      <c r="G1358">
        <v>48000</v>
      </c>
      <c r="H1358">
        <v>48000</v>
      </c>
      <c r="I1358" s="4">
        <v>38686</v>
      </c>
      <c r="J1358" s="5">
        <f t="shared" si="42"/>
        <v>-88</v>
      </c>
      <c r="K1358" s="6" t="str">
        <f t="shared" si="43"/>
        <v>A~0</v>
      </c>
      <c r="L1358" t="str">
        <f>IF(J1358&lt;0,"A~0",VLOOKUP(J1358,[1]作法V!$B$1:$C$9,2,TRUE))</f>
        <v>A~0</v>
      </c>
    </row>
    <row r="1359" spans="1:12">
      <c r="A1359">
        <v>1113</v>
      </c>
      <c r="B1359" t="s">
        <v>107</v>
      </c>
      <c r="C1359" s="3">
        <v>38665</v>
      </c>
      <c r="D1359" s="3">
        <v>38774</v>
      </c>
      <c r="E1359" t="s">
        <v>18</v>
      </c>
      <c r="F1359">
        <v>1</v>
      </c>
      <c r="G1359">
        <v>183750</v>
      </c>
      <c r="H1359">
        <v>183750</v>
      </c>
      <c r="I1359" s="4">
        <v>38686</v>
      </c>
      <c r="J1359" s="5">
        <f t="shared" si="42"/>
        <v>-88</v>
      </c>
      <c r="K1359" s="6" t="str">
        <f t="shared" si="43"/>
        <v>A~0</v>
      </c>
      <c r="L1359" t="str">
        <f>IF(J1359&lt;0,"A~0",VLOOKUP(J1359,[1]作法V!$B$1:$C$9,2,TRUE))</f>
        <v>A~0</v>
      </c>
    </row>
    <row r="1360" spans="1:12">
      <c r="A1360">
        <v>1113</v>
      </c>
      <c r="B1360" t="s">
        <v>107</v>
      </c>
      <c r="C1360" s="3">
        <v>38667</v>
      </c>
      <c r="D1360" s="3">
        <v>38774</v>
      </c>
      <c r="E1360" t="s">
        <v>18</v>
      </c>
      <c r="F1360">
        <v>1</v>
      </c>
      <c r="G1360">
        <v>43750</v>
      </c>
      <c r="H1360">
        <v>43750</v>
      </c>
      <c r="I1360" s="4">
        <v>38686</v>
      </c>
      <c r="J1360" s="5">
        <f t="shared" si="42"/>
        <v>-88</v>
      </c>
      <c r="K1360" s="6" t="str">
        <f t="shared" si="43"/>
        <v>A~0</v>
      </c>
      <c r="L1360" t="str">
        <f>IF(J1360&lt;0,"A~0",VLOOKUP(J1360,[1]作法V!$B$1:$C$9,2,TRUE))</f>
        <v>A~0</v>
      </c>
    </row>
    <row r="1361" spans="1:12">
      <c r="A1361">
        <v>1113</v>
      </c>
      <c r="B1361" t="s">
        <v>107</v>
      </c>
      <c r="C1361" s="3">
        <v>38667</v>
      </c>
      <c r="D1361" s="3">
        <v>38774</v>
      </c>
      <c r="E1361" t="s">
        <v>18</v>
      </c>
      <c r="F1361">
        <v>1</v>
      </c>
      <c r="G1361">
        <v>9923</v>
      </c>
      <c r="H1361">
        <v>9923</v>
      </c>
      <c r="I1361" s="4">
        <v>38686</v>
      </c>
      <c r="J1361" s="5">
        <f t="shared" si="42"/>
        <v>-88</v>
      </c>
      <c r="K1361" s="6" t="str">
        <f t="shared" si="43"/>
        <v>A~0</v>
      </c>
      <c r="L1361" t="str">
        <f>IF(J1361&lt;0,"A~0",VLOOKUP(J1361,[1]作法V!$B$1:$C$9,2,TRUE))</f>
        <v>A~0</v>
      </c>
    </row>
    <row r="1362" spans="1:12">
      <c r="A1362">
        <v>1113</v>
      </c>
      <c r="B1362" t="s">
        <v>107</v>
      </c>
      <c r="C1362" s="3">
        <v>38672</v>
      </c>
      <c r="D1362" s="3">
        <v>38774</v>
      </c>
      <c r="E1362" t="s">
        <v>18</v>
      </c>
      <c r="F1362">
        <v>1</v>
      </c>
      <c r="G1362">
        <v>67500</v>
      </c>
      <c r="H1362">
        <v>67500</v>
      </c>
      <c r="I1362" s="4">
        <v>38686</v>
      </c>
      <c r="J1362" s="5">
        <f t="shared" si="42"/>
        <v>-88</v>
      </c>
      <c r="K1362" s="6" t="str">
        <f t="shared" si="43"/>
        <v>A~0</v>
      </c>
      <c r="L1362" t="str">
        <f>IF(J1362&lt;0,"A~0",VLOOKUP(J1362,[1]作法V!$B$1:$C$9,2,TRUE))</f>
        <v>A~0</v>
      </c>
    </row>
    <row r="1363" spans="1:12">
      <c r="A1363">
        <v>1113</v>
      </c>
      <c r="B1363" t="s">
        <v>107</v>
      </c>
      <c r="C1363" s="3">
        <v>38672</v>
      </c>
      <c r="D1363" s="3">
        <v>38774</v>
      </c>
      <c r="E1363" t="s">
        <v>18</v>
      </c>
      <c r="F1363">
        <v>1</v>
      </c>
      <c r="G1363">
        <v>43750</v>
      </c>
      <c r="H1363">
        <v>43750</v>
      </c>
      <c r="I1363" s="4">
        <v>38686</v>
      </c>
      <c r="J1363" s="5">
        <f t="shared" si="42"/>
        <v>-88</v>
      </c>
      <c r="K1363" s="6" t="str">
        <f t="shared" si="43"/>
        <v>A~0</v>
      </c>
      <c r="L1363" t="str">
        <f>IF(J1363&lt;0,"A~0",VLOOKUP(J1363,[1]作法V!$B$1:$C$9,2,TRUE))</f>
        <v>A~0</v>
      </c>
    </row>
    <row r="1364" spans="1:12">
      <c r="A1364">
        <v>1113</v>
      </c>
      <c r="B1364" t="s">
        <v>107</v>
      </c>
      <c r="C1364" s="3">
        <v>38674</v>
      </c>
      <c r="D1364" s="3">
        <v>38774</v>
      </c>
      <c r="E1364" t="s">
        <v>18</v>
      </c>
      <c r="F1364">
        <v>1</v>
      </c>
      <c r="G1364">
        <v>108000</v>
      </c>
      <c r="H1364">
        <v>108000</v>
      </c>
      <c r="I1364" s="4">
        <v>38686</v>
      </c>
      <c r="J1364" s="5">
        <f t="shared" si="42"/>
        <v>-88</v>
      </c>
      <c r="K1364" s="6" t="str">
        <f t="shared" si="43"/>
        <v>A~0</v>
      </c>
      <c r="L1364" t="str">
        <f>IF(J1364&lt;0,"A~0",VLOOKUP(J1364,[1]作法V!$B$1:$C$9,2,TRUE))</f>
        <v>A~0</v>
      </c>
    </row>
    <row r="1365" spans="1:12">
      <c r="A1365">
        <v>1113</v>
      </c>
      <c r="B1365" t="s">
        <v>107</v>
      </c>
      <c r="C1365" s="3">
        <v>38677</v>
      </c>
      <c r="D1365" s="3">
        <v>38774</v>
      </c>
      <c r="E1365" t="s">
        <v>18</v>
      </c>
      <c r="F1365">
        <v>1</v>
      </c>
      <c r="G1365">
        <v>8950</v>
      </c>
      <c r="H1365">
        <v>8950</v>
      </c>
      <c r="I1365" s="4">
        <v>38686</v>
      </c>
      <c r="J1365" s="5">
        <f t="shared" si="42"/>
        <v>-88</v>
      </c>
      <c r="K1365" s="6" t="str">
        <f t="shared" si="43"/>
        <v>A~0</v>
      </c>
      <c r="L1365" t="str">
        <f>IF(J1365&lt;0,"A~0",VLOOKUP(J1365,[1]作法V!$B$1:$C$9,2,TRUE))</f>
        <v>A~0</v>
      </c>
    </row>
    <row r="1366" spans="1:12">
      <c r="A1366">
        <v>1113</v>
      </c>
      <c r="B1366" t="s">
        <v>107</v>
      </c>
      <c r="C1366" s="3">
        <v>38679</v>
      </c>
      <c r="D1366" s="3">
        <v>38774</v>
      </c>
      <c r="E1366" t="s">
        <v>18</v>
      </c>
      <c r="F1366">
        <v>1</v>
      </c>
      <c r="G1366">
        <v>301000</v>
      </c>
      <c r="H1366">
        <v>301000</v>
      </c>
      <c r="I1366" s="4">
        <v>38686</v>
      </c>
      <c r="J1366" s="5">
        <f t="shared" si="42"/>
        <v>-88</v>
      </c>
      <c r="K1366" s="6" t="str">
        <f t="shared" si="43"/>
        <v>A~0</v>
      </c>
      <c r="L1366" t="str">
        <f>IF(J1366&lt;0,"A~0",VLOOKUP(J1366,[1]作法V!$B$1:$C$9,2,TRUE))</f>
        <v>A~0</v>
      </c>
    </row>
    <row r="1367" spans="1:12">
      <c r="A1367">
        <v>1113</v>
      </c>
      <c r="B1367" t="s">
        <v>107</v>
      </c>
      <c r="C1367" s="3">
        <v>38679</v>
      </c>
      <c r="D1367" s="3">
        <v>38774</v>
      </c>
      <c r="E1367" t="s">
        <v>18</v>
      </c>
      <c r="F1367">
        <v>1</v>
      </c>
      <c r="G1367">
        <v>183750</v>
      </c>
      <c r="H1367">
        <v>183750</v>
      </c>
      <c r="I1367" s="4">
        <v>38686</v>
      </c>
      <c r="J1367" s="5">
        <f t="shared" si="42"/>
        <v>-88</v>
      </c>
      <c r="K1367" s="6" t="str">
        <f t="shared" si="43"/>
        <v>A~0</v>
      </c>
      <c r="L1367" t="str">
        <f>IF(J1367&lt;0,"A~0",VLOOKUP(J1367,[1]作法V!$B$1:$C$9,2,TRUE))</f>
        <v>A~0</v>
      </c>
    </row>
    <row r="1368" spans="1:12">
      <c r="A1368">
        <v>1113</v>
      </c>
      <c r="B1368" t="s">
        <v>107</v>
      </c>
      <c r="C1368" s="3">
        <v>38680</v>
      </c>
      <c r="D1368" s="3">
        <v>38774</v>
      </c>
      <c r="E1368" t="s">
        <v>18</v>
      </c>
      <c r="F1368">
        <v>1</v>
      </c>
      <c r="G1368">
        <v>1722</v>
      </c>
      <c r="H1368">
        <v>1722</v>
      </c>
      <c r="I1368" s="4">
        <v>38686</v>
      </c>
      <c r="J1368" s="5">
        <f t="shared" si="42"/>
        <v>-88</v>
      </c>
      <c r="K1368" s="6" t="str">
        <f t="shared" si="43"/>
        <v>A~0</v>
      </c>
      <c r="L1368" t="str">
        <f>IF(J1368&lt;0,"A~0",VLOOKUP(J1368,[1]作法V!$B$1:$C$9,2,TRUE))</f>
        <v>A~0</v>
      </c>
    </row>
    <row r="1369" spans="1:12">
      <c r="A1369">
        <v>1113</v>
      </c>
      <c r="B1369" t="s">
        <v>107</v>
      </c>
      <c r="C1369" s="3">
        <v>38681</v>
      </c>
      <c r="D1369" s="3">
        <v>38802</v>
      </c>
      <c r="E1369" t="s">
        <v>17</v>
      </c>
      <c r="F1369">
        <v>33.409999999999997</v>
      </c>
      <c r="G1369">
        <v>762.6</v>
      </c>
      <c r="H1369">
        <v>25478</v>
      </c>
      <c r="I1369" s="4">
        <v>38686</v>
      </c>
      <c r="J1369" s="5">
        <f t="shared" si="42"/>
        <v>-116</v>
      </c>
      <c r="K1369" s="6" t="str">
        <f t="shared" si="43"/>
        <v>A~0</v>
      </c>
      <c r="L1369" t="str">
        <f>IF(J1369&lt;0,"A~0",VLOOKUP(J1369,[1]作法V!$B$1:$C$9,2,TRUE))</f>
        <v>A~0</v>
      </c>
    </row>
    <row r="1370" spans="1:12">
      <c r="A1370">
        <v>1113</v>
      </c>
      <c r="B1370" t="s">
        <v>107</v>
      </c>
      <c r="C1370" s="3">
        <v>38681</v>
      </c>
      <c r="D1370" s="3">
        <v>38802</v>
      </c>
      <c r="E1370" t="s">
        <v>18</v>
      </c>
      <c r="F1370">
        <v>1</v>
      </c>
      <c r="G1370">
        <v>10800</v>
      </c>
      <c r="H1370">
        <v>10800</v>
      </c>
      <c r="I1370" s="4">
        <v>38686</v>
      </c>
      <c r="J1370" s="5">
        <f t="shared" si="42"/>
        <v>-116</v>
      </c>
      <c r="K1370" s="6" t="str">
        <f t="shared" si="43"/>
        <v>A~0</v>
      </c>
      <c r="L1370" t="str">
        <f>IF(J1370&lt;0,"A~0",VLOOKUP(J1370,[1]作法V!$B$1:$C$9,2,TRUE))</f>
        <v>A~0</v>
      </c>
    </row>
    <row r="1371" spans="1:12">
      <c r="A1371">
        <v>1113</v>
      </c>
      <c r="B1371" t="s">
        <v>107</v>
      </c>
      <c r="C1371" s="3">
        <v>38681</v>
      </c>
      <c r="D1371" s="3">
        <v>38802</v>
      </c>
      <c r="E1371" t="s">
        <v>18</v>
      </c>
      <c r="F1371">
        <v>1</v>
      </c>
      <c r="G1371">
        <v>35000</v>
      </c>
      <c r="H1371">
        <v>35000</v>
      </c>
      <c r="I1371" s="4">
        <v>38686</v>
      </c>
      <c r="J1371" s="5">
        <f t="shared" si="42"/>
        <v>-116</v>
      </c>
      <c r="K1371" s="6" t="str">
        <f t="shared" si="43"/>
        <v>A~0</v>
      </c>
      <c r="L1371" t="str">
        <f>IF(J1371&lt;0,"A~0",VLOOKUP(J1371,[1]作法V!$B$1:$C$9,2,TRUE))</f>
        <v>A~0</v>
      </c>
    </row>
    <row r="1372" spans="1:12">
      <c r="A1372">
        <v>1113</v>
      </c>
      <c r="B1372" t="s">
        <v>107</v>
      </c>
      <c r="C1372" s="3">
        <v>38681</v>
      </c>
      <c r="D1372" s="3">
        <v>38802</v>
      </c>
      <c r="E1372" t="s">
        <v>18</v>
      </c>
      <c r="F1372">
        <v>1</v>
      </c>
      <c r="G1372">
        <v>5760</v>
      </c>
      <c r="H1372">
        <v>5760</v>
      </c>
      <c r="I1372" s="4">
        <v>38686</v>
      </c>
      <c r="J1372" s="5">
        <f t="shared" si="42"/>
        <v>-116</v>
      </c>
      <c r="K1372" s="6" t="str">
        <f t="shared" si="43"/>
        <v>A~0</v>
      </c>
      <c r="L1372" t="str">
        <f>IF(J1372&lt;0,"A~0",VLOOKUP(J1372,[1]作法V!$B$1:$C$9,2,TRUE))</f>
        <v>A~0</v>
      </c>
    </row>
    <row r="1373" spans="1:12">
      <c r="A1373">
        <v>1113</v>
      </c>
      <c r="B1373" t="s">
        <v>107</v>
      </c>
      <c r="C1373" s="3">
        <v>38681</v>
      </c>
      <c r="D1373" s="3">
        <v>38802</v>
      </c>
      <c r="E1373" t="s">
        <v>18</v>
      </c>
      <c r="F1373">
        <v>1</v>
      </c>
      <c r="G1373">
        <v>313000</v>
      </c>
      <c r="H1373">
        <v>313000</v>
      </c>
      <c r="I1373" s="4">
        <v>38686</v>
      </c>
      <c r="J1373" s="5">
        <f t="shared" si="42"/>
        <v>-116</v>
      </c>
      <c r="K1373" s="6" t="str">
        <f t="shared" si="43"/>
        <v>A~0</v>
      </c>
      <c r="L1373" t="str">
        <f>IF(J1373&lt;0,"A~0",VLOOKUP(J1373,[1]作法V!$B$1:$C$9,2,TRUE))</f>
        <v>A~0</v>
      </c>
    </row>
    <row r="1374" spans="1:12">
      <c r="A1374">
        <v>1113</v>
      </c>
      <c r="B1374" t="s">
        <v>107</v>
      </c>
      <c r="C1374" s="3">
        <v>38681</v>
      </c>
      <c r="D1374" s="3">
        <v>38802</v>
      </c>
      <c r="E1374" t="s">
        <v>18</v>
      </c>
      <c r="F1374">
        <v>1</v>
      </c>
      <c r="G1374">
        <v>57488</v>
      </c>
      <c r="H1374">
        <v>57488</v>
      </c>
      <c r="I1374" s="4">
        <v>38686</v>
      </c>
      <c r="J1374" s="5">
        <f t="shared" si="42"/>
        <v>-116</v>
      </c>
      <c r="K1374" s="6" t="str">
        <f t="shared" si="43"/>
        <v>A~0</v>
      </c>
      <c r="L1374" t="str">
        <f>IF(J1374&lt;0,"A~0",VLOOKUP(J1374,[1]作法V!$B$1:$C$9,2,TRUE))</f>
        <v>A~0</v>
      </c>
    </row>
    <row r="1375" spans="1:12">
      <c r="A1375">
        <v>1113</v>
      </c>
      <c r="B1375" t="s">
        <v>107</v>
      </c>
      <c r="C1375" s="3">
        <v>38681</v>
      </c>
      <c r="D1375" s="3">
        <v>38802</v>
      </c>
      <c r="E1375" t="s">
        <v>18</v>
      </c>
      <c r="F1375">
        <v>1</v>
      </c>
      <c r="G1375">
        <v>36120</v>
      </c>
      <c r="H1375">
        <v>36120</v>
      </c>
      <c r="I1375" s="4">
        <v>38686</v>
      </c>
      <c r="J1375" s="5">
        <f t="shared" si="42"/>
        <v>-116</v>
      </c>
      <c r="K1375" s="6" t="str">
        <f t="shared" si="43"/>
        <v>A~0</v>
      </c>
      <c r="L1375" t="str">
        <f>IF(J1375&lt;0,"A~0",VLOOKUP(J1375,[1]作法V!$B$1:$C$9,2,TRUE))</f>
        <v>A~0</v>
      </c>
    </row>
    <row r="1376" spans="1:12">
      <c r="A1376">
        <v>1113</v>
      </c>
      <c r="B1376" t="s">
        <v>107</v>
      </c>
      <c r="C1376" s="3">
        <v>38684</v>
      </c>
      <c r="D1376" s="3">
        <v>38802</v>
      </c>
      <c r="E1376" t="s">
        <v>18</v>
      </c>
      <c r="F1376">
        <v>1</v>
      </c>
      <c r="G1376">
        <v>106000</v>
      </c>
      <c r="H1376">
        <v>106000</v>
      </c>
      <c r="I1376" s="4">
        <v>38686</v>
      </c>
      <c r="J1376" s="5">
        <f t="shared" si="42"/>
        <v>-116</v>
      </c>
      <c r="K1376" s="6" t="str">
        <f t="shared" si="43"/>
        <v>A~0</v>
      </c>
      <c r="L1376" t="str">
        <f>IF(J1376&lt;0,"A~0",VLOOKUP(J1376,[1]作法V!$B$1:$C$9,2,TRUE))</f>
        <v>A~0</v>
      </c>
    </row>
    <row r="1377" spans="1:12">
      <c r="A1377">
        <v>1113</v>
      </c>
      <c r="B1377" t="s">
        <v>107</v>
      </c>
      <c r="C1377" s="3">
        <v>38686</v>
      </c>
      <c r="D1377" s="3">
        <v>38802</v>
      </c>
      <c r="E1377" t="s">
        <v>18</v>
      </c>
      <c r="F1377">
        <v>1</v>
      </c>
      <c r="G1377">
        <v>17200</v>
      </c>
      <c r="H1377">
        <v>17200</v>
      </c>
      <c r="I1377" s="4">
        <v>38686</v>
      </c>
      <c r="J1377" s="5">
        <f t="shared" si="42"/>
        <v>-116</v>
      </c>
      <c r="K1377" s="6" t="str">
        <f t="shared" si="43"/>
        <v>A~0</v>
      </c>
      <c r="L1377" t="str">
        <f>IF(J1377&lt;0,"A~0",VLOOKUP(J1377,[1]作法V!$B$1:$C$9,2,TRUE))</f>
        <v>A~0</v>
      </c>
    </row>
    <row r="1378" spans="1:12">
      <c r="A1378">
        <v>1113</v>
      </c>
      <c r="B1378" t="s">
        <v>107</v>
      </c>
      <c r="C1378" s="3">
        <v>38686</v>
      </c>
      <c r="D1378" s="3">
        <v>38802</v>
      </c>
      <c r="E1378" t="s">
        <v>18</v>
      </c>
      <c r="F1378">
        <v>1</v>
      </c>
      <c r="G1378">
        <v>45360</v>
      </c>
      <c r="H1378">
        <v>45360</v>
      </c>
      <c r="I1378" s="4">
        <v>38686</v>
      </c>
      <c r="J1378" s="5">
        <f t="shared" si="42"/>
        <v>-116</v>
      </c>
      <c r="K1378" s="6" t="str">
        <f t="shared" si="43"/>
        <v>A~0</v>
      </c>
      <c r="L1378" t="str">
        <f>IF(J1378&lt;0,"A~0",VLOOKUP(J1378,[1]作法V!$B$1:$C$9,2,TRUE))</f>
        <v>A~0</v>
      </c>
    </row>
    <row r="1379" spans="1:12">
      <c r="A1379">
        <v>1115</v>
      </c>
      <c r="B1379" t="s">
        <v>84</v>
      </c>
      <c r="C1379" s="3">
        <v>38594</v>
      </c>
      <c r="D1379" s="3">
        <v>38681</v>
      </c>
      <c r="E1379" t="s">
        <v>18</v>
      </c>
      <c r="F1379">
        <v>1</v>
      </c>
      <c r="G1379">
        <v>108000</v>
      </c>
      <c r="H1379">
        <v>108000</v>
      </c>
      <c r="I1379" s="4">
        <v>38686</v>
      </c>
      <c r="J1379" s="5">
        <f t="shared" si="42"/>
        <v>5</v>
      </c>
      <c r="K1379" s="6" t="str">
        <f t="shared" si="43"/>
        <v>B1~30</v>
      </c>
      <c r="L1379" t="str">
        <f>IF(J1379&lt;0,"A~0",VLOOKUP(J1379,[1]作法V!$B$1:$C$9,2,TRUE))</f>
        <v>B1~30</v>
      </c>
    </row>
    <row r="1380" spans="1:12">
      <c r="A1380">
        <v>1115</v>
      </c>
      <c r="B1380" t="s">
        <v>84</v>
      </c>
      <c r="C1380" s="3">
        <v>38595</v>
      </c>
      <c r="D1380" s="3">
        <v>38681</v>
      </c>
      <c r="E1380" t="s">
        <v>18</v>
      </c>
      <c r="F1380">
        <v>1</v>
      </c>
      <c r="G1380">
        <v>5460</v>
      </c>
      <c r="H1380">
        <v>5460</v>
      </c>
      <c r="I1380" s="4">
        <v>38686</v>
      </c>
      <c r="J1380" s="5">
        <f t="shared" si="42"/>
        <v>5</v>
      </c>
      <c r="K1380" s="6" t="str">
        <f t="shared" si="43"/>
        <v>B1~30</v>
      </c>
      <c r="L1380" t="str">
        <f>IF(J1380&lt;0,"A~0",VLOOKUP(J1380,[1]作法V!$B$1:$C$9,2,TRUE))</f>
        <v>B1~30</v>
      </c>
    </row>
    <row r="1381" spans="1:12">
      <c r="A1381">
        <v>1115</v>
      </c>
      <c r="B1381" t="s">
        <v>84</v>
      </c>
      <c r="C1381" s="3">
        <v>38595</v>
      </c>
      <c r="D1381" s="3">
        <v>38681</v>
      </c>
      <c r="E1381" t="s">
        <v>18</v>
      </c>
      <c r="F1381">
        <v>1</v>
      </c>
      <c r="G1381">
        <v>12910</v>
      </c>
      <c r="H1381">
        <v>12910</v>
      </c>
      <c r="I1381" s="4">
        <v>38686</v>
      </c>
      <c r="J1381" s="5">
        <f t="shared" si="42"/>
        <v>5</v>
      </c>
      <c r="K1381" s="6" t="str">
        <f t="shared" si="43"/>
        <v>B1~30</v>
      </c>
      <c r="L1381" t="str">
        <f>IF(J1381&lt;0,"A~0",VLOOKUP(J1381,[1]作法V!$B$1:$C$9,2,TRUE))</f>
        <v>B1~30</v>
      </c>
    </row>
    <row r="1382" spans="1:12">
      <c r="A1382">
        <v>1115</v>
      </c>
      <c r="B1382" t="s">
        <v>84</v>
      </c>
      <c r="C1382" s="3">
        <v>38597</v>
      </c>
      <c r="D1382" s="3">
        <v>38681</v>
      </c>
      <c r="E1382" t="s">
        <v>18</v>
      </c>
      <c r="F1382">
        <v>1</v>
      </c>
      <c r="G1382">
        <v>31185</v>
      </c>
      <c r="H1382">
        <v>31185</v>
      </c>
      <c r="I1382" s="4">
        <v>38686</v>
      </c>
      <c r="J1382" s="5">
        <f t="shared" si="42"/>
        <v>5</v>
      </c>
      <c r="K1382" s="6" t="str">
        <f t="shared" si="43"/>
        <v>B1~30</v>
      </c>
      <c r="L1382" t="str">
        <f>IF(J1382&lt;0,"A~0",VLOOKUP(J1382,[1]作法V!$B$1:$C$9,2,TRUE))</f>
        <v>B1~30</v>
      </c>
    </row>
    <row r="1383" spans="1:12">
      <c r="A1383">
        <v>1115</v>
      </c>
      <c r="B1383" t="s">
        <v>84</v>
      </c>
      <c r="C1383" s="3">
        <v>38600</v>
      </c>
      <c r="D1383" s="3">
        <v>38681</v>
      </c>
      <c r="E1383" t="s">
        <v>18</v>
      </c>
      <c r="F1383">
        <v>1</v>
      </c>
      <c r="G1383">
        <v>44000</v>
      </c>
      <c r="H1383">
        <v>44000</v>
      </c>
      <c r="I1383" s="4">
        <v>38686</v>
      </c>
      <c r="J1383" s="5">
        <f t="shared" si="42"/>
        <v>5</v>
      </c>
      <c r="K1383" s="6" t="str">
        <f t="shared" si="43"/>
        <v>B1~30</v>
      </c>
      <c r="L1383" t="str">
        <f>IF(J1383&lt;0,"A~0",VLOOKUP(J1383,[1]作法V!$B$1:$C$9,2,TRUE))</f>
        <v>B1~30</v>
      </c>
    </row>
    <row r="1384" spans="1:12">
      <c r="A1384">
        <v>1115</v>
      </c>
      <c r="B1384" t="s">
        <v>84</v>
      </c>
      <c r="C1384" s="3">
        <v>38609</v>
      </c>
      <c r="D1384" s="3">
        <v>38681</v>
      </c>
      <c r="E1384" t="s">
        <v>18</v>
      </c>
      <c r="F1384">
        <v>1</v>
      </c>
      <c r="G1384">
        <v>6048</v>
      </c>
      <c r="H1384">
        <v>6048</v>
      </c>
      <c r="I1384" s="4">
        <v>38686</v>
      </c>
      <c r="J1384" s="5">
        <f t="shared" si="42"/>
        <v>5</v>
      </c>
      <c r="K1384" s="6" t="str">
        <f t="shared" si="43"/>
        <v>B1~30</v>
      </c>
      <c r="L1384" t="str">
        <f>IF(J1384&lt;0,"A~0",VLOOKUP(J1384,[1]作法V!$B$1:$C$9,2,TRUE))</f>
        <v>B1~30</v>
      </c>
    </row>
    <row r="1385" spans="1:12">
      <c r="A1385">
        <v>1115</v>
      </c>
      <c r="B1385" t="s">
        <v>84</v>
      </c>
      <c r="C1385" s="3">
        <v>38614</v>
      </c>
      <c r="D1385" s="3">
        <v>38681</v>
      </c>
      <c r="E1385" t="s">
        <v>18</v>
      </c>
      <c r="F1385">
        <v>1</v>
      </c>
      <c r="G1385">
        <v>154000</v>
      </c>
      <c r="H1385">
        <v>154000</v>
      </c>
      <c r="I1385" s="4">
        <v>38686</v>
      </c>
      <c r="J1385" s="5">
        <f t="shared" si="42"/>
        <v>5</v>
      </c>
      <c r="K1385" s="6" t="str">
        <f t="shared" si="43"/>
        <v>B1~30</v>
      </c>
      <c r="L1385" t="str">
        <f>IF(J1385&lt;0,"A~0",VLOOKUP(J1385,[1]作法V!$B$1:$C$9,2,TRUE))</f>
        <v>B1~30</v>
      </c>
    </row>
    <row r="1386" spans="1:12">
      <c r="A1386">
        <v>1115</v>
      </c>
      <c r="B1386" t="s">
        <v>84</v>
      </c>
      <c r="C1386" s="3">
        <v>38614</v>
      </c>
      <c r="D1386" s="3">
        <v>38681</v>
      </c>
      <c r="E1386" t="s">
        <v>18</v>
      </c>
      <c r="F1386">
        <v>1</v>
      </c>
      <c r="G1386">
        <v>290</v>
      </c>
      <c r="H1386">
        <v>290</v>
      </c>
      <c r="I1386" s="4">
        <v>38686</v>
      </c>
      <c r="J1386" s="5">
        <f t="shared" si="42"/>
        <v>5</v>
      </c>
      <c r="K1386" s="6" t="str">
        <f t="shared" si="43"/>
        <v>B1~30</v>
      </c>
      <c r="L1386" t="str">
        <f>IF(J1386&lt;0,"A~0",VLOOKUP(J1386,[1]作法V!$B$1:$C$9,2,TRUE))</f>
        <v>B1~30</v>
      </c>
    </row>
    <row r="1387" spans="1:12">
      <c r="A1387">
        <v>1115</v>
      </c>
      <c r="B1387" t="s">
        <v>84</v>
      </c>
      <c r="C1387" s="3">
        <v>38615</v>
      </c>
      <c r="D1387" s="3">
        <v>38681</v>
      </c>
      <c r="E1387" t="s">
        <v>18</v>
      </c>
      <c r="F1387">
        <v>1</v>
      </c>
      <c r="G1387">
        <v>61215</v>
      </c>
      <c r="H1387">
        <v>61215</v>
      </c>
      <c r="I1387" s="4">
        <v>38686</v>
      </c>
      <c r="J1387" s="5">
        <f t="shared" si="42"/>
        <v>5</v>
      </c>
      <c r="K1387" s="6" t="str">
        <f t="shared" si="43"/>
        <v>B1~30</v>
      </c>
      <c r="L1387" t="str">
        <f>IF(J1387&lt;0,"A~0",VLOOKUP(J1387,[1]作法V!$B$1:$C$9,2,TRUE))</f>
        <v>B1~30</v>
      </c>
    </row>
    <row r="1388" spans="1:12">
      <c r="A1388">
        <v>1115</v>
      </c>
      <c r="B1388" t="s">
        <v>84</v>
      </c>
      <c r="C1388" s="3">
        <v>38615</v>
      </c>
      <c r="D1388" s="3">
        <v>38681</v>
      </c>
      <c r="E1388" t="s">
        <v>18</v>
      </c>
      <c r="F1388">
        <v>1</v>
      </c>
      <c r="G1388">
        <v>540000</v>
      </c>
      <c r="H1388">
        <v>540000</v>
      </c>
      <c r="I1388" s="4">
        <v>38686</v>
      </c>
      <c r="J1388" s="5">
        <f t="shared" si="42"/>
        <v>5</v>
      </c>
      <c r="K1388" s="6" t="str">
        <f t="shared" si="43"/>
        <v>B1~30</v>
      </c>
      <c r="L1388" t="str">
        <f>IF(J1388&lt;0,"A~0",VLOOKUP(J1388,[1]作法V!$B$1:$C$9,2,TRUE))</f>
        <v>B1~30</v>
      </c>
    </row>
    <row r="1389" spans="1:12">
      <c r="A1389">
        <v>1115</v>
      </c>
      <c r="B1389" t="s">
        <v>84</v>
      </c>
      <c r="C1389" s="3">
        <v>38616</v>
      </c>
      <c r="D1389" s="3">
        <v>38681</v>
      </c>
      <c r="E1389" t="s">
        <v>18</v>
      </c>
      <c r="F1389">
        <v>1</v>
      </c>
      <c r="G1389">
        <v>54000</v>
      </c>
      <c r="H1389">
        <v>54000</v>
      </c>
      <c r="I1389" s="4">
        <v>38686</v>
      </c>
      <c r="J1389" s="5">
        <f t="shared" si="42"/>
        <v>5</v>
      </c>
      <c r="K1389" s="6" t="str">
        <f t="shared" si="43"/>
        <v>B1~30</v>
      </c>
      <c r="L1389" t="str">
        <f>IF(J1389&lt;0,"A~0",VLOOKUP(J1389,[1]作法V!$B$1:$C$9,2,TRUE))</f>
        <v>B1~30</v>
      </c>
    </row>
    <row r="1390" spans="1:12">
      <c r="A1390">
        <v>1115</v>
      </c>
      <c r="B1390" t="s">
        <v>84</v>
      </c>
      <c r="C1390" s="3">
        <v>38622</v>
      </c>
      <c r="D1390" s="3">
        <v>38711</v>
      </c>
      <c r="E1390" t="s">
        <v>18</v>
      </c>
      <c r="F1390">
        <v>1</v>
      </c>
      <c r="G1390">
        <v>118750</v>
      </c>
      <c r="H1390">
        <v>118750</v>
      </c>
      <c r="I1390" s="4">
        <v>38686</v>
      </c>
      <c r="J1390" s="5">
        <f t="shared" si="42"/>
        <v>-25</v>
      </c>
      <c r="K1390" s="6" t="str">
        <f t="shared" si="43"/>
        <v>A~0</v>
      </c>
      <c r="L1390" t="str">
        <f>IF(J1390&lt;0,"A~0",VLOOKUP(J1390,[1]作法V!$B$1:$C$9,2,TRUE))</f>
        <v>A~0</v>
      </c>
    </row>
    <row r="1391" spans="1:12">
      <c r="A1391">
        <v>1115</v>
      </c>
      <c r="B1391" t="s">
        <v>84</v>
      </c>
      <c r="C1391" s="3">
        <v>38631</v>
      </c>
      <c r="D1391" s="3">
        <v>38711</v>
      </c>
      <c r="E1391" t="s">
        <v>18</v>
      </c>
      <c r="F1391">
        <v>1</v>
      </c>
      <c r="G1391">
        <v>95000</v>
      </c>
      <c r="H1391">
        <v>95000</v>
      </c>
      <c r="I1391" s="4">
        <v>38686</v>
      </c>
      <c r="J1391" s="5">
        <f t="shared" si="42"/>
        <v>-25</v>
      </c>
      <c r="K1391" s="6" t="str">
        <f t="shared" si="43"/>
        <v>A~0</v>
      </c>
      <c r="L1391" t="str">
        <f>IF(J1391&lt;0,"A~0",VLOOKUP(J1391,[1]作法V!$B$1:$C$9,2,TRUE))</f>
        <v>A~0</v>
      </c>
    </row>
    <row r="1392" spans="1:12">
      <c r="A1392">
        <v>1115</v>
      </c>
      <c r="B1392" t="s">
        <v>84</v>
      </c>
      <c r="C1392" s="3">
        <v>38631</v>
      </c>
      <c r="D1392" s="3">
        <v>38711</v>
      </c>
      <c r="E1392" t="s">
        <v>18</v>
      </c>
      <c r="F1392">
        <v>1</v>
      </c>
      <c r="G1392">
        <v>95000</v>
      </c>
      <c r="H1392">
        <v>95000</v>
      </c>
      <c r="I1392" s="4">
        <v>38686</v>
      </c>
      <c r="J1392" s="5">
        <f t="shared" si="42"/>
        <v>-25</v>
      </c>
      <c r="K1392" s="6" t="str">
        <f t="shared" si="43"/>
        <v>A~0</v>
      </c>
      <c r="L1392" t="str">
        <f>IF(J1392&lt;0,"A~0",VLOOKUP(J1392,[1]作法V!$B$1:$C$9,2,TRUE))</f>
        <v>A~0</v>
      </c>
    </row>
    <row r="1393" spans="1:12">
      <c r="A1393">
        <v>1115</v>
      </c>
      <c r="B1393" t="s">
        <v>84</v>
      </c>
      <c r="C1393" s="3">
        <v>38631</v>
      </c>
      <c r="D1393" s="3">
        <v>38711</v>
      </c>
      <c r="E1393" t="s">
        <v>18</v>
      </c>
      <c r="F1393">
        <v>1</v>
      </c>
      <c r="G1393">
        <v>44000</v>
      </c>
      <c r="H1393">
        <v>44000</v>
      </c>
      <c r="I1393" s="4">
        <v>38686</v>
      </c>
      <c r="J1393" s="5">
        <f t="shared" si="42"/>
        <v>-25</v>
      </c>
      <c r="K1393" s="6" t="str">
        <f t="shared" si="43"/>
        <v>A~0</v>
      </c>
      <c r="L1393" t="str">
        <f>IF(J1393&lt;0,"A~0",VLOOKUP(J1393,[1]作法V!$B$1:$C$9,2,TRUE))</f>
        <v>A~0</v>
      </c>
    </row>
    <row r="1394" spans="1:12">
      <c r="A1394">
        <v>1115</v>
      </c>
      <c r="B1394" t="s">
        <v>84</v>
      </c>
      <c r="C1394" s="3">
        <v>38639</v>
      </c>
      <c r="D1394" s="3">
        <v>38711</v>
      </c>
      <c r="E1394" t="s">
        <v>18</v>
      </c>
      <c r="F1394">
        <v>1</v>
      </c>
      <c r="G1394">
        <v>12600</v>
      </c>
      <c r="H1394">
        <v>12600</v>
      </c>
      <c r="I1394" s="4">
        <v>38686</v>
      </c>
      <c r="J1394" s="5">
        <f t="shared" si="42"/>
        <v>-25</v>
      </c>
      <c r="K1394" s="6" t="str">
        <f t="shared" si="43"/>
        <v>A~0</v>
      </c>
      <c r="L1394" t="str">
        <f>IF(J1394&lt;0,"A~0",VLOOKUP(J1394,[1]作法V!$B$1:$C$9,2,TRUE))</f>
        <v>A~0</v>
      </c>
    </row>
    <row r="1395" spans="1:12">
      <c r="A1395">
        <v>1115</v>
      </c>
      <c r="B1395" t="s">
        <v>84</v>
      </c>
      <c r="C1395" s="3">
        <v>38639</v>
      </c>
      <c r="D1395" s="3">
        <v>38711</v>
      </c>
      <c r="E1395" t="s">
        <v>18</v>
      </c>
      <c r="F1395">
        <v>1</v>
      </c>
      <c r="G1395">
        <v>15750</v>
      </c>
      <c r="H1395">
        <v>15750</v>
      </c>
      <c r="I1395" s="4">
        <v>38686</v>
      </c>
      <c r="J1395" s="5">
        <f t="shared" si="42"/>
        <v>-25</v>
      </c>
      <c r="K1395" s="6" t="str">
        <f t="shared" si="43"/>
        <v>A~0</v>
      </c>
      <c r="L1395" t="str">
        <f>IF(J1395&lt;0,"A~0",VLOOKUP(J1395,[1]作法V!$B$1:$C$9,2,TRUE))</f>
        <v>A~0</v>
      </c>
    </row>
    <row r="1396" spans="1:12">
      <c r="A1396">
        <v>1115</v>
      </c>
      <c r="B1396" t="s">
        <v>84</v>
      </c>
      <c r="C1396" s="3">
        <v>38639</v>
      </c>
      <c r="D1396" s="3">
        <v>38711</v>
      </c>
      <c r="E1396" t="s">
        <v>18</v>
      </c>
      <c r="F1396">
        <v>1</v>
      </c>
      <c r="G1396">
        <v>81000</v>
      </c>
      <c r="H1396">
        <v>81000</v>
      </c>
      <c r="I1396" s="4">
        <v>38686</v>
      </c>
      <c r="J1396" s="5">
        <f t="shared" si="42"/>
        <v>-25</v>
      </c>
      <c r="K1396" s="6" t="str">
        <f t="shared" si="43"/>
        <v>A~0</v>
      </c>
      <c r="L1396" t="str">
        <f>IF(J1396&lt;0,"A~0",VLOOKUP(J1396,[1]作法V!$B$1:$C$9,2,TRUE))</f>
        <v>A~0</v>
      </c>
    </row>
    <row r="1397" spans="1:12">
      <c r="A1397">
        <v>1115</v>
      </c>
      <c r="B1397" t="s">
        <v>84</v>
      </c>
      <c r="C1397" s="3">
        <v>38639</v>
      </c>
      <c r="D1397" s="3">
        <v>38711</v>
      </c>
      <c r="E1397" t="s">
        <v>18</v>
      </c>
      <c r="F1397">
        <v>1</v>
      </c>
      <c r="G1397">
        <v>81000</v>
      </c>
      <c r="H1397">
        <v>81000</v>
      </c>
      <c r="I1397" s="4">
        <v>38686</v>
      </c>
      <c r="J1397" s="5">
        <f t="shared" si="42"/>
        <v>-25</v>
      </c>
      <c r="K1397" s="6" t="str">
        <f t="shared" si="43"/>
        <v>A~0</v>
      </c>
      <c r="L1397" t="str">
        <f>IF(J1397&lt;0,"A~0",VLOOKUP(J1397,[1]作法V!$B$1:$C$9,2,TRUE))</f>
        <v>A~0</v>
      </c>
    </row>
    <row r="1398" spans="1:12">
      <c r="A1398">
        <v>1115</v>
      </c>
      <c r="B1398" t="s">
        <v>84</v>
      </c>
      <c r="C1398" s="3">
        <v>38646</v>
      </c>
      <c r="D1398" s="3">
        <v>38711</v>
      </c>
      <c r="E1398" t="s">
        <v>18</v>
      </c>
      <c r="F1398">
        <v>1</v>
      </c>
      <c r="G1398">
        <v>15750</v>
      </c>
      <c r="H1398">
        <v>15750</v>
      </c>
      <c r="I1398" s="4">
        <v>38686</v>
      </c>
      <c r="J1398" s="5">
        <f t="shared" si="42"/>
        <v>-25</v>
      </c>
      <c r="K1398" s="6" t="str">
        <f t="shared" si="43"/>
        <v>A~0</v>
      </c>
      <c r="L1398" t="str">
        <f>IF(J1398&lt;0,"A~0",VLOOKUP(J1398,[1]作法V!$B$1:$C$9,2,TRUE))</f>
        <v>A~0</v>
      </c>
    </row>
    <row r="1399" spans="1:12">
      <c r="A1399">
        <v>1115</v>
      </c>
      <c r="B1399" t="s">
        <v>84</v>
      </c>
      <c r="C1399" s="3">
        <v>38646</v>
      </c>
      <c r="D1399" s="3">
        <v>38711</v>
      </c>
      <c r="E1399" t="s">
        <v>18</v>
      </c>
      <c r="F1399">
        <v>1</v>
      </c>
      <c r="G1399">
        <v>887000</v>
      </c>
      <c r="H1399">
        <v>887000</v>
      </c>
      <c r="I1399" s="4">
        <v>38686</v>
      </c>
      <c r="J1399" s="5">
        <f t="shared" si="42"/>
        <v>-25</v>
      </c>
      <c r="K1399" s="6" t="str">
        <f t="shared" si="43"/>
        <v>A~0</v>
      </c>
      <c r="L1399" t="str">
        <f>IF(J1399&lt;0,"A~0",VLOOKUP(J1399,[1]作法V!$B$1:$C$9,2,TRUE))</f>
        <v>A~0</v>
      </c>
    </row>
    <row r="1400" spans="1:12">
      <c r="A1400">
        <v>1115</v>
      </c>
      <c r="B1400" t="s">
        <v>84</v>
      </c>
      <c r="C1400" s="3">
        <v>38646</v>
      </c>
      <c r="D1400" s="3">
        <v>38711</v>
      </c>
      <c r="E1400" t="s">
        <v>18</v>
      </c>
      <c r="F1400">
        <v>1</v>
      </c>
      <c r="G1400">
        <v>16380</v>
      </c>
      <c r="H1400">
        <v>16380</v>
      </c>
      <c r="I1400" s="4">
        <v>38686</v>
      </c>
      <c r="J1400" s="5">
        <f t="shared" si="42"/>
        <v>-25</v>
      </c>
      <c r="K1400" s="6" t="str">
        <f t="shared" si="43"/>
        <v>A~0</v>
      </c>
      <c r="L1400" t="str">
        <f>IF(J1400&lt;0,"A~0",VLOOKUP(J1400,[1]作法V!$B$1:$C$9,2,TRUE))</f>
        <v>A~0</v>
      </c>
    </row>
    <row r="1401" spans="1:12">
      <c r="A1401">
        <v>1115</v>
      </c>
      <c r="B1401" t="s">
        <v>84</v>
      </c>
      <c r="C1401" s="3">
        <v>38656</v>
      </c>
      <c r="D1401" s="3">
        <v>38742</v>
      </c>
      <c r="E1401" t="s">
        <v>18</v>
      </c>
      <c r="F1401">
        <v>1</v>
      </c>
      <c r="G1401">
        <v>409500</v>
      </c>
      <c r="H1401">
        <v>409500</v>
      </c>
      <c r="I1401" s="4">
        <v>38686</v>
      </c>
      <c r="J1401" s="5">
        <f t="shared" si="42"/>
        <v>-56</v>
      </c>
      <c r="K1401" s="6" t="str">
        <f t="shared" si="43"/>
        <v>A~0</v>
      </c>
      <c r="L1401" t="str">
        <f>IF(J1401&lt;0,"A~0",VLOOKUP(J1401,[1]作法V!$B$1:$C$9,2,TRUE))</f>
        <v>A~0</v>
      </c>
    </row>
    <row r="1402" spans="1:12">
      <c r="A1402">
        <v>1115</v>
      </c>
      <c r="B1402" t="s">
        <v>84</v>
      </c>
      <c r="C1402" s="3">
        <v>38670</v>
      </c>
      <c r="D1402" s="3">
        <v>38742</v>
      </c>
      <c r="E1402" t="s">
        <v>18</v>
      </c>
      <c r="F1402">
        <v>1</v>
      </c>
      <c r="G1402">
        <v>54000</v>
      </c>
      <c r="H1402">
        <v>54000</v>
      </c>
      <c r="I1402" s="4">
        <v>38686</v>
      </c>
      <c r="J1402" s="5">
        <f t="shared" si="42"/>
        <v>-56</v>
      </c>
      <c r="K1402" s="6" t="str">
        <f t="shared" si="43"/>
        <v>A~0</v>
      </c>
      <c r="L1402" t="str">
        <f>IF(J1402&lt;0,"A~0",VLOOKUP(J1402,[1]作法V!$B$1:$C$9,2,TRUE))</f>
        <v>A~0</v>
      </c>
    </row>
    <row r="1403" spans="1:12">
      <c r="A1403">
        <v>1115</v>
      </c>
      <c r="B1403" t="s">
        <v>84</v>
      </c>
      <c r="C1403" s="3">
        <v>38672</v>
      </c>
      <c r="D1403" s="3">
        <v>38742</v>
      </c>
      <c r="E1403" t="s">
        <v>18</v>
      </c>
      <c r="F1403">
        <v>1</v>
      </c>
      <c r="G1403">
        <v>2640</v>
      </c>
      <c r="H1403">
        <v>2640</v>
      </c>
      <c r="I1403" s="4">
        <v>38686</v>
      </c>
      <c r="J1403" s="5">
        <f t="shared" si="42"/>
        <v>-56</v>
      </c>
      <c r="K1403" s="6" t="str">
        <f t="shared" si="43"/>
        <v>A~0</v>
      </c>
      <c r="L1403" t="str">
        <f>IF(J1403&lt;0,"A~0",VLOOKUP(J1403,[1]作法V!$B$1:$C$9,2,TRUE))</f>
        <v>A~0</v>
      </c>
    </row>
    <row r="1404" spans="1:12">
      <c r="A1404">
        <v>1115</v>
      </c>
      <c r="B1404" t="s">
        <v>84</v>
      </c>
      <c r="C1404" s="3">
        <v>38674</v>
      </c>
      <c r="D1404" s="3">
        <v>38742</v>
      </c>
      <c r="E1404" t="s">
        <v>18</v>
      </c>
      <c r="F1404">
        <v>1</v>
      </c>
      <c r="G1404">
        <v>7920</v>
      </c>
      <c r="H1404">
        <v>7920</v>
      </c>
      <c r="I1404" s="4">
        <v>38686</v>
      </c>
      <c r="J1404" s="5">
        <f t="shared" si="42"/>
        <v>-56</v>
      </c>
      <c r="K1404" s="6" t="str">
        <f t="shared" si="43"/>
        <v>A~0</v>
      </c>
      <c r="L1404" t="str">
        <f>IF(J1404&lt;0,"A~0",VLOOKUP(J1404,[1]作法V!$B$1:$C$9,2,TRUE))</f>
        <v>A~0</v>
      </c>
    </row>
    <row r="1405" spans="1:12">
      <c r="A1405">
        <v>1115</v>
      </c>
      <c r="B1405" t="s">
        <v>84</v>
      </c>
      <c r="C1405" s="3">
        <v>38684</v>
      </c>
      <c r="D1405" s="3">
        <v>38773</v>
      </c>
      <c r="E1405" t="s">
        <v>18</v>
      </c>
      <c r="F1405">
        <v>1</v>
      </c>
      <c r="G1405">
        <v>660000</v>
      </c>
      <c r="H1405">
        <v>660000</v>
      </c>
      <c r="I1405" s="4">
        <v>38686</v>
      </c>
      <c r="J1405" s="5">
        <f t="shared" si="42"/>
        <v>-87</v>
      </c>
      <c r="K1405" s="6" t="str">
        <f t="shared" si="43"/>
        <v>A~0</v>
      </c>
      <c r="L1405" t="str">
        <f>IF(J1405&lt;0,"A~0",VLOOKUP(J1405,[1]作法V!$B$1:$C$9,2,TRUE))</f>
        <v>A~0</v>
      </c>
    </row>
    <row r="1406" spans="1:12">
      <c r="A1406">
        <v>1115</v>
      </c>
      <c r="B1406" t="s">
        <v>84</v>
      </c>
      <c r="C1406" s="3">
        <v>38685</v>
      </c>
      <c r="D1406" s="3">
        <v>38773</v>
      </c>
      <c r="E1406" t="s">
        <v>18</v>
      </c>
      <c r="F1406">
        <v>1</v>
      </c>
      <c r="G1406">
        <v>5040</v>
      </c>
      <c r="H1406">
        <v>5040</v>
      </c>
      <c r="I1406" s="4">
        <v>38686</v>
      </c>
      <c r="J1406" s="5">
        <f t="shared" si="42"/>
        <v>-87</v>
      </c>
      <c r="K1406" s="6" t="str">
        <f t="shared" si="43"/>
        <v>A~0</v>
      </c>
      <c r="L1406" t="str">
        <f>IF(J1406&lt;0,"A~0",VLOOKUP(J1406,[1]作法V!$B$1:$C$9,2,TRUE))</f>
        <v>A~0</v>
      </c>
    </row>
    <row r="1407" spans="1:12">
      <c r="A1407">
        <v>1115</v>
      </c>
      <c r="B1407" t="s">
        <v>84</v>
      </c>
      <c r="C1407" s="3">
        <v>38686</v>
      </c>
      <c r="D1407" s="3">
        <v>38773</v>
      </c>
      <c r="E1407" t="s">
        <v>18</v>
      </c>
      <c r="F1407">
        <v>1</v>
      </c>
      <c r="G1407">
        <v>148380</v>
      </c>
      <c r="H1407">
        <v>148380</v>
      </c>
      <c r="I1407" s="4">
        <v>38686</v>
      </c>
      <c r="J1407" s="5">
        <f t="shared" si="42"/>
        <v>-87</v>
      </c>
      <c r="K1407" s="6" t="str">
        <f t="shared" si="43"/>
        <v>A~0</v>
      </c>
      <c r="L1407" t="str">
        <f>IF(J1407&lt;0,"A~0",VLOOKUP(J1407,[1]作法V!$B$1:$C$9,2,TRUE))</f>
        <v>A~0</v>
      </c>
    </row>
    <row r="1408" spans="1:12">
      <c r="A1408">
        <v>1115</v>
      </c>
      <c r="B1408" t="s">
        <v>84</v>
      </c>
      <c r="C1408" s="3">
        <v>38686</v>
      </c>
      <c r="D1408" s="3">
        <v>38773</v>
      </c>
      <c r="E1408" t="s">
        <v>18</v>
      </c>
      <c r="F1408">
        <v>1</v>
      </c>
      <c r="G1408">
        <v>24000</v>
      </c>
      <c r="H1408">
        <v>24000</v>
      </c>
      <c r="I1408" s="4">
        <v>38686</v>
      </c>
      <c r="J1408" s="5">
        <f t="shared" si="42"/>
        <v>-87</v>
      </c>
      <c r="K1408" s="6" t="str">
        <f t="shared" si="43"/>
        <v>A~0</v>
      </c>
      <c r="L1408" t="str">
        <f>IF(J1408&lt;0,"A~0",VLOOKUP(J1408,[1]作法V!$B$1:$C$9,2,TRUE))</f>
        <v>A~0</v>
      </c>
    </row>
    <row r="1409" spans="1:12">
      <c r="A1409">
        <v>1119</v>
      </c>
      <c r="B1409" t="s">
        <v>91</v>
      </c>
      <c r="C1409" s="3">
        <v>38492</v>
      </c>
      <c r="D1409" s="3">
        <v>38620</v>
      </c>
      <c r="E1409" t="s">
        <v>18</v>
      </c>
      <c r="F1409">
        <v>1</v>
      </c>
      <c r="G1409">
        <v>90</v>
      </c>
      <c r="H1409">
        <v>90</v>
      </c>
      <c r="I1409" s="4">
        <v>38686</v>
      </c>
      <c r="J1409" s="5">
        <f t="shared" si="42"/>
        <v>66</v>
      </c>
      <c r="K1409" s="6" t="str">
        <f t="shared" si="43"/>
        <v>D61~90</v>
      </c>
      <c r="L1409" t="str">
        <f>IF(J1409&lt;0,"A~0",VLOOKUP(J1409,[1]作法V!$B$1:$C$9,2,TRUE))</f>
        <v>D61-90</v>
      </c>
    </row>
    <row r="1410" spans="1:12">
      <c r="A1410">
        <v>1119</v>
      </c>
      <c r="B1410" t="s">
        <v>91</v>
      </c>
      <c r="C1410" s="3">
        <v>38517</v>
      </c>
      <c r="D1410" s="3">
        <v>38650</v>
      </c>
      <c r="E1410" t="s">
        <v>18</v>
      </c>
      <c r="F1410">
        <v>1</v>
      </c>
      <c r="G1410">
        <v>30</v>
      </c>
      <c r="H1410">
        <v>30</v>
      </c>
      <c r="I1410" s="4">
        <v>38686</v>
      </c>
      <c r="J1410" s="5">
        <f t="shared" ref="J1410:J1473" si="44">I1410-D1410</f>
        <v>36</v>
      </c>
      <c r="K1410" s="6" t="str">
        <f t="shared" ref="K1410:K1473" si="45">IF(J1410&lt;1,"A~0",IF(J1410&lt;31,"B1~30",IF(J1410&lt;61,"C31~60",IF(J1410&lt;91,"D61~90",IF(J1410&lt;121,"E91~120",IF(J1410&lt;181,"F121~180",IF(J1410&lt;361,"G181~360","H361~")))))))</f>
        <v>C31~60</v>
      </c>
      <c r="L1410" t="str">
        <f>IF(J1410&lt;0,"A~0",VLOOKUP(J1410,[1]作法V!$B$1:$C$9,2,TRUE))</f>
        <v>C31~60</v>
      </c>
    </row>
    <row r="1411" spans="1:12">
      <c r="A1411">
        <v>1119</v>
      </c>
      <c r="B1411" t="s">
        <v>91</v>
      </c>
      <c r="C1411" s="3">
        <v>38589</v>
      </c>
      <c r="D1411" s="3">
        <v>38742</v>
      </c>
      <c r="E1411" t="s">
        <v>18</v>
      </c>
      <c r="F1411">
        <v>1</v>
      </c>
      <c r="G1411">
        <v>2835</v>
      </c>
      <c r="H1411">
        <v>2835</v>
      </c>
      <c r="I1411" s="4">
        <v>38686</v>
      </c>
      <c r="J1411" s="5">
        <f t="shared" si="44"/>
        <v>-56</v>
      </c>
      <c r="K1411" s="6" t="str">
        <f t="shared" si="45"/>
        <v>A~0</v>
      </c>
      <c r="L1411" t="str">
        <f>IF(J1411&lt;0,"A~0",VLOOKUP(J1411,[1]作法V!$B$1:$C$9,2,TRUE))</f>
        <v>A~0</v>
      </c>
    </row>
    <row r="1412" spans="1:12">
      <c r="A1412">
        <v>1119</v>
      </c>
      <c r="B1412" t="s">
        <v>91</v>
      </c>
      <c r="C1412" s="3">
        <v>38589</v>
      </c>
      <c r="D1412" s="3">
        <v>38742</v>
      </c>
      <c r="E1412" t="s">
        <v>18</v>
      </c>
      <c r="F1412">
        <v>1</v>
      </c>
      <c r="G1412">
        <v>5670</v>
      </c>
      <c r="H1412">
        <v>5670</v>
      </c>
      <c r="I1412" s="4">
        <v>38686</v>
      </c>
      <c r="J1412" s="5">
        <f t="shared" si="44"/>
        <v>-56</v>
      </c>
      <c r="K1412" s="6" t="str">
        <f t="shared" si="45"/>
        <v>A~0</v>
      </c>
      <c r="L1412" t="str">
        <f>IF(J1412&lt;0,"A~0",VLOOKUP(J1412,[1]作法V!$B$1:$C$9,2,TRUE))</f>
        <v>A~0</v>
      </c>
    </row>
    <row r="1413" spans="1:12">
      <c r="A1413">
        <v>1119</v>
      </c>
      <c r="B1413" t="s">
        <v>91</v>
      </c>
      <c r="C1413" s="3">
        <v>38595</v>
      </c>
      <c r="D1413" s="3">
        <v>38742</v>
      </c>
      <c r="E1413" t="s">
        <v>18</v>
      </c>
      <c r="F1413">
        <v>1</v>
      </c>
      <c r="G1413">
        <v>25515</v>
      </c>
      <c r="H1413">
        <v>25515</v>
      </c>
      <c r="I1413" s="4">
        <v>38686</v>
      </c>
      <c r="J1413" s="5">
        <f t="shared" si="44"/>
        <v>-56</v>
      </c>
      <c r="K1413" s="6" t="str">
        <f t="shared" si="45"/>
        <v>A~0</v>
      </c>
      <c r="L1413" t="str">
        <f>IF(J1413&lt;0,"A~0",VLOOKUP(J1413,[1]作法V!$B$1:$C$9,2,TRUE))</f>
        <v>A~0</v>
      </c>
    </row>
    <row r="1414" spans="1:12">
      <c r="A1414">
        <v>1119</v>
      </c>
      <c r="B1414" t="s">
        <v>91</v>
      </c>
      <c r="C1414" s="3">
        <v>38595</v>
      </c>
      <c r="D1414" s="3">
        <v>38742</v>
      </c>
      <c r="E1414" t="s">
        <v>18</v>
      </c>
      <c r="F1414">
        <v>1</v>
      </c>
      <c r="G1414">
        <v>34020</v>
      </c>
      <c r="H1414">
        <v>34020</v>
      </c>
      <c r="I1414" s="4">
        <v>38686</v>
      </c>
      <c r="J1414" s="5">
        <f t="shared" si="44"/>
        <v>-56</v>
      </c>
      <c r="K1414" s="6" t="str">
        <f t="shared" si="45"/>
        <v>A~0</v>
      </c>
      <c r="L1414" t="str">
        <f>IF(J1414&lt;0,"A~0",VLOOKUP(J1414,[1]作法V!$B$1:$C$9,2,TRUE))</f>
        <v>A~0</v>
      </c>
    </row>
    <row r="1415" spans="1:12">
      <c r="A1415">
        <v>1119</v>
      </c>
      <c r="B1415" t="s">
        <v>91</v>
      </c>
      <c r="C1415" s="3">
        <v>38616</v>
      </c>
      <c r="D1415" s="3">
        <v>38742</v>
      </c>
      <c r="E1415" t="s">
        <v>18</v>
      </c>
      <c r="F1415">
        <v>1</v>
      </c>
      <c r="G1415">
        <v>45927</v>
      </c>
      <c r="H1415">
        <v>45927</v>
      </c>
      <c r="I1415" s="4">
        <v>38686</v>
      </c>
      <c r="J1415" s="5">
        <f t="shared" si="44"/>
        <v>-56</v>
      </c>
      <c r="K1415" s="6" t="str">
        <f t="shared" si="45"/>
        <v>A~0</v>
      </c>
      <c r="L1415" t="str">
        <f>IF(J1415&lt;0,"A~0",VLOOKUP(J1415,[1]作法V!$B$1:$C$9,2,TRUE))</f>
        <v>A~0</v>
      </c>
    </row>
    <row r="1416" spans="1:12">
      <c r="A1416">
        <v>1120</v>
      </c>
      <c r="B1416" t="s">
        <v>78</v>
      </c>
      <c r="C1416" s="3">
        <v>38021</v>
      </c>
      <c r="D1416" s="3">
        <v>38132</v>
      </c>
      <c r="E1416" t="s">
        <v>17</v>
      </c>
      <c r="F1416">
        <v>33.664999999999999</v>
      </c>
      <c r="G1416">
        <v>1165.8</v>
      </c>
      <c r="H1416">
        <v>39247</v>
      </c>
      <c r="I1416" s="4">
        <v>38686</v>
      </c>
      <c r="J1416" s="5">
        <f t="shared" si="44"/>
        <v>554</v>
      </c>
      <c r="K1416" s="6" t="str">
        <f t="shared" si="45"/>
        <v>H361~</v>
      </c>
      <c r="L1416" t="str">
        <f>IF(J1416&lt;0,"A~0",VLOOKUP(J1416,[1]作法V!$B$1:$C$9,2,TRUE))</f>
        <v>H361~</v>
      </c>
    </row>
    <row r="1417" spans="1:12">
      <c r="A1417">
        <v>1120</v>
      </c>
      <c r="B1417" t="s">
        <v>78</v>
      </c>
      <c r="C1417" s="3">
        <v>38287</v>
      </c>
      <c r="D1417" s="3">
        <v>38377</v>
      </c>
      <c r="E1417" t="s">
        <v>17</v>
      </c>
      <c r="F1417">
        <v>33.814999999999998</v>
      </c>
      <c r="G1417">
        <v>3026.24</v>
      </c>
      <c r="H1417">
        <v>102332</v>
      </c>
      <c r="I1417" s="4">
        <v>38686</v>
      </c>
      <c r="J1417" s="5">
        <f t="shared" si="44"/>
        <v>309</v>
      </c>
      <c r="K1417" s="6" t="str">
        <f t="shared" si="45"/>
        <v>G181~360</v>
      </c>
      <c r="L1417" t="str">
        <f>IF(J1417&lt;0,"A~0",VLOOKUP(J1417,[1]作法V!$B$1:$C$9,2,TRUE))</f>
        <v>G181~360</v>
      </c>
    </row>
    <row r="1418" spans="1:12">
      <c r="A1418">
        <v>1120</v>
      </c>
      <c r="B1418" t="s">
        <v>78</v>
      </c>
      <c r="C1418" s="3">
        <v>38287</v>
      </c>
      <c r="D1418" s="3">
        <v>38377</v>
      </c>
      <c r="E1418" t="s">
        <v>17</v>
      </c>
      <c r="F1418">
        <v>33.814999999999998</v>
      </c>
      <c r="G1418">
        <v>226.45</v>
      </c>
      <c r="H1418">
        <v>7657</v>
      </c>
      <c r="I1418" s="4">
        <v>38686</v>
      </c>
      <c r="J1418" s="5">
        <f t="shared" si="44"/>
        <v>309</v>
      </c>
      <c r="K1418" s="6" t="str">
        <f t="shared" si="45"/>
        <v>G181~360</v>
      </c>
      <c r="L1418" t="str">
        <f>IF(J1418&lt;0,"A~0",VLOOKUP(J1418,[1]作法V!$B$1:$C$9,2,TRUE))</f>
        <v>G181~360</v>
      </c>
    </row>
    <row r="1419" spans="1:12">
      <c r="A1419">
        <v>1120</v>
      </c>
      <c r="B1419" t="s">
        <v>78</v>
      </c>
      <c r="C1419" s="3">
        <v>38287</v>
      </c>
      <c r="D1419" s="3">
        <v>38377</v>
      </c>
      <c r="E1419" t="s">
        <v>17</v>
      </c>
      <c r="F1419">
        <v>33.814999999999998</v>
      </c>
      <c r="G1419">
        <v>452.9</v>
      </c>
      <c r="H1419">
        <v>15315</v>
      </c>
      <c r="I1419" s="4">
        <v>38686</v>
      </c>
      <c r="J1419" s="5">
        <f t="shared" si="44"/>
        <v>309</v>
      </c>
      <c r="K1419" s="6" t="str">
        <f t="shared" si="45"/>
        <v>G181~360</v>
      </c>
      <c r="L1419" t="str">
        <f>IF(J1419&lt;0,"A~0",VLOOKUP(J1419,[1]作法V!$B$1:$C$9,2,TRUE))</f>
        <v>G181~360</v>
      </c>
    </row>
    <row r="1420" spans="1:12">
      <c r="A1420">
        <v>1120</v>
      </c>
      <c r="B1420" t="s">
        <v>78</v>
      </c>
      <c r="C1420" s="3">
        <v>38314</v>
      </c>
      <c r="D1420" s="3">
        <v>38408</v>
      </c>
      <c r="E1420" t="s">
        <v>17</v>
      </c>
      <c r="F1420">
        <v>32.76</v>
      </c>
      <c r="G1420">
        <v>155.77000000000001</v>
      </c>
      <c r="H1420">
        <v>5103</v>
      </c>
      <c r="I1420" s="4">
        <v>38686</v>
      </c>
      <c r="J1420" s="5">
        <f t="shared" si="44"/>
        <v>278</v>
      </c>
      <c r="K1420" s="6" t="str">
        <f t="shared" si="45"/>
        <v>G181~360</v>
      </c>
      <c r="L1420" t="str">
        <f>IF(J1420&lt;0,"A~0",VLOOKUP(J1420,[1]作法V!$B$1:$C$9,2,TRUE))</f>
        <v>G181~360</v>
      </c>
    </row>
    <row r="1421" spans="1:12">
      <c r="A1421">
        <v>1120</v>
      </c>
      <c r="B1421" t="s">
        <v>78</v>
      </c>
      <c r="C1421" s="3">
        <v>38363</v>
      </c>
      <c r="D1421" s="3">
        <v>38467</v>
      </c>
      <c r="E1421" t="s">
        <v>17</v>
      </c>
      <c r="F1421">
        <v>31.97</v>
      </c>
      <c r="G1421">
        <v>1239.21</v>
      </c>
      <c r="H1421">
        <v>39618</v>
      </c>
      <c r="I1421" s="4">
        <v>38686</v>
      </c>
      <c r="J1421" s="5">
        <f t="shared" si="44"/>
        <v>219</v>
      </c>
      <c r="K1421" s="6" t="str">
        <f t="shared" si="45"/>
        <v>G181~360</v>
      </c>
      <c r="L1421" t="str">
        <f>IF(J1421&lt;0,"A~0",VLOOKUP(J1421,[1]作法V!$B$1:$C$9,2,TRUE))</f>
        <v>G181~360</v>
      </c>
    </row>
    <row r="1422" spans="1:12">
      <c r="A1422">
        <v>1120</v>
      </c>
      <c r="B1422" t="s">
        <v>78</v>
      </c>
      <c r="C1422" s="3">
        <v>38363</v>
      </c>
      <c r="D1422" s="3">
        <v>38467</v>
      </c>
      <c r="E1422" t="s">
        <v>17</v>
      </c>
      <c r="F1422">
        <v>31.97</v>
      </c>
      <c r="G1422">
        <v>1390.95</v>
      </c>
      <c r="H1422">
        <v>44469</v>
      </c>
      <c r="I1422" s="4">
        <v>38686</v>
      </c>
      <c r="J1422" s="5">
        <f t="shared" si="44"/>
        <v>219</v>
      </c>
      <c r="K1422" s="6" t="str">
        <f t="shared" si="45"/>
        <v>G181~360</v>
      </c>
      <c r="L1422" t="str">
        <f>IF(J1422&lt;0,"A~0",VLOOKUP(J1422,[1]作法V!$B$1:$C$9,2,TRUE))</f>
        <v>G181~360</v>
      </c>
    </row>
    <row r="1423" spans="1:12">
      <c r="A1423">
        <v>1120</v>
      </c>
      <c r="B1423" t="s">
        <v>78</v>
      </c>
      <c r="C1423" s="3">
        <v>38363</v>
      </c>
      <c r="D1423" s="3">
        <v>38467</v>
      </c>
      <c r="E1423" t="s">
        <v>17</v>
      </c>
      <c r="F1423">
        <v>31.97</v>
      </c>
      <c r="G1423">
        <v>1043.56</v>
      </c>
      <c r="H1423">
        <v>33363</v>
      </c>
      <c r="I1423" s="4">
        <v>38686</v>
      </c>
      <c r="J1423" s="5">
        <f t="shared" si="44"/>
        <v>219</v>
      </c>
      <c r="K1423" s="6" t="str">
        <f t="shared" si="45"/>
        <v>G181~360</v>
      </c>
      <c r="L1423" t="str">
        <f>IF(J1423&lt;0,"A~0",VLOOKUP(J1423,[1]作法V!$B$1:$C$9,2,TRUE))</f>
        <v>G181~360</v>
      </c>
    </row>
    <row r="1424" spans="1:12">
      <c r="A1424">
        <v>1120</v>
      </c>
      <c r="B1424" t="s">
        <v>78</v>
      </c>
      <c r="C1424" s="3">
        <v>38363</v>
      </c>
      <c r="D1424" s="3">
        <v>38467</v>
      </c>
      <c r="E1424" t="s">
        <v>17</v>
      </c>
      <c r="F1424">
        <v>31.97</v>
      </c>
      <c r="G1424">
        <v>3412</v>
      </c>
      <c r="H1424">
        <v>109082</v>
      </c>
      <c r="I1424" s="4">
        <v>38686</v>
      </c>
      <c r="J1424" s="5">
        <f t="shared" si="44"/>
        <v>219</v>
      </c>
      <c r="K1424" s="6" t="str">
        <f t="shared" si="45"/>
        <v>G181~360</v>
      </c>
      <c r="L1424" t="str">
        <f>IF(J1424&lt;0,"A~0",VLOOKUP(J1424,[1]作法V!$B$1:$C$9,2,TRUE))</f>
        <v>G181~360</v>
      </c>
    </row>
    <row r="1425" spans="1:12">
      <c r="A1425">
        <v>1120</v>
      </c>
      <c r="B1425" t="s">
        <v>78</v>
      </c>
      <c r="C1425" s="3">
        <v>38363</v>
      </c>
      <c r="D1425" s="3">
        <v>38467</v>
      </c>
      <c r="E1425" t="s">
        <v>17</v>
      </c>
      <c r="F1425">
        <v>31.97</v>
      </c>
      <c r="G1425">
        <v>101.16</v>
      </c>
      <c r="H1425">
        <v>3234</v>
      </c>
      <c r="I1425" s="4">
        <v>38686</v>
      </c>
      <c r="J1425" s="5">
        <f t="shared" si="44"/>
        <v>219</v>
      </c>
      <c r="K1425" s="6" t="str">
        <f t="shared" si="45"/>
        <v>G181~360</v>
      </c>
      <c r="L1425" t="str">
        <f>IF(J1425&lt;0,"A~0",VLOOKUP(J1425,[1]作法V!$B$1:$C$9,2,TRUE))</f>
        <v>G181~360</v>
      </c>
    </row>
    <row r="1426" spans="1:12">
      <c r="A1426">
        <v>1120</v>
      </c>
      <c r="B1426" t="s">
        <v>78</v>
      </c>
      <c r="C1426" s="3">
        <v>38363</v>
      </c>
      <c r="D1426" s="3">
        <v>38467</v>
      </c>
      <c r="E1426" t="s">
        <v>17</v>
      </c>
      <c r="F1426">
        <v>31.97</v>
      </c>
      <c r="G1426">
        <v>751.68</v>
      </c>
      <c r="H1426">
        <v>24031</v>
      </c>
      <c r="I1426" s="4">
        <v>38686</v>
      </c>
      <c r="J1426" s="5">
        <f t="shared" si="44"/>
        <v>219</v>
      </c>
      <c r="K1426" s="6" t="str">
        <f t="shared" si="45"/>
        <v>G181~360</v>
      </c>
      <c r="L1426" t="str">
        <f>IF(J1426&lt;0,"A~0",VLOOKUP(J1426,[1]作法V!$B$1:$C$9,2,TRUE))</f>
        <v>G181~360</v>
      </c>
    </row>
    <row r="1427" spans="1:12">
      <c r="A1427">
        <v>1120</v>
      </c>
      <c r="B1427" t="s">
        <v>78</v>
      </c>
      <c r="C1427" s="3">
        <v>38448</v>
      </c>
      <c r="D1427" s="3">
        <v>38558</v>
      </c>
      <c r="E1427" t="s">
        <v>17</v>
      </c>
      <c r="F1427">
        <v>31.44</v>
      </c>
      <c r="G1427">
        <v>3695</v>
      </c>
      <c r="H1427">
        <v>116171</v>
      </c>
      <c r="I1427" s="4">
        <v>38686</v>
      </c>
      <c r="J1427" s="5">
        <f t="shared" si="44"/>
        <v>128</v>
      </c>
      <c r="K1427" s="6" t="str">
        <f t="shared" si="45"/>
        <v>F121~180</v>
      </c>
      <c r="L1427" t="str">
        <f>IF(J1427&lt;0,"A~0",VLOOKUP(J1427,[1]作法V!$B$1:$C$9,2,TRUE))</f>
        <v>F121~180</v>
      </c>
    </row>
    <row r="1428" spans="1:12">
      <c r="A1428">
        <v>1120</v>
      </c>
      <c r="B1428" t="s">
        <v>78</v>
      </c>
      <c r="C1428" s="3">
        <v>38492</v>
      </c>
      <c r="D1428" s="3">
        <v>38589</v>
      </c>
      <c r="E1428" t="s">
        <v>17</v>
      </c>
      <c r="F1428">
        <v>31.085000000000001</v>
      </c>
      <c r="G1428">
        <v>3780</v>
      </c>
      <c r="H1428">
        <v>117501</v>
      </c>
      <c r="I1428" s="4">
        <v>38686</v>
      </c>
      <c r="J1428" s="5">
        <f t="shared" si="44"/>
        <v>97</v>
      </c>
      <c r="K1428" s="6" t="str">
        <f t="shared" si="45"/>
        <v>E91~120</v>
      </c>
      <c r="L1428" t="str">
        <f>IF(J1428&lt;0,"A~0",VLOOKUP(J1428,[1]作法V!$B$1:$C$9,2,TRUE))</f>
        <v>E91~120</v>
      </c>
    </row>
    <row r="1429" spans="1:12">
      <c r="A1429">
        <v>1120</v>
      </c>
      <c r="B1429" t="s">
        <v>78</v>
      </c>
      <c r="C1429" s="3">
        <v>38588</v>
      </c>
      <c r="D1429" s="3">
        <v>38681</v>
      </c>
      <c r="E1429" t="s">
        <v>17</v>
      </c>
      <c r="F1429">
        <v>31.905000000000001</v>
      </c>
      <c r="G1429">
        <v>593.28</v>
      </c>
      <c r="H1429">
        <v>18929</v>
      </c>
      <c r="I1429" s="4">
        <v>38686</v>
      </c>
      <c r="J1429" s="5">
        <f t="shared" si="44"/>
        <v>5</v>
      </c>
      <c r="K1429" s="6" t="str">
        <f t="shared" si="45"/>
        <v>B1~30</v>
      </c>
      <c r="L1429" t="str">
        <f>IF(J1429&lt;0,"A~0",VLOOKUP(J1429,[1]作法V!$B$1:$C$9,2,TRUE))</f>
        <v>B1~30</v>
      </c>
    </row>
    <row r="1430" spans="1:12">
      <c r="A1430">
        <v>1120</v>
      </c>
      <c r="B1430" t="s">
        <v>78</v>
      </c>
      <c r="C1430" s="3">
        <v>38588</v>
      </c>
      <c r="D1430" s="3">
        <v>38681</v>
      </c>
      <c r="E1430" t="s">
        <v>17</v>
      </c>
      <c r="F1430">
        <v>31.905000000000001</v>
      </c>
      <c r="G1430">
        <v>961.92</v>
      </c>
      <c r="H1430">
        <v>30690</v>
      </c>
      <c r="I1430" s="4">
        <v>38686</v>
      </c>
      <c r="J1430" s="5">
        <f t="shared" si="44"/>
        <v>5</v>
      </c>
      <c r="K1430" s="6" t="str">
        <f t="shared" si="45"/>
        <v>B1~30</v>
      </c>
      <c r="L1430" t="str">
        <f>IF(J1430&lt;0,"A~0",VLOOKUP(J1430,[1]作法V!$B$1:$C$9,2,TRUE))</f>
        <v>B1~30</v>
      </c>
    </row>
    <row r="1431" spans="1:12">
      <c r="A1431">
        <v>1120</v>
      </c>
      <c r="B1431" t="s">
        <v>78</v>
      </c>
      <c r="C1431" s="3">
        <v>38590</v>
      </c>
      <c r="D1431" s="3">
        <v>38681</v>
      </c>
      <c r="E1431" t="s">
        <v>17</v>
      </c>
      <c r="F1431">
        <v>31.905000000000001</v>
      </c>
      <c r="G1431">
        <v>1036.8</v>
      </c>
      <c r="H1431">
        <v>33079</v>
      </c>
      <c r="I1431" s="4">
        <v>38686</v>
      </c>
      <c r="J1431" s="5">
        <f t="shared" si="44"/>
        <v>5</v>
      </c>
      <c r="K1431" s="6" t="str">
        <f t="shared" si="45"/>
        <v>B1~30</v>
      </c>
      <c r="L1431" t="str">
        <f>IF(J1431&lt;0,"A~0",VLOOKUP(J1431,[1]作法V!$B$1:$C$9,2,TRUE))</f>
        <v>B1~30</v>
      </c>
    </row>
    <row r="1432" spans="1:12">
      <c r="A1432">
        <v>1120</v>
      </c>
      <c r="B1432" t="s">
        <v>78</v>
      </c>
      <c r="C1432" s="3">
        <v>38590</v>
      </c>
      <c r="D1432" s="3">
        <v>38681</v>
      </c>
      <c r="E1432" t="s">
        <v>17</v>
      </c>
      <c r="F1432">
        <v>31.905000000000001</v>
      </c>
      <c r="G1432">
        <v>1852.8</v>
      </c>
      <c r="H1432">
        <v>59114</v>
      </c>
      <c r="I1432" s="4">
        <v>38686</v>
      </c>
      <c r="J1432" s="5">
        <f t="shared" si="44"/>
        <v>5</v>
      </c>
      <c r="K1432" s="6" t="str">
        <f t="shared" si="45"/>
        <v>B1~30</v>
      </c>
      <c r="L1432" t="str">
        <f>IF(J1432&lt;0,"A~0",VLOOKUP(J1432,[1]作法V!$B$1:$C$9,2,TRUE))</f>
        <v>B1~30</v>
      </c>
    </row>
    <row r="1433" spans="1:12">
      <c r="A1433">
        <v>1120</v>
      </c>
      <c r="B1433" t="s">
        <v>78</v>
      </c>
      <c r="C1433" s="3">
        <v>38594</v>
      </c>
      <c r="D1433" s="3">
        <v>38681</v>
      </c>
      <c r="E1433" t="s">
        <v>17</v>
      </c>
      <c r="F1433">
        <v>31.905000000000001</v>
      </c>
      <c r="G1433">
        <v>6000</v>
      </c>
      <c r="H1433">
        <v>191430</v>
      </c>
      <c r="I1433" s="4">
        <v>38686</v>
      </c>
      <c r="J1433" s="5">
        <f t="shared" si="44"/>
        <v>5</v>
      </c>
      <c r="K1433" s="6" t="str">
        <f t="shared" si="45"/>
        <v>B1~30</v>
      </c>
      <c r="L1433" t="str">
        <f>IF(J1433&lt;0,"A~0",VLOOKUP(J1433,[1]作法V!$B$1:$C$9,2,TRUE))</f>
        <v>B1~30</v>
      </c>
    </row>
    <row r="1434" spans="1:12">
      <c r="A1434">
        <v>1120</v>
      </c>
      <c r="B1434" t="s">
        <v>78</v>
      </c>
      <c r="C1434" s="3">
        <v>38594</v>
      </c>
      <c r="D1434" s="3">
        <v>38681</v>
      </c>
      <c r="E1434" t="s">
        <v>17</v>
      </c>
      <c r="F1434">
        <v>31.905000000000001</v>
      </c>
      <c r="G1434">
        <v>3153.6</v>
      </c>
      <c r="H1434">
        <v>100616</v>
      </c>
      <c r="I1434" s="4">
        <v>38686</v>
      </c>
      <c r="J1434" s="5">
        <f t="shared" si="44"/>
        <v>5</v>
      </c>
      <c r="K1434" s="6" t="str">
        <f t="shared" si="45"/>
        <v>B1~30</v>
      </c>
      <c r="L1434" t="str">
        <f>IF(J1434&lt;0,"A~0",VLOOKUP(J1434,[1]作法V!$B$1:$C$9,2,TRUE))</f>
        <v>B1~30</v>
      </c>
    </row>
    <row r="1435" spans="1:12">
      <c r="A1435">
        <v>1120</v>
      </c>
      <c r="B1435" t="s">
        <v>78</v>
      </c>
      <c r="C1435" s="3">
        <v>38594</v>
      </c>
      <c r="D1435" s="3">
        <v>38681</v>
      </c>
      <c r="E1435" t="s">
        <v>17</v>
      </c>
      <c r="F1435">
        <v>31.905000000000001</v>
      </c>
      <c r="G1435">
        <v>6000</v>
      </c>
      <c r="H1435">
        <v>191430</v>
      </c>
      <c r="I1435" s="4">
        <v>38686</v>
      </c>
      <c r="J1435" s="5">
        <f t="shared" si="44"/>
        <v>5</v>
      </c>
      <c r="K1435" s="6" t="str">
        <f t="shared" si="45"/>
        <v>B1~30</v>
      </c>
      <c r="L1435" t="str">
        <f>IF(J1435&lt;0,"A~0",VLOOKUP(J1435,[1]作法V!$B$1:$C$9,2,TRUE))</f>
        <v>B1~30</v>
      </c>
    </row>
    <row r="1436" spans="1:12">
      <c r="A1436">
        <v>1120</v>
      </c>
      <c r="B1436" t="s">
        <v>78</v>
      </c>
      <c r="C1436" s="3">
        <v>38595</v>
      </c>
      <c r="D1436" s="3">
        <v>38681</v>
      </c>
      <c r="E1436" t="s">
        <v>17</v>
      </c>
      <c r="F1436">
        <v>31.905000000000001</v>
      </c>
      <c r="G1436">
        <v>1048.32</v>
      </c>
      <c r="H1436">
        <v>33447</v>
      </c>
      <c r="I1436" s="4">
        <v>38686</v>
      </c>
      <c r="J1436" s="5">
        <f t="shared" si="44"/>
        <v>5</v>
      </c>
      <c r="K1436" s="6" t="str">
        <f t="shared" si="45"/>
        <v>B1~30</v>
      </c>
      <c r="L1436" t="str">
        <f>IF(J1436&lt;0,"A~0",VLOOKUP(J1436,[1]作法V!$B$1:$C$9,2,TRUE))</f>
        <v>B1~30</v>
      </c>
    </row>
    <row r="1437" spans="1:12">
      <c r="A1437">
        <v>1120</v>
      </c>
      <c r="B1437" t="s">
        <v>78</v>
      </c>
      <c r="C1437" s="3">
        <v>38595</v>
      </c>
      <c r="D1437" s="3">
        <v>38681</v>
      </c>
      <c r="E1437" t="s">
        <v>17</v>
      </c>
      <c r="F1437">
        <v>31.905000000000001</v>
      </c>
      <c r="G1437">
        <v>631.67999999999995</v>
      </c>
      <c r="H1437">
        <v>20154</v>
      </c>
      <c r="I1437" s="4">
        <v>38686</v>
      </c>
      <c r="J1437" s="5">
        <f t="shared" si="44"/>
        <v>5</v>
      </c>
      <c r="K1437" s="6" t="str">
        <f t="shared" si="45"/>
        <v>B1~30</v>
      </c>
      <c r="L1437" t="str">
        <f>IF(J1437&lt;0,"A~0",VLOOKUP(J1437,[1]作法V!$B$1:$C$9,2,TRUE))</f>
        <v>B1~30</v>
      </c>
    </row>
    <row r="1438" spans="1:12">
      <c r="A1438">
        <v>1120</v>
      </c>
      <c r="B1438" t="s">
        <v>78</v>
      </c>
      <c r="C1438" s="3">
        <v>38598</v>
      </c>
      <c r="D1438" s="3">
        <v>38711</v>
      </c>
      <c r="E1438" t="s">
        <v>17</v>
      </c>
      <c r="F1438">
        <v>32.195</v>
      </c>
      <c r="G1438">
        <v>2073.6</v>
      </c>
      <c r="H1438">
        <v>66760</v>
      </c>
      <c r="I1438" s="4">
        <v>38686</v>
      </c>
      <c r="J1438" s="5">
        <f t="shared" si="44"/>
        <v>-25</v>
      </c>
      <c r="K1438" s="6" t="str">
        <f t="shared" si="45"/>
        <v>A~0</v>
      </c>
      <c r="L1438" t="str">
        <f>IF(J1438&lt;0,"A~0",VLOOKUP(J1438,[1]作法V!$B$1:$C$9,2,TRUE))</f>
        <v>A~0</v>
      </c>
    </row>
    <row r="1439" spans="1:12">
      <c r="A1439">
        <v>1120</v>
      </c>
      <c r="B1439" t="s">
        <v>78</v>
      </c>
      <c r="C1439" s="3">
        <v>38600</v>
      </c>
      <c r="D1439" s="3">
        <v>38711</v>
      </c>
      <c r="E1439" t="s">
        <v>17</v>
      </c>
      <c r="F1439">
        <v>32.195</v>
      </c>
      <c r="G1439">
        <v>2062.08</v>
      </c>
      <c r="H1439">
        <v>66389</v>
      </c>
      <c r="I1439" s="4">
        <v>38686</v>
      </c>
      <c r="J1439" s="5">
        <f t="shared" si="44"/>
        <v>-25</v>
      </c>
      <c r="K1439" s="6" t="str">
        <f t="shared" si="45"/>
        <v>A~0</v>
      </c>
      <c r="L1439" t="str">
        <f>IF(J1439&lt;0,"A~0",VLOOKUP(J1439,[1]作法V!$B$1:$C$9,2,TRUE))</f>
        <v>A~0</v>
      </c>
    </row>
    <row r="1440" spans="1:12">
      <c r="A1440">
        <v>1120</v>
      </c>
      <c r="B1440" t="s">
        <v>78</v>
      </c>
      <c r="C1440" s="3">
        <v>38600</v>
      </c>
      <c r="D1440" s="3">
        <v>38711</v>
      </c>
      <c r="E1440" t="s">
        <v>17</v>
      </c>
      <c r="F1440">
        <v>32.195</v>
      </c>
      <c r="G1440">
        <v>11.52</v>
      </c>
      <c r="H1440">
        <v>371</v>
      </c>
      <c r="I1440" s="4">
        <v>38686</v>
      </c>
      <c r="J1440" s="5">
        <f t="shared" si="44"/>
        <v>-25</v>
      </c>
      <c r="K1440" s="6" t="str">
        <f t="shared" si="45"/>
        <v>A~0</v>
      </c>
      <c r="L1440" t="str">
        <f>IF(J1440&lt;0,"A~0",VLOOKUP(J1440,[1]作法V!$B$1:$C$9,2,TRUE))</f>
        <v>A~0</v>
      </c>
    </row>
    <row r="1441" spans="1:12">
      <c r="A1441">
        <v>1120</v>
      </c>
      <c r="B1441" t="s">
        <v>78</v>
      </c>
      <c r="C1441" s="3">
        <v>38602</v>
      </c>
      <c r="D1441" s="3">
        <v>38711</v>
      </c>
      <c r="E1441" t="s">
        <v>17</v>
      </c>
      <c r="F1441">
        <v>32.195</v>
      </c>
      <c r="G1441">
        <v>1200</v>
      </c>
      <c r="H1441">
        <v>38634</v>
      </c>
      <c r="I1441" s="4">
        <v>38686</v>
      </c>
      <c r="J1441" s="5">
        <f t="shared" si="44"/>
        <v>-25</v>
      </c>
      <c r="K1441" s="6" t="str">
        <f t="shared" si="45"/>
        <v>A~0</v>
      </c>
      <c r="L1441" t="str">
        <f>IF(J1441&lt;0,"A~0",VLOOKUP(J1441,[1]作法V!$B$1:$C$9,2,TRUE))</f>
        <v>A~0</v>
      </c>
    </row>
    <row r="1442" spans="1:12">
      <c r="A1442">
        <v>1120</v>
      </c>
      <c r="B1442" t="s">
        <v>78</v>
      </c>
      <c r="C1442" s="3">
        <v>38602</v>
      </c>
      <c r="D1442" s="3">
        <v>38711</v>
      </c>
      <c r="E1442" t="s">
        <v>17</v>
      </c>
      <c r="F1442">
        <v>32.195</v>
      </c>
      <c r="G1442">
        <v>11400</v>
      </c>
      <c r="H1442">
        <v>367023</v>
      </c>
      <c r="I1442" s="4">
        <v>38686</v>
      </c>
      <c r="J1442" s="5">
        <f t="shared" si="44"/>
        <v>-25</v>
      </c>
      <c r="K1442" s="6" t="str">
        <f t="shared" si="45"/>
        <v>A~0</v>
      </c>
      <c r="L1442" t="str">
        <f>IF(J1442&lt;0,"A~0",VLOOKUP(J1442,[1]作法V!$B$1:$C$9,2,TRUE))</f>
        <v>A~0</v>
      </c>
    </row>
    <row r="1443" spans="1:12">
      <c r="A1443">
        <v>1120</v>
      </c>
      <c r="B1443" t="s">
        <v>78</v>
      </c>
      <c r="C1443" s="3">
        <v>38605</v>
      </c>
      <c r="D1443" s="3">
        <v>38711</v>
      </c>
      <c r="E1443" t="s">
        <v>17</v>
      </c>
      <c r="F1443">
        <v>32.195</v>
      </c>
      <c r="G1443">
        <v>2592</v>
      </c>
      <c r="H1443">
        <v>83449</v>
      </c>
      <c r="I1443" s="4">
        <v>38686</v>
      </c>
      <c r="J1443" s="5">
        <f t="shared" si="44"/>
        <v>-25</v>
      </c>
      <c r="K1443" s="6" t="str">
        <f t="shared" si="45"/>
        <v>A~0</v>
      </c>
      <c r="L1443" t="str">
        <f>IF(J1443&lt;0,"A~0",VLOOKUP(J1443,[1]作法V!$B$1:$C$9,2,TRUE))</f>
        <v>A~0</v>
      </c>
    </row>
    <row r="1444" spans="1:12">
      <c r="A1444">
        <v>1120</v>
      </c>
      <c r="B1444" t="s">
        <v>78</v>
      </c>
      <c r="C1444" s="3">
        <v>38605</v>
      </c>
      <c r="D1444" s="3">
        <v>38711</v>
      </c>
      <c r="E1444" t="s">
        <v>17</v>
      </c>
      <c r="F1444">
        <v>32.195</v>
      </c>
      <c r="G1444">
        <v>4200</v>
      </c>
      <c r="H1444">
        <v>135219</v>
      </c>
      <c r="I1444" s="4">
        <v>38686</v>
      </c>
      <c r="J1444" s="5">
        <f t="shared" si="44"/>
        <v>-25</v>
      </c>
      <c r="K1444" s="6" t="str">
        <f t="shared" si="45"/>
        <v>A~0</v>
      </c>
      <c r="L1444" t="str">
        <f>IF(J1444&lt;0,"A~0",VLOOKUP(J1444,[1]作法V!$B$1:$C$9,2,TRUE))</f>
        <v>A~0</v>
      </c>
    </row>
    <row r="1445" spans="1:12">
      <c r="A1445">
        <v>1120</v>
      </c>
      <c r="B1445" t="s">
        <v>78</v>
      </c>
      <c r="C1445" s="3">
        <v>38607</v>
      </c>
      <c r="D1445" s="3">
        <v>38711</v>
      </c>
      <c r="E1445" t="s">
        <v>17</v>
      </c>
      <c r="F1445">
        <v>32.365000000000002</v>
      </c>
      <c r="G1445">
        <v>4540.8</v>
      </c>
      <c r="H1445">
        <v>146963</v>
      </c>
      <c r="I1445" s="4">
        <v>38686</v>
      </c>
      <c r="J1445" s="5">
        <f t="shared" si="44"/>
        <v>-25</v>
      </c>
      <c r="K1445" s="6" t="str">
        <f t="shared" si="45"/>
        <v>A~0</v>
      </c>
      <c r="L1445" t="str">
        <f>IF(J1445&lt;0,"A~0",VLOOKUP(J1445,[1]作法V!$B$1:$C$9,2,TRUE))</f>
        <v>A~0</v>
      </c>
    </row>
    <row r="1446" spans="1:12">
      <c r="A1446">
        <v>1120</v>
      </c>
      <c r="B1446" t="s">
        <v>78</v>
      </c>
      <c r="C1446" s="3">
        <v>38610</v>
      </c>
      <c r="D1446" s="3">
        <v>38711</v>
      </c>
      <c r="E1446" t="s">
        <v>17</v>
      </c>
      <c r="F1446">
        <v>32.365000000000002</v>
      </c>
      <c r="G1446">
        <v>5600</v>
      </c>
      <c r="H1446">
        <v>181244</v>
      </c>
      <c r="I1446" s="4">
        <v>38686</v>
      </c>
      <c r="J1446" s="5">
        <f t="shared" si="44"/>
        <v>-25</v>
      </c>
      <c r="K1446" s="6" t="str">
        <f t="shared" si="45"/>
        <v>A~0</v>
      </c>
      <c r="L1446" t="str">
        <f>IF(J1446&lt;0,"A~0",VLOOKUP(J1446,[1]作法V!$B$1:$C$9,2,TRUE))</f>
        <v>A~0</v>
      </c>
    </row>
    <row r="1447" spans="1:12">
      <c r="A1447">
        <v>1120</v>
      </c>
      <c r="B1447" t="s">
        <v>78</v>
      </c>
      <c r="C1447" s="3">
        <v>38610</v>
      </c>
      <c r="D1447" s="3">
        <v>38711</v>
      </c>
      <c r="E1447" t="s">
        <v>17</v>
      </c>
      <c r="F1447">
        <v>32.365000000000002</v>
      </c>
      <c r="G1447">
        <v>1400</v>
      </c>
      <c r="H1447">
        <v>45311</v>
      </c>
      <c r="I1447" s="4">
        <v>38686</v>
      </c>
      <c r="J1447" s="5">
        <f t="shared" si="44"/>
        <v>-25</v>
      </c>
      <c r="K1447" s="6" t="str">
        <f t="shared" si="45"/>
        <v>A~0</v>
      </c>
      <c r="L1447" t="str">
        <f>IF(J1447&lt;0,"A~0",VLOOKUP(J1447,[1]作法V!$B$1:$C$9,2,TRUE))</f>
        <v>A~0</v>
      </c>
    </row>
    <row r="1448" spans="1:12">
      <c r="A1448">
        <v>1120</v>
      </c>
      <c r="B1448" t="s">
        <v>78</v>
      </c>
      <c r="C1448" s="3">
        <v>38614</v>
      </c>
      <c r="D1448" s="3">
        <v>38711</v>
      </c>
      <c r="E1448" t="s">
        <v>17</v>
      </c>
      <c r="F1448">
        <v>32.365000000000002</v>
      </c>
      <c r="G1448">
        <v>631.67999999999995</v>
      </c>
      <c r="H1448">
        <v>20444</v>
      </c>
      <c r="I1448" s="4">
        <v>38686</v>
      </c>
      <c r="J1448" s="5">
        <f t="shared" si="44"/>
        <v>-25</v>
      </c>
      <c r="K1448" s="6" t="str">
        <f t="shared" si="45"/>
        <v>A~0</v>
      </c>
      <c r="L1448" t="str">
        <f>IF(J1448&lt;0,"A~0",VLOOKUP(J1448,[1]作法V!$B$1:$C$9,2,TRUE))</f>
        <v>A~0</v>
      </c>
    </row>
    <row r="1449" spans="1:12">
      <c r="A1449">
        <v>1120</v>
      </c>
      <c r="B1449" t="s">
        <v>78</v>
      </c>
      <c r="C1449" s="3">
        <v>38614</v>
      </c>
      <c r="D1449" s="3">
        <v>38711</v>
      </c>
      <c r="E1449" t="s">
        <v>17</v>
      </c>
      <c r="F1449">
        <v>32.365000000000002</v>
      </c>
      <c r="G1449">
        <v>6420.56</v>
      </c>
      <c r="H1449">
        <v>207801</v>
      </c>
      <c r="I1449" s="4">
        <v>38686</v>
      </c>
      <c r="J1449" s="5">
        <f t="shared" si="44"/>
        <v>-25</v>
      </c>
      <c r="K1449" s="6" t="str">
        <f t="shared" si="45"/>
        <v>A~0</v>
      </c>
      <c r="L1449" t="str">
        <f>IF(J1449&lt;0,"A~0",VLOOKUP(J1449,[1]作法V!$B$1:$C$9,2,TRUE))</f>
        <v>A~0</v>
      </c>
    </row>
    <row r="1450" spans="1:12">
      <c r="A1450">
        <v>1120</v>
      </c>
      <c r="B1450" t="s">
        <v>78</v>
      </c>
      <c r="C1450" s="3">
        <v>38614</v>
      </c>
      <c r="D1450" s="3">
        <v>38711</v>
      </c>
      <c r="E1450" t="s">
        <v>17</v>
      </c>
      <c r="F1450">
        <v>32.365000000000002</v>
      </c>
      <c r="G1450">
        <v>2100</v>
      </c>
      <c r="H1450">
        <v>67967</v>
      </c>
      <c r="I1450" s="4">
        <v>38686</v>
      </c>
      <c r="J1450" s="5">
        <f t="shared" si="44"/>
        <v>-25</v>
      </c>
      <c r="K1450" s="6" t="str">
        <f t="shared" si="45"/>
        <v>A~0</v>
      </c>
      <c r="L1450" t="str">
        <f>IF(J1450&lt;0,"A~0",VLOOKUP(J1450,[1]作法V!$B$1:$C$9,2,TRUE))</f>
        <v>A~0</v>
      </c>
    </row>
    <row r="1451" spans="1:12">
      <c r="A1451">
        <v>1120</v>
      </c>
      <c r="B1451" t="s">
        <v>78</v>
      </c>
      <c r="C1451" s="3">
        <v>38615</v>
      </c>
      <c r="D1451" s="3">
        <v>38711</v>
      </c>
      <c r="E1451" t="s">
        <v>17</v>
      </c>
      <c r="F1451">
        <v>32.365000000000002</v>
      </c>
      <c r="G1451">
        <v>10800</v>
      </c>
      <c r="H1451">
        <v>349542</v>
      </c>
      <c r="I1451" s="4">
        <v>38686</v>
      </c>
      <c r="J1451" s="5">
        <f t="shared" si="44"/>
        <v>-25</v>
      </c>
      <c r="K1451" s="6" t="str">
        <f t="shared" si="45"/>
        <v>A~0</v>
      </c>
      <c r="L1451" t="str">
        <f>IF(J1451&lt;0,"A~0",VLOOKUP(J1451,[1]作法V!$B$1:$C$9,2,TRUE))</f>
        <v>A~0</v>
      </c>
    </row>
    <row r="1452" spans="1:12">
      <c r="A1452">
        <v>1120</v>
      </c>
      <c r="B1452" t="s">
        <v>78</v>
      </c>
      <c r="C1452" s="3">
        <v>38616</v>
      </c>
      <c r="D1452" s="3">
        <v>38711</v>
      </c>
      <c r="E1452" t="s">
        <v>17</v>
      </c>
      <c r="F1452">
        <v>32.799999999999997</v>
      </c>
      <c r="G1452">
        <v>3628.8</v>
      </c>
      <c r="H1452">
        <v>119025</v>
      </c>
      <c r="I1452" s="4">
        <v>38686</v>
      </c>
      <c r="J1452" s="5">
        <f t="shared" si="44"/>
        <v>-25</v>
      </c>
      <c r="K1452" s="6" t="str">
        <f t="shared" si="45"/>
        <v>A~0</v>
      </c>
      <c r="L1452" t="str">
        <f>IF(J1452&lt;0,"A~0",VLOOKUP(J1452,[1]作法V!$B$1:$C$9,2,TRUE))</f>
        <v>A~0</v>
      </c>
    </row>
    <row r="1453" spans="1:12">
      <c r="A1453">
        <v>1120</v>
      </c>
      <c r="B1453" t="s">
        <v>78</v>
      </c>
      <c r="C1453" s="3">
        <v>38618</v>
      </c>
      <c r="D1453" s="3">
        <v>38711</v>
      </c>
      <c r="E1453" t="s">
        <v>17</v>
      </c>
      <c r="F1453">
        <v>32.799999999999997</v>
      </c>
      <c r="G1453">
        <v>5400</v>
      </c>
      <c r="H1453">
        <v>177120</v>
      </c>
      <c r="I1453" s="4">
        <v>38686</v>
      </c>
      <c r="J1453" s="5">
        <f t="shared" si="44"/>
        <v>-25</v>
      </c>
      <c r="K1453" s="6" t="str">
        <f t="shared" si="45"/>
        <v>A~0</v>
      </c>
      <c r="L1453" t="str">
        <f>IF(J1453&lt;0,"A~0",VLOOKUP(J1453,[1]作法V!$B$1:$C$9,2,TRUE))</f>
        <v>A~0</v>
      </c>
    </row>
    <row r="1454" spans="1:12">
      <c r="A1454">
        <v>1120</v>
      </c>
      <c r="B1454" t="s">
        <v>78</v>
      </c>
      <c r="C1454" s="3">
        <v>38618</v>
      </c>
      <c r="D1454" s="3">
        <v>38711</v>
      </c>
      <c r="E1454" t="s">
        <v>17</v>
      </c>
      <c r="F1454">
        <v>32.799999999999997</v>
      </c>
      <c r="G1454">
        <v>1555.2</v>
      </c>
      <c r="H1454">
        <v>51011</v>
      </c>
      <c r="I1454" s="4">
        <v>38686</v>
      </c>
      <c r="J1454" s="5">
        <f t="shared" si="44"/>
        <v>-25</v>
      </c>
      <c r="K1454" s="6" t="str">
        <f t="shared" si="45"/>
        <v>A~0</v>
      </c>
      <c r="L1454" t="str">
        <f>IF(J1454&lt;0,"A~0",VLOOKUP(J1454,[1]作法V!$B$1:$C$9,2,TRUE))</f>
        <v>A~0</v>
      </c>
    </row>
    <row r="1455" spans="1:12">
      <c r="A1455">
        <v>1120</v>
      </c>
      <c r="B1455" t="s">
        <v>78</v>
      </c>
      <c r="C1455" s="3">
        <v>38621</v>
      </c>
      <c r="D1455" s="3">
        <v>38711</v>
      </c>
      <c r="E1455" t="s">
        <v>17</v>
      </c>
      <c r="F1455">
        <v>32.799999999999997</v>
      </c>
      <c r="G1455">
        <v>1868.24</v>
      </c>
      <c r="H1455">
        <v>61278</v>
      </c>
      <c r="I1455" s="4">
        <v>38686</v>
      </c>
      <c r="J1455" s="5">
        <f t="shared" si="44"/>
        <v>-25</v>
      </c>
      <c r="K1455" s="6" t="str">
        <f t="shared" si="45"/>
        <v>A~0</v>
      </c>
      <c r="L1455" t="str">
        <f>IF(J1455&lt;0,"A~0",VLOOKUP(J1455,[1]作法V!$B$1:$C$9,2,TRUE))</f>
        <v>A~0</v>
      </c>
    </row>
    <row r="1456" spans="1:12">
      <c r="A1456">
        <v>1120</v>
      </c>
      <c r="B1456" t="s">
        <v>78</v>
      </c>
      <c r="C1456" s="3">
        <v>38622</v>
      </c>
      <c r="D1456" s="3">
        <v>38711</v>
      </c>
      <c r="E1456" t="s">
        <v>17</v>
      </c>
      <c r="F1456">
        <v>32.799999999999997</v>
      </c>
      <c r="G1456">
        <v>8400</v>
      </c>
      <c r="H1456">
        <v>275520</v>
      </c>
      <c r="I1456" s="4">
        <v>38686</v>
      </c>
      <c r="J1456" s="5">
        <f t="shared" si="44"/>
        <v>-25</v>
      </c>
      <c r="K1456" s="6" t="str">
        <f t="shared" si="45"/>
        <v>A~0</v>
      </c>
      <c r="L1456" t="str">
        <f>IF(J1456&lt;0,"A~0",VLOOKUP(J1456,[1]作法V!$B$1:$C$9,2,TRUE))</f>
        <v>A~0</v>
      </c>
    </row>
    <row r="1457" spans="1:12">
      <c r="A1457">
        <v>1120</v>
      </c>
      <c r="B1457" t="s">
        <v>78</v>
      </c>
      <c r="C1457" s="3">
        <v>38623</v>
      </c>
      <c r="D1457" s="3">
        <v>38711</v>
      </c>
      <c r="E1457" t="s">
        <v>17</v>
      </c>
      <c r="F1457">
        <v>32.799999999999997</v>
      </c>
      <c r="G1457">
        <v>5184</v>
      </c>
      <c r="H1457">
        <v>170035</v>
      </c>
      <c r="I1457" s="4">
        <v>38686</v>
      </c>
      <c r="J1457" s="5">
        <f t="shared" si="44"/>
        <v>-25</v>
      </c>
      <c r="K1457" s="6" t="str">
        <f t="shared" si="45"/>
        <v>A~0</v>
      </c>
      <c r="L1457" t="str">
        <f>IF(J1457&lt;0,"A~0",VLOOKUP(J1457,[1]作法V!$B$1:$C$9,2,TRUE))</f>
        <v>A~0</v>
      </c>
    </row>
    <row r="1458" spans="1:12">
      <c r="A1458">
        <v>1120</v>
      </c>
      <c r="B1458" t="s">
        <v>78</v>
      </c>
      <c r="C1458" s="3">
        <v>38625</v>
      </c>
      <c r="D1458" s="3">
        <v>38711</v>
      </c>
      <c r="E1458" t="s">
        <v>17</v>
      </c>
      <c r="F1458">
        <v>32.799999999999997</v>
      </c>
      <c r="G1458">
        <v>631.67999999999995</v>
      </c>
      <c r="H1458">
        <v>20719</v>
      </c>
      <c r="I1458" s="4">
        <v>38686</v>
      </c>
      <c r="J1458" s="5">
        <f t="shared" si="44"/>
        <v>-25</v>
      </c>
      <c r="K1458" s="6" t="str">
        <f t="shared" si="45"/>
        <v>A~0</v>
      </c>
      <c r="L1458" t="str">
        <f>IF(J1458&lt;0,"A~0",VLOOKUP(J1458,[1]作法V!$B$1:$C$9,2,TRUE))</f>
        <v>A~0</v>
      </c>
    </row>
    <row r="1459" spans="1:12">
      <c r="A1459">
        <v>1120</v>
      </c>
      <c r="B1459" t="s">
        <v>78</v>
      </c>
      <c r="C1459" s="3">
        <v>38625</v>
      </c>
      <c r="D1459" s="3">
        <v>38711</v>
      </c>
      <c r="E1459" t="s">
        <v>17</v>
      </c>
      <c r="F1459">
        <v>32.799999999999997</v>
      </c>
      <c r="G1459">
        <v>4552.32</v>
      </c>
      <c r="H1459">
        <v>149316</v>
      </c>
      <c r="I1459" s="4">
        <v>38686</v>
      </c>
      <c r="J1459" s="5">
        <f t="shared" si="44"/>
        <v>-25</v>
      </c>
      <c r="K1459" s="6" t="str">
        <f t="shared" si="45"/>
        <v>A~0</v>
      </c>
      <c r="L1459" t="str">
        <f>IF(J1459&lt;0,"A~0",VLOOKUP(J1459,[1]作法V!$B$1:$C$9,2,TRUE))</f>
        <v>A~0</v>
      </c>
    </row>
    <row r="1460" spans="1:12">
      <c r="A1460">
        <v>1120</v>
      </c>
      <c r="B1460" t="s">
        <v>78</v>
      </c>
      <c r="C1460" s="3">
        <v>38630</v>
      </c>
      <c r="D1460" s="3">
        <v>38742</v>
      </c>
      <c r="E1460" t="s">
        <v>17</v>
      </c>
      <c r="F1460">
        <v>33.15</v>
      </c>
      <c r="G1460">
        <v>2592</v>
      </c>
      <c r="H1460">
        <v>85925</v>
      </c>
      <c r="I1460" s="4">
        <v>38686</v>
      </c>
      <c r="J1460" s="5">
        <f t="shared" si="44"/>
        <v>-56</v>
      </c>
      <c r="K1460" s="6" t="str">
        <f t="shared" si="45"/>
        <v>A~0</v>
      </c>
      <c r="L1460" t="str">
        <f>IF(J1460&lt;0,"A~0",VLOOKUP(J1460,[1]作法V!$B$1:$C$9,2,TRUE))</f>
        <v>A~0</v>
      </c>
    </row>
    <row r="1461" spans="1:12">
      <c r="A1461">
        <v>1120</v>
      </c>
      <c r="B1461" t="s">
        <v>78</v>
      </c>
      <c r="C1461" s="3">
        <v>38631</v>
      </c>
      <c r="D1461" s="3">
        <v>38742</v>
      </c>
      <c r="E1461" t="s">
        <v>17</v>
      </c>
      <c r="F1461">
        <v>33.15</v>
      </c>
      <c r="G1461">
        <v>4098.5</v>
      </c>
      <c r="H1461">
        <v>135865</v>
      </c>
      <c r="I1461" s="4">
        <v>38686</v>
      </c>
      <c r="J1461" s="5">
        <f t="shared" si="44"/>
        <v>-56</v>
      </c>
      <c r="K1461" s="6" t="str">
        <f t="shared" si="45"/>
        <v>A~0</v>
      </c>
      <c r="L1461" t="str">
        <f>IF(J1461&lt;0,"A~0",VLOOKUP(J1461,[1]作法V!$B$1:$C$9,2,TRUE))</f>
        <v>A~0</v>
      </c>
    </row>
    <row r="1462" spans="1:12">
      <c r="A1462">
        <v>1120</v>
      </c>
      <c r="B1462" t="s">
        <v>78</v>
      </c>
      <c r="C1462" s="3">
        <v>38631</v>
      </c>
      <c r="D1462" s="3">
        <v>38742</v>
      </c>
      <c r="E1462" t="s">
        <v>17</v>
      </c>
      <c r="F1462">
        <v>33.15</v>
      </c>
      <c r="G1462">
        <v>5950</v>
      </c>
      <c r="H1462">
        <v>197243</v>
      </c>
      <c r="I1462" s="4">
        <v>38686</v>
      </c>
      <c r="J1462" s="5">
        <f t="shared" si="44"/>
        <v>-56</v>
      </c>
      <c r="K1462" s="6" t="str">
        <f t="shared" si="45"/>
        <v>A~0</v>
      </c>
      <c r="L1462" t="str">
        <f>IF(J1462&lt;0,"A~0",VLOOKUP(J1462,[1]作法V!$B$1:$C$9,2,TRUE))</f>
        <v>A~0</v>
      </c>
    </row>
    <row r="1463" spans="1:12">
      <c r="A1463">
        <v>1120</v>
      </c>
      <c r="B1463" t="s">
        <v>78</v>
      </c>
      <c r="C1463" s="3">
        <v>38632</v>
      </c>
      <c r="D1463" s="3">
        <v>38742</v>
      </c>
      <c r="E1463" t="s">
        <v>17</v>
      </c>
      <c r="F1463">
        <v>33.15</v>
      </c>
      <c r="G1463">
        <v>2592</v>
      </c>
      <c r="H1463">
        <v>85925</v>
      </c>
      <c r="I1463" s="4">
        <v>38686</v>
      </c>
      <c r="J1463" s="5">
        <f t="shared" si="44"/>
        <v>-56</v>
      </c>
      <c r="K1463" s="6" t="str">
        <f t="shared" si="45"/>
        <v>A~0</v>
      </c>
      <c r="L1463" t="str">
        <f>IF(J1463&lt;0,"A~0",VLOOKUP(J1463,[1]作法V!$B$1:$C$9,2,TRUE))</f>
        <v>A~0</v>
      </c>
    </row>
    <row r="1464" spans="1:12">
      <c r="A1464">
        <v>1120</v>
      </c>
      <c r="B1464" t="s">
        <v>78</v>
      </c>
      <c r="C1464" s="3">
        <v>38636</v>
      </c>
      <c r="D1464" s="3">
        <v>38742</v>
      </c>
      <c r="E1464" t="s">
        <v>17</v>
      </c>
      <c r="F1464">
        <v>33.195</v>
      </c>
      <c r="G1464">
        <v>1750</v>
      </c>
      <c r="H1464">
        <v>58091</v>
      </c>
      <c r="I1464" s="4">
        <v>38686</v>
      </c>
      <c r="J1464" s="5">
        <f t="shared" si="44"/>
        <v>-56</v>
      </c>
      <c r="K1464" s="6" t="str">
        <f t="shared" si="45"/>
        <v>A~0</v>
      </c>
      <c r="L1464" t="str">
        <f>IF(J1464&lt;0,"A~0",VLOOKUP(J1464,[1]作法V!$B$1:$C$9,2,TRUE))</f>
        <v>A~0</v>
      </c>
    </row>
    <row r="1465" spans="1:12">
      <c r="A1465">
        <v>1120</v>
      </c>
      <c r="B1465" t="s">
        <v>78</v>
      </c>
      <c r="C1465" s="3">
        <v>38638</v>
      </c>
      <c r="D1465" s="3">
        <v>38742</v>
      </c>
      <c r="E1465" t="s">
        <v>17</v>
      </c>
      <c r="F1465">
        <v>33.195</v>
      </c>
      <c r="G1465">
        <v>1800</v>
      </c>
      <c r="H1465">
        <v>59751</v>
      </c>
      <c r="I1465" s="4">
        <v>38686</v>
      </c>
      <c r="J1465" s="5">
        <f t="shared" si="44"/>
        <v>-56</v>
      </c>
      <c r="K1465" s="6" t="str">
        <f t="shared" si="45"/>
        <v>A~0</v>
      </c>
      <c r="L1465" t="str">
        <f>IF(J1465&lt;0,"A~0",VLOOKUP(J1465,[1]作法V!$B$1:$C$9,2,TRUE))</f>
        <v>A~0</v>
      </c>
    </row>
    <row r="1466" spans="1:12">
      <c r="A1466">
        <v>1120</v>
      </c>
      <c r="B1466" t="s">
        <v>78</v>
      </c>
      <c r="C1466" s="3">
        <v>38638</v>
      </c>
      <c r="D1466" s="3">
        <v>38742</v>
      </c>
      <c r="E1466" t="s">
        <v>17</v>
      </c>
      <c r="F1466">
        <v>33.195</v>
      </c>
      <c r="G1466">
        <v>5184</v>
      </c>
      <c r="H1466">
        <v>172083</v>
      </c>
      <c r="I1466" s="4">
        <v>38686</v>
      </c>
      <c r="J1466" s="5">
        <f t="shared" si="44"/>
        <v>-56</v>
      </c>
      <c r="K1466" s="6" t="str">
        <f t="shared" si="45"/>
        <v>A~0</v>
      </c>
      <c r="L1466" t="str">
        <f>IF(J1466&lt;0,"A~0",VLOOKUP(J1466,[1]作法V!$B$1:$C$9,2,TRUE))</f>
        <v>A~0</v>
      </c>
    </row>
    <row r="1467" spans="1:12">
      <c r="A1467">
        <v>1120</v>
      </c>
      <c r="B1467" t="s">
        <v>78</v>
      </c>
      <c r="C1467" s="3">
        <v>38639</v>
      </c>
      <c r="D1467" s="3">
        <v>38742</v>
      </c>
      <c r="E1467" t="s">
        <v>17</v>
      </c>
      <c r="F1467">
        <v>33.195</v>
      </c>
      <c r="G1467">
        <v>4200</v>
      </c>
      <c r="H1467">
        <v>139419</v>
      </c>
      <c r="I1467" s="4">
        <v>38686</v>
      </c>
      <c r="J1467" s="5">
        <f t="shared" si="44"/>
        <v>-56</v>
      </c>
      <c r="K1467" s="6" t="str">
        <f t="shared" si="45"/>
        <v>A~0</v>
      </c>
      <c r="L1467" t="str">
        <f>IF(J1467&lt;0,"A~0",VLOOKUP(J1467,[1]作法V!$B$1:$C$9,2,TRUE))</f>
        <v>A~0</v>
      </c>
    </row>
    <row r="1468" spans="1:12">
      <c r="A1468">
        <v>1120</v>
      </c>
      <c r="B1468" t="s">
        <v>78</v>
      </c>
      <c r="C1468" s="3">
        <v>38639</v>
      </c>
      <c r="D1468" s="3">
        <v>38742</v>
      </c>
      <c r="E1468" t="s">
        <v>17</v>
      </c>
      <c r="F1468">
        <v>33.195</v>
      </c>
      <c r="G1468">
        <v>3500</v>
      </c>
      <c r="H1468">
        <v>116183</v>
      </c>
      <c r="I1468" s="4">
        <v>38686</v>
      </c>
      <c r="J1468" s="5">
        <f t="shared" si="44"/>
        <v>-56</v>
      </c>
      <c r="K1468" s="6" t="str">
        <f t="shared" si="45"/>
        <v>A~0</v>
      </c>
      <c r="L1468" t="str">
        <f>IF(J1468&lt;0,"A~0",VLOOKUP(J1468,[1]作法V!$B$1:$C$9,2,TRUE))</f>
        <v>A~0</v>
      </c>
    </row>
    <row r="1469" spans="1:12">
      <c r="A1469">
        <v>1120</v>
      </c>
      <c r="B1469" t="s">
        <v>78</v>
      </c>
      <c r="C1469" s="3">
        <v>38639</v>
      </c>
      <c r="D1469" s="3">
        <v>38742</v>
      </c>
      <c r="E1469" t="s">
        <v>17</v>
      </c>
      <c r="F1469">
        <v>33.195</v>
      </c>
      <c r="G1469">
        <v>3628.8</v>
      </c>
      <c r="H1469">
        <v>120458</v>
      </c>
      <c r="I1469" s="4">
        <v>38686</v>
      </c>
      <c r="J1469" s="5">
        <f t="shared" si="44"/>
        <v>-56</v>
      </c>
      <c r="K1469" s="6" t="str">
        <f t="shared" si="45"/>
        <v>A~0</v>
      </c>
      <c r="L1469" t="str">
        <f>IF(J1469&lt;0,"A~0",VLOOKUP(J1469,[1]作法V!$B$1:$C$9,2,TRUE))</f>
        <v>A~0</v>
      </c>
    </row>
    <row r="1470" spans="1:12">
      <c r="A1470">
        <v>1120</v>
      </c>
      <c r="B1470" t="s">
        <v>78</v>
      </c>
      <c r="C1470" s="3">
        <v>38639</v>
      </c>
      <c r="D1470" s="3">
        <v>38742</v>
      </c>
      <c r="E1470" t="s">
        <v>17</v>
      </c>
      <c r="F1470">
        <v>33.195</v>
      </c>
      <c r="G1470">
        <v>1800</v>
      </c>
      <c r="H1470">
        <v>59751</v>
      </c>
      <c r="I1470" s="4">
        <v>38686</v>
      </c>
      <c r="J1470" s="5">
        <f t="shared" si="44"/>
        <v>-56</v>
      </c>
      <c r="K1470" s="6" t="str">
        <f t="shared" si="45"/>
        <v>A~0</v>
      </c>
      <c r="L1470" t="str">
        <f>IF(J1470&lt;0,"A~0",VLOOKUP(J1470,[1]作法V!$B$1:$C$9,2,TRUE))</f>
        <v>A~0</v>
      </c>
    </row>
    <row r="1471" spans="1:12">
      <c r="A1471">
        <v>1120</v>
      </c>
      <c r="B1471" t="s">
        <v>78</v>
      </c>
      <c r="C1471" s="3">
        <v>38642</v>
      </c>
      <c r="D1471" s="3">
        <v>38742</v>
      </c>
      <c r="E1471" t="s">
        <v>17</v>
      </c>
      <c r="F1471">
        <v>33.195</v>
      </c>
      <c r="G1471">
        <v>1868.24</v>
      </c>
      <c r="H1471">
        <v>62016</v>
      </c>
      <c r="I1471" s="4">
        <v>38686</v>
      </c>
      <c r="J1471" s="5">
        <f t="shared" si="44"/>
        <v>-56</v>
      </c>
      <c r="K1471" s="6" t="str">
        <f t="shared" si="45"/>
        <v>A~0</v>
      </c>
      <c r="L1471" t="str">
        <f>IF(J1471&lt;0,"A~0",VLOOKUP(J1471,[1]作法V!$B$1:$C$9,2,TRUE))</f>
        <v>A~0</v>
      </c>
    </row>
    <row r="1472" spans="1:12">
      <c r="A1472">
        <v>1120</v>
      </c>
      <c r="B1472" t="s">
        <v>78</v>
      </c>
      <c r="C1472" s="3">
        <v>38645</v>
      </c>
      <c r="D1472" s="3">
        <v>38742</v>
      </c>
      <c r="E1472" t="s">
        <v>17</v>
      </c>
      <c r="F1472">
        <v>33.195</v>
      </c>
      <c r="G1472">
        <v>4865.3599999999997</v>
      </c>
      <c r="H1472">
        <v>161506</v>
      </c>
      <c r="I1472" s="4">
        <v>38686</v>
      </c>
      <c r="J1472" s="5">
        <f t="shared" si="44"/>
        <v>-56</v>
      </c>
      <c r="K1472" s="6" t="str">
        <f t="shared" si="45"/>
        <v>A~0</v>
      </c>
      <c r="L1472" t="str">
        <f>IF(J1472&lt;0,"A~0",VLOOKUP(J1472,[1]作法V!$B$1:$C$9,2,TRUE))</f>
        <v>A~0</v>
      </c>
    </row>
    <row r="1473" spans="1:12">
      <c r="A1473">
        <v>1120</v>
      </c>
      <c r="B1473" t="s">
        <v>78</v>
      </c>
      <c r="C1473" s="3">
        <v>38645</v>
      </c>
      <c r="D1473" s="3">
        <v>38742</v>
      </c>
      <c r="E1473" t="s">
        <v>17</v>
      </c>
      <c r="F1473">
        <v>33.195</v>
      </c>
      <c r="G1473">
        <v>2186.88</v>
      </c>
      <c r="H1473">
        <v>72593</v>
      </c>
      <c r="I1473" s="4">
        <v>38686</v>
      </c>
      <c r="J1473" s="5">
        <f t="shared" si="44"/>
        <v>-56</v>
      </c>
      <c r="K1473" s="6" t="str">
        <f t="shared" si="45"/>
        <v>A~0</v>
      </c>
      <c r="L1473" t="str">
        <f>IF(J1473&lt;0,"A~0",VLOOKUP(J1473,[1]作法V!$B$1:$C$9,2,TRUE))</f>
        <v>A~0</v>
      </c>
    </row>
    <row r="1474" spans="1:12">
      <c r="A1474">
        <v>1120</v>
      </c>
      <c r="B1474" t="s">
        <v>78</v>
      </c>
      <c r="C1474" s="3">
        <v>38646</v>
      </c>
      <c r="D1474" s="3">
        <v>38742</v>
      </c>
      <c r="E1474" t="s">
        <v>17</v>
      </c>
      <c r="F1474">
        <v>33.4</v>
      </c>
      <c r="G1474">
        <v>4200</v>
      </c>
      <c r="H1474">
        <v>140280</v>
      </c>
      <c r="I1474" s="4">
        <v>38686</v>
      </c>
      <c r="J1474" s="5">
        <f t="shared" ref="J1474:J1537" si="46">I1474-D1474</f>
        <v>-56</v>
      </c>
      <c r="K1474" s="6" t="str">
        <f t="shared" ref="K1474:K1537" si="47">IF(J1474&lt;1,"A~0",IF(J1474&lt;31,"B1~30",IF(J1474&lt;61,"C31~60",IF(J1474&lt;91,"D61~90",IF(J1474&lt;121,"E91~120",IF(J1474&lt;181,"F121~180",IF(J1474&lt;361,"G181~360","H361~")))))))</f>
        <v>A~0</v>
      </c>
      <c r="L1474" t="str">
        <f>IF(J1474&lt;0,"A~0",VLOOKUP(J1474,[1]作法V!$B$1:$C$9,2,TRUE))</f>
        <v>A~0</v>
      </c>
    </row>
    <row r="1475" spans="1:12">
      <c r="A1475">
        <v>1120</v>
      </c>
      <c r="B1475" t="s">
        <v>78</v>
      </c>
      <c r="C1475" s="3">
        <v>38646</v>
      </c>
      <c r="D1475" s="3">
        <v>38742</v>
      </c>
      <c r="E1475" t="s">
        <v>17</v>
      </c>
      <c r="F1475">
        <v>33.4</v>
      </c>
      <c r="G1475">
        <v>2186.88</v>
      </c>
      <c r="H1475">
        <v>73042</v>
      </c>
      <c r="I1475" s="4">
        <v>38686</v>
      </c>
      <c r="J1475" s="5">
        <f t="shared" si="46"/>
        <v>-56</v>
      </c>
      <c r="K1475" s="6" t="str">
        <f t="shared" si="47"/>
        <v>A~0</v>
      </c>
      <c r="L1475" t="str">
        <f>IF(J1475&lt;0,"A~0",VLOOKUP(J1475,[1]作法V!$B$1:$C$9,2,TRUE))</f>
        <v>A~0</v>
      </c>
    </row>
    <row r="1476" spans="1:12">
      <c r="A1476">
        <v>1120</v>
      </c>
      <c r="B1476" t="s">
        <v>78</v>
      </c>
      <c r="C1476" s="3">
        <v>38646</v>
      </c>
      <c r="D1476" s="3">
        <v>38742</v>
      </c>
      <c r="E1476" t="s">
        <v>17</v>
      </c>
      <c r="F1476">
        <v>33.4</v>
      </c>
      <c r="G1476">
        <v>2997.12</v>
      </c>
      <c r="H1476">
        <v>100104</v>
      </c>
      <c r="I1476" s="4">
        <v>38686</v>
      </c>
      <c r="J1476" s="5">
        <f t="shared" si="46"/>
        <v>-56</v>
      </c>
      <c r="K1476" s="6" t="str">
        <f t="shared" si="47"/>
        <v>A~0</v>
      </c>
      <c r="L1476" t="str">
        <f>IF(J1476&lt;0,"A~0",VLOOKUP(J1476,[1]作法V!$B$1:$C$9,2,TRUE))</f>
        <v>A~0</v>
      </c>
    </row>
    <row r="1477" spans="1:12">
      <c r="A1477">
        <v>1120</v>
      </c>
      <c r="B1477" t="s">
        <v>78</v>
      </c>
      <c r="C1477" s="3">
        <v>38649</v>
      </c>
      <c r="D1477" s="3">
        <v>38742</v>
      </c>
      <c r="E1477" t="s">
        <v>17</v>
      </c>
      <c r="F1477">
        <v>33.4</v>
      </c>
      <c r="G1477">
        <v>1459.2</v>
      </c>
      <c r="H1477">
        <v>48737</v>
      </c>
      <c r="I1477" s="4">
        <v>38686</v>
      </c>
      <c r="J1477" s="5">
        <f t="shared" si="46"/>
        <v>-56</v>
      </c>
      <c r="K1477" s="6" t="str">
        <f t="shared" si="47"/>
        <v>A~0</v>
      </c>
      <c r="L1477" t="str">
        <f>IF(J1477&lt;0,"A~0",VLOOKUP(J1477,[1]作法V!$B$1:$C$9,2,TRUE))</f>
        <v>A~0</v>
      </c>
    </row>
    <row r="1478" spans="1:12">
      <c r="A1478">
        <v>1120</v>
      </c>
      <c r="B1478" t="s">
        <v>78</v>
      </c>
      <c r="C1478" s="3">
        <v>38653</v>
      </c>
      <c r="D1478" s="3">
        <v>38742</v>
      </c>
      <c r="E1478" t="s">
        <v>17</v>
      </c>
      <c r="F1478">
        <v>33.4</v>
      </c>
      <c r="G1478">
        <v>4200</v>
      </c>
      <c r="H1478">
        <v>140280</v>
      </c>
      <c r="I1478" s="4">
        <v>38686</v>
      </c>
      <c r="J1478" s="5">
        <f t="shared" si="46"/>
        <v>-56</v>
      </c>
      <c r="K1478" s="6" t="str">
        <f t="shared" si="47"/>
        <v>A~0</v>
      </c>
      <c r="L1478" t="str">
        <f>IF(J1478&lt;0,"A~0",VLOOKUP(J1478,[1]作法V!$B$1:$C$9,2,TRUE))</f>
        <v>A~0</v>
      </c>
    </row>
    <row r="1479" spans="1:12">
      <c r="A1479">
        <v>1120</v>
      </c>
      <c r="B1479" t="s">
        <v>78</v>
      </c>
      <c r="C1479" s="3">
        <v>38653</v>
      </c>
      <c r="D1479" s="3">
        <v>38742</v>
      </c>
      <c r="E1479" t="s">
        <v>17</v>
      </c>
      <c r="F1479">
        <v>33.4</v>
      </c>
      <c r="G1479">
        <v>1555.2</v>
      </c>
      <c r="H1479">
        <v>51944</v>
      </c>
      <c r="I1479" s="4">
        <v>38686</v>
      </c>
      <c r="J1479" s="5">
        <f t="shared" si="46"/>
        <v>-56</v>
      </c>
      <c r="K1479" s="6" t="str">
        <f t="shared" si="47"/>
        <v>A~0</v>
      </c>
      <c r="L1479" t="str">
        <f>IF(J1479&lt;0,"A~0",VLOOKUP(J1479,[1]作法V!$B$1:$C$9,2,TRUE))</f>
        <v>A~0</v>
      </c>
    </row>
    <row r="1480" spans="1:12">
      <c r="A1480">
        <v>1120</v>
      </c>
      <c r="B1480" t="s">
        <v>78</v>
      </c>
      <c r="C1480" s="3">
        <v>38658</v>
      </c>
      <c r="D1480" s="3">
        <v>38773</v>
      </c>
      <c r="E1480" t="s">
        <v>17</v>
      </c>
      <c r="F1480">
        <v>33.715000000000003</v>
      </c>
      <c r="G1480">
        <v>2100</v>
      </c>
      <c r="H1480">
        <v>70802</v>
      </c>
      <c r="I1480" s="4">
        <v>38686</v>
      </c>
      <c r="J1480" s="5">
        <f t="shared" si="46"/>
        <v>-87</v>
      </c>
      <c r="K1480" s="6" t="str">
        <f t="shared" si="47"/>
        <v>A~0</v>
      </c>
      <c r="L1480" t="str">
        <f>IF(J1480&lt;0,"A~0",VLOOKUP(J1480,[1]作法V!$B$1:$C$9,2,TRUE))</f>
        <v>A~0</v>
      </c>
    </row>
    <row r="1481" spans="1:12">
      <c r="A1481">
        <v>1120</v>
      </c>
      <c r="B1481" t="s">
        <v>78</v>
      </c>
      <c r="C1481" s="3">
        <v>38658</v>
      </c>
      <c r="D1481" s="3">
        <v>38773</v>
      </c>
      <c r="E1481" t="s">
        <v>17</v>
      </c>
      <c r="F1481">
        <v>33.715000000000003</v>
      </c>
      <c r="G1481">
        <v>3736.48</v>
      </c>
      <c r="H1481">
        <v>125975</v>
      </c>
      <c r="I1481" s="4">
        <v>38686</v>
      </c>
      <c r="J1481" s="5">
        <f t="shared" si="46"/>
        <v>-87</v>
      </c>
      <c r="K1481" s="6" t="str">
        <f t="shared" si="47"/>
        <v>A~0</v>
      </c>
      <c r="L1481" t="str">
        <f>IF(J1481&lt;0,"A~0",VLOOKUP(J1481,[1]作法V!$B$1:$C$9,2,TRUE))</f>
        <v>A~0</v>
      </c>
    </row>
    <row r="1482" spans="1:12">
      <c r="A1482">
        <v>1120</v>
      </c>
      <c r="B1482" t="s">
        <v>78</v>
      </c>
      <c r="C1482" s="3">
        <v>38658</v>
      </c>
      <c r="D1482" s="3">
        <v>38773</v>
      </c>
      <c r="E1482" t="s">
        <v>17</v>
      </c>
      <c r="F1482">
        <v>33.715000000000003</v>
      </c>
      <c r="G1482">
        <v>2688</v>
      </c>
      <c r="H1482">
        <v>90626</v>
      </c>
      <c r="I1482" s="4">
        <v>38686</v>
      </c>
      <c r="J1482" s="5">
        <f t="shared" si="46"/>
        <v>-87</v>
      </c>
      <c r="K1482" s="6" t="str">
        <f t="shared" si="47"/>
        <v>A~0</v>
      </c>
      <c r="L1482" t="str">
        <f>IF(J1482&lt;0,"A~0",VLOOKUP(J1482,[1]作法V!$B$1:$C$9,2,TRUE))</f>
        <v>A~0</v>
      </c>
    </row>
    <row r="1483" spans="1:12">
      <c r="A1483">
        <v>1120</v>
      </c>
      <c r="B1483" t="s">
        <v>78</v>
      </c>
      <c r="C1483" s="3">
        <v>38663</v>
      </c>
      <c r="D1483" s="3">
        <v>38773</v>
      </c>
      <c r="E1483" t="s">
        <v>17</v>
      </c>
      <c r="F1483">
        <v>33.715000000000003</v>
      </c>
      <c r="G1483">
        <v>312</v>
      </c>
      <c r="H1483">
        <v>10519</v>
      </c>
      <c r="I1483" s="4">
        <v>38686</v>
      </c>
      <c r="J1483" s="5">
        <f t="shared" si="46"/>
        <v>-87</v>
      </c>
      <c r="K1483" s="6" t="str">
        <f t="shared" si="47"/>
        <v>A~0</v>
      </c>
      <c r="L1483" t="str">
        <f>IF(J1483&lt;0,"A~0",VLOOKUP(J1483,[1]作法V!$B$1:$C$9,2,TRUE))</f>
        <v>A~0</v>
      </c>
    </row>
    <row r="1484" spans="1:12">
      <c r="A1484">
        <v>1120</v>
      </c>
      <c r="B1484" t="s">
        <v>78</v>
      </c>
      <c r="C1484" s="3">
        <v>38663</v>
      </c>
      <c r="D1484" s="3">
        <v>38773</v>
      </c>
      <c r="E1484" t="s">
        <v>17</v>
      </c>
      <c r="F1484">
        <v>33.715000000000003</v>
      </c>
      <c r="G1484">
        <v>5088</v>
      </c>
      <c r="H1484">
        <v>171542</v>
      </c>
      <c r="I1484" s="4">
        <v>38686</v>
      </c>
      <c r="J1484" s="5">
        <f t="shared" si="46"/>
        <v>-87</v>
      </c>
      <c r="K1484" s="6" t="str">
        <f t="shared" si="47"/>
        <v>A~0</v>
      </c>
      <c r="L1484" t="str">
        <f>IF(J1484&lt;0,"A~0",VLOOKUP(J1484,[1]作法V!$B$1:$C$9,2,TRUE))</f>
        <v>A~0</v>
      </c>
    </row>
    <row r="1485" spans="1:12">
      <c r="A1485">
        <v>1120</v>
      </c>
      <c r="B1485" t="s">
        <v>78</v>
      </c>
      <c r="C1485" s="3">
        <v>38665</v>
      </c>
      <c r="D1485" s="3">
        <v>38773</v>
      </c>
      <c r="E1485" t="s">
        <v>17</v>
      </c>
      <c r="F1485">
        <v>33.715000000000003</v>
      </c>
      <c r="G1485">
        <v>1868.24</v>
      </c>
      <c r="H1485">
        <v>62988</v>
      </c>
      <c r="I1485" s="4">
        <v>38686</v>
      </c>
      <c r="J1485" s="5">
        <f t="shared" si="46"/>
        <v>-87</v>
      </c>
      <c r="K1485" s="6" t="str">
        <f t="shared" si="47"/>
        <v>A~0</v>
      </c>
      <c r="L1485" t="str">
        <f>IF(J1485&lt;0,"A~0",VLOOKUP(J1485,[1]作法V!$B$1:$C$9,2,TRUE))</f>
        <v>A~0</v>
      </c>
    </row>
    <row r="1486" spans="1:12">
      <c r="A1486">
        <v>1120</v>
      </c>
      <c r="B1486" t="s">
        <v>78</v>
      </c>
      <c r="C1486" s="3">
        <v>38665</v>
      </c>
      <c r="D1486" s="3">
        <v>38773</v>
      </c>
      <c r="E1486" t="s">
        <v>17</v>
      </c>
      <c r="F1486">
        <v>33.715000000000003</v>
      </c>
      <c r="G1486">
        <v>1868.24</v>
      </c>
      <c r="H1486">
        <v>62988</v>
      </c>
      <c r="I1486" s="4">
        <v>38686</v>
      </c>
      <c r="J1486" s="5">
        <f t="shared" si="46"/>
        <v>-87</v>
      </c>
      <c r="K1486" s="6" t="str">
        <f t="shared" si="47"/>
        <v>A~0</v>
      </c>
      <c r="L1486" t="str">
        <f>IF(J1486&lt;0,"A~0",VLOOKUP(J1486,[1]作法V!$B$1:$C$9,2,TRUE))</f>
        <v>A~0</v>
      </c>
    </row>
    <row r="1487" spans="1:12">
      <c r="A1487">
        <v>1120</v>
      </c>
      <c r="B1487" t="s">
        <v>78</v>
      </c>
      <c r="C1487" s="3">
        <v>38667</v>
      </c>
      <c r="D1487" s="3">
        <v>38773</v>
      </c>
      <c r="E1487" t="s">
        <v>17</v>
      </c>
      <c r="F1487">
        <v>33.634999999999998</v>
      </c>
      <c r="G1487">
        <v>3912</v>
      </c>
      <c r="H1487">
        <v>131580</v>
      </c>
      <c r="I1487" s="4">
        <v>38686</v>
      </c>
      <c r="J1487" s="5">
        <f t="shared" si="46"/>
        <v>-87</v>
      </c>
      <c r="K1487" s="6" t="str">
        <f t="shared" si="47"/>
        <v>A~0</v>
      </c>
      <c r="L1487" t="str">
        <f>IF(J1487&lt;0,"A~0",VLOOKUP(J1487,[1]作法V!$B$1:$C$9,2,TRUE))</f>
        <v>A~0</v>
      </c>
    </row>
    <row r="1488" spans="1:12">
      <c r="A1488">
        <v>1120</v>
      </c>
      <c r="B1488" t="s">
        <v>78</v>
      </c>
      <c r="C1488" s="3">
        <v>38667</v>
      </c>
      <c r="D1488" s="3">
        <v>38773</v>
      </c>
      <c r="E1488" t="s">
        <v>17</v>
      </c>
      <c r="F1488">
        <v>33.634999999999998</v>
      </c>
      <c r="G1488">
        <v>2688</v>
      </c>
      <c r="H1488">
        <v>90411</v>
      </c>
      <c r="I1488" s="4">
        <v>38686</v>
      </c>
      <c r="J1488" s="5">
        <f t="shared" si="46"/>
        <v>-87</v>
      </c>
      <c r="K1488" s="6" t="str">
        <f t="shared" si="47"/>
        <v>A~0</v>
      </c>
      <c r="L1488" t="str">
        <f>IF(J1488&lt;0,"A~0",VLOOKUP(J1488,[1]作法V!$B$1:$C$9,2,TRUE))</f>
        <v>A~0</v>
      </c>
    </row>
    <row r="1489" spans="1:12">
      <c r="A1489">
        <v>1120</v>
      </c>
      <c r="B1489" t="s">
        <v>78</v>
      </c>
      <c r="C1489" s="3">
        <v>38667</v>
      </c>
      <c r="D1489" s="3">
        <v>38773</v>
      </c>
      <c r="E1489" t="s">
        <v>17</v>
      </c>
      <c r="F1489">
        <v>33.634999999999998</v>
      </c>
      <c r="G1489">
        <v>631.67999999999995</v>
      </c>
      <c r="H1489">
        <v>21247</v>
      </c>
      <c r="I1489" s="4">
        <v>38686</v>
      </c>
      <c r="J1489" s="5">
        <f t="shared" si="46"/>
        <v>-87</v>
      </c>
      <c r="K1489" s="6" t="str">
        <f t="shared" si="47"/>
        <v>A~0</v>
      </c>
      <c r="L1489" t="str">
        <f>IF(J1489&lt;0,"A~0",VLOOKUP(J1489,[1]作法V!$B$1:$C$9,2,TRUE))</f>
        <v>A~0</v>
      </c>
    </row>
    <row r="1490" spans="1:12">
      <c r="A1490">
        <v>1120</v>
      </c>
      <c r="B1490" t="s">
        <v>78</v>
      </c>
      <c r="C1490" s="3">
        <v>38667</v>
      </c>
      <c r="D1490" s="3">
        <v>38773</v>
      </c>
      <c r="E1490" t="s">
        <v>17</v>
      </c>
      <c r="F1490">
        <v>33.634999999999998</v>
      </c>
      <c r="G1490">
        <v>4552.32</v>
      </c>
      <c r="H1490">
        <v>153117</v>
      </c>
      <c r="I1490" s="4">
        <v>38686</v>
      </c>
      <c r="J1490" s="5">
        <f t="shared" si="46"/>
        <v>-87</v>
      </c>
      <c r="K1490" s="6" t="str">
        <f t="shared" si="47"/>
        <v>A~0</v>
      </c>
      <c r="L1490" t="str">
        <f>IF(J1490&lt;0,"A~0",VLOOKUP(J1490,[1]作法V!$B$1:$C$9,2,TRUE))</f>
        <v>A~0</v>
      </c>
    </row>
    <row r="1491" spans="1:12">
      <c r="A1491">
        <v>1120</v>
      </c>
      <c r="B1491" t="s">
        <v>78</v>
      </c>
      <c r="C1491" s="3">
        <v>38670</v>
      </c>
      <c r="D1491" s="3">
        <v>38773</v>
      </c>
      <c r="E1491" t="s">
        <v>17</v>
      </c>
      <c r="F1491">
        <v>33.634999999999998</v>
      </c>
      <c r="G1491">
        <v>4200</v>
      </c>
      <c r="H1491">
        <v>141267</v>
      </c>
      <c r="I1491" s="4">
        <v>38686</v>
      </c>
      <c r="J1491" s="5">
        <f t="shared" si="46"/>
        <v>-87</v>
      </c>
      <c r="K1491" s="6" t="str">
        <f t="shared" si="47"/>
        <v>A~0</v>
      </c>
      <c r="L1491" t="str">
        <f>IF(J1491&lt;0,"A~0",VLOOKUP(J1491,[1]作法V!$B$1:$C$9,2,TRUE))</f>
        <v>A~0</v>
      </c>
    </row>
    <row r="1492" spans="1:12">
      <c r="A1492">
        <v>1120</v>
      </c>
      <c r="B1492" t="s">
        <v>78</v>
      </c>
      <c r="C1492" s="3">
        <v>38672</v>
      </c>
      <c r="D1492" s="3">
        <v>38773</v>
      </c>
      <c r="E1492" t="s">
        <v>17</v>
      </c>
      <c r="F1492">
        <v>33.634999999999998</v>
      </c>
      <c r="G1492">
        <v>1868.24</v>
      </c>
      <c r="H1492">
        <v>62838</v>
      </c>
      <c r="I1492" s="4">
        <v>38686</v>
      </c>
      <c r="J1492" s="5">
        <f t="shared" si="46"/>
        <v>-87</v>
      </c>
      <c r="K1492" s="6" t="str">
        <f t="shared" si="47"/>
        <v>A~0</v>
      </c>
      <c r="L1492" t="str">
        <f>IF(J1492&lt;0,"A~0",VLOOKUP(J1492,[1]作法V!$B$1:$C$9,2,TRUE))</f>
        <v>A~0</v>
      </c>
    </row>
    <row r="1493" spans="1:12">
      <c r="A1493">
        <v>1120</v>
      </c>
      <c r="B1493" t="s">
        <v>78</v>
      </c>
      <c r="C1493" s="3">
        <v>38672</v>
      </c>
      <c r="D1493" s="3">
        <v>38773</v>
      </c>
      <c r="E1493" t="s">
        <v>17</v>
      </c>
      <c r="F1493">
        <v>33.634999999999998</v>
      </c>
      <c r="G1493">
        <v>1868.24</v>
      </c>
      <c r="H1493">
        <v>62838</v>
      </c>
      <c r="I1493" s="4">
        <v>38686</v>
      </c>
      <c r="J1493" s="5">
        <f t="shared" si="46"/>
        <v>-87</v>
      </c>
      <c r="K1493" s="6" t="str">
        <f t="shared" si="47"/>
        <v>A~0</v>
      </c>
      <c r="L1493" t="str">
        <f>IF(J1493&lt;0,"A~0",VLOOKUP(J1493,[1]作法V!$B$1:$C$9,2,TRUE))</f>
        <v>A~0</v>
      </c>
    </row>
    <row r="1494" spans="1:12">
      <c r="A1494">
        <v>1120</v>
      </c>
      <c r="B1494" t="s">
        <v>78</v>
      </c>
      <c r="C1494" s="3">
        <v>38674</v>
      </c>
      <c r="D1494" s="3">
        <v>38773</v>
      </c>
      <c r="E1494" t="s">
        <v>17</v>
      </c>
      <c r="F1494">
        <v>33.634999999999998</v>
      </c>
      <c r="G1494">
        <v>5400</v>
      </c>
      <c r="H1494">
        <v>181629</v>
      </c>
      <c r="I1494" s="4">
        <v>38686</v>
      </c>
      <c r="J1494" s="5">
        <f t="shared" si="46"/>
        <v>-87</v>
      </c>
      <c r="K1494" s="6" t="str">
        <f t="shared" si="47"/>
        <v>A~0</v>
      </c>
      <c r="L1494" t="str">
        <f>IF(J1494&lt;0,"A~0",VLOOKUP(J1494,[1]作法V!$B$1:$C$9,2,TRUE))</f>
        <v>A~0</v>
      </c>
    </row>
    <row r="1495" spans="1:12">
      <c r="A1495">
        <v>1120</v>
      </c>
      <c r="B1495" t="s">
        <v>78</v>
      </c>
      <c r="C1495" s="3">
        <v>38677</v>
      </c>
      <c r="D1495" s="3">
        <v>38773</v>
      </c>
      <c r="E1495" t="s">
        <v>17</v>
      </c>
      <c r="F1495">
        <v>33.409999999999997</v>
      </c>
      <c r="G1495">
        <v>870.24</v>
      </c>
      <c r="H1495">
        <v>29075</v>
      </c>
      <c r="I1495" s="4">
        <v>38686</v>
      </c>
      <c r="J1495" s="5">
        <f t="shared" si="46"/>
        <v>-87</v>
      </c>
      <c r="K1495" s="6" t="str">
        <f t="shared" si="47"/>
        <v>A~0</v>
      </c>
      <c r="L1495" t="str">
        <f>IF(J1495&lt;0,"A~0",VLOOKUP(J1495,[1]作法V!$B$1:$C$9,2,TRUE))</f>
        <v>A~0</v>
      </c>
    </row>
    <row r="1496" spans="1:12">
      <c r="A1496">
        <v>1120</v>
      </c>
      <c r="B1496" t="s">
        <v>78</v>
      </c>
      <c r="C1496" s="3">
        <v>38677</v>
      </c>
      <c r="D1496" s="3">
        <v>38773</v>
      </c>
      <c r="E1496" t="s">
        <v>17</v>
      </c>
      <c r="F1496">
        <v>33.409999999999997</v>
      </c>
      <c r="G1496">
        <v>3600</v>
      </c>
      <c r="H1496">
        <v>120276</v>
      </c>
      <c r="I1496" s="4">
        <v>38686</v>
      </c>
      <c r="J1496" s="5">
        <f t="shared" si="46"/>
        <v>-87</v>
      </c>
      <c r="K1496" s="6" t="str">
        <f t="shared" si="47"/>
        <v>A~0</v>
      </c>
      <c r="L1496" t="str">
        <f>IF(J1496&lt;0,"A~0",VLOOKUP(J1496,[1]作法V!$B$1:$C$9,2,TRUE))</f>
        <v>A~0</v>
      </c>
    </row>
    <row r="1497" spans="1:12">
      <c r="A1497">
        <v>1120</v>
      </c>
      <c r="B1497" t="s">
        <v>78</v>
      </c>
      <c r="C1497" s="3">
        <v>38677</v>
      </c>
      <c r="D1497" s="3">
        <v>38773</v>
      </c>
      <c r="E1497" t="s">
        <v>17</v>
      </c>
      <c r="F1497">
        <v>33.409999999999997</v>
      </c>
      <c r="G1497">
        <v>912</v>
      </c>
      <c r="H1497">
        <v>30470</v>
      </c>
      <c r="I1497" s="4">
        <v>38686</v>
      </c>
      <c r="J1497" s="5">
        <f t="shared" si="46"/>
        <v>-87</v>
      </c>
      <c r="K1497" s="6" t="str">
        <f t="shared" si="47"/>
        <v>A~0</v>
      </c>
      <c r="L1497" t="str">
        <f>IF(J1497&lt;0,"A~0",VLOOKUP(J1497,[1]作法V!$B$1:$C$9,2,TRUE))</f>
        <v>A~0</v>
      </c>
    </row>
    <row r="1498" spans="1:12">
      <c r="A1498">
        <v>1120</v>
      </c>
      <c r="B1498" t="s">
        <v>78</v>
      </c>
      <c r="C1498" s="3">
        <v>38679</v>
      </c>
      <c r="D1498" s="3">
        <v>38773</v>
      </c>
      <c r="E1498" t="s">
        <v>17</v>
      </c>
      <c r="F1498">
        <v>33.409999999999997</v>
      </c>
      <c r="G1498">
        <v>282.24</v>
      </c>
      <c r="H1498">
        <v>9430</v>
      </c>
      <c r="I1498" s="4">
        <v>38686</v>
      </c>
      <c r="J1498" s="5">
        <f t="shared" si="46"/>
        <v>-87</v>
      </c>
      <c r="K1498" s="6" t="str">
        <f t="shared" si="47"/>
        <v>A~0</v>
      </c>
      <c r="L1498" t="str">
        <f>IF(J1498&lt;0,"A~0",VLOOKUP(J1498,[1]作法V!$B$1:$C$9,2,TRUE))</f>
        <v>A~0</v>
      </c>
    </row>
    <row r="1499" spans="1:12">
      <c r="A1499">
        <v>1120</v>
      </c>
      <c r="B1499" t="s">
        <v>78</v>
      </c>
      <c r="C1499" s="3">
        <v>38679</v>
      </c>
      <c r="D1499" s="3">
        <v>38773</v>
      </c>
      <c r="E1499" t="s">
        <v>17</v>
      </c>
      <c r="F1499">
        <v>33.409999999999997</v>
      </c>
      <c r="G1499">
        <v>5009.76</v>
      </c>
      <c r="H1499">
        <v>167376</v>
      </c>
      <c r="I1499" s="4">
        <v>38686</v>
      </c>
      <c r="J1499" s="5">
        <f t="shared" si="46"/>
        <v>-87</v>
      </c>
      <c r="K1499" s="6" t="str">
        <f t="shared" si="47"/>
        <v>A~0</v>
      </c>
      <c r="L1499" t="str">
        <f>IF(J1499&lt;0,"A~0",VLOOKUP(J1499,[1]作法V!$B$1:$C$9,2,TRUE))</f>
        <v>A~0</v>
      </c>
    </row>
    <row r="1500" spans="1:12">
      <c r="A1500">
        <v>1120</v>
      </c>
      <c r="B1500" t="s">
        <v>78</v>
      </c>
      <c r="C1500" s="3">
        <v>38679</v>
      </c>
      <c r="D1500" s="3">
        <v>38773</v>
      </c>
      <c r="E1500" t="s">
        <v>17</v>
      </c>
      <c r="F1500">
        <v>33.409999999999997</v>
      </c>
      <c r="G1500">
        <v>181.5</v>
      </c>
      <c r="H1500">
        <v>6064</v>
      </c>
      <c r="I1500" s="4">
        <v>38686</v>
      </c>
      <c r="J1500" s="5">
        <f t="shared" si="46"/>
        <v>-87</v>
      </c>
      <c r="K1500" s="6" t="str">
        <f t="shared" si="47"/>
        <v>A~0</v>
      </c>
      <c r="L1500" t="str">
        <f>IF(J1500&lt;0,"A~0",VLOOKUP(J1500,[1]作法V!$B$1:$C$9,2,TRUE))</f>
        <v>A~0</v>
      </c>
    </row>
    <row r="1501" spans="1:12">
      <c r="A1501">
        <v>1120</v>
      </c>
      <c r="B1501" t="s">
        <v>78</v>
      </c>
      <c r="C1501" s="3">
        <v>38681</v>
      </c>
      <c r="D1501" s="3">
        <v>38773</v>
      </c>
      <c r="E1501" t="s">
        <v>17</v>
      </c>
      <c r="F1501">
        <v>33.409999999999997</v>
      </c>
      <c r="G1501">
        <v>2100</v>
      </c>
      <c r="H1501">
        <v>70161</v>
      </c>
      <c r="I1501" s="4">
        <v>38686</v>
      </c>
      <c r="J1501" s="5">
        <f t="shared" si="46"/>
        <v>-87</v>
      </c>
      <c r="K1501" s="6" t="str">
        <f t="shared" si="47"/>
        <v>A~0</v>
      </c>
      <c r="L1501" t="str">
        <f>IF(J1501&lt;0,"A~0",VLOOKUP(J1501,[1]作法V!$B$1:$C$9,2,TRUE))</f>
        <v>A~0</v>
      </c>
    </row>
    <row r="1502" spans="1:12">
      <c r="A1502">
        <v>1120</v>
      </c>
      <c r="B1502" t="s">
        <v>78</v>
      </c>
      <c r="C1502" s="3">
        <v>38681</v>
      </c>
      <c r="D1502" s="3">
        <v>38773</v>
      </c>
      <c r="E1502" t="s">
        <v>17</v>
      </c>
      <c r="F1502">
        <v>33.409999999999997</v>
      </c>
      <c r="G1502">
        <v>4033.92</v>
      </c>
      <c r="H1502">
        <v>134773</v>
      </c>
      <c r="I1502" s="4">
        <v>38686</v>
      </c>
      <c r="J1502" s="5">
        <f t="shared" si="46"/>
        <v>-87</v>
      </c>
      <c r="K1502" s="6" t="str">
        <f t="shared" si="47"/>
        <v>A~0</v>
      </c>
      <c r="L1502" t="str">
        <f>IF(J1502&lt;0,"A~0",VLOOKUP(J1502,[1]作法V!$B$1:$C$9,2,TRUE))</f>
        <v>A~0</v>
      </c>
    </row>
    <row r="1503" spans="1:12">
      <c r="A1503">
        <v>1120</v>
      </c>
      <c r="B1503" t="s">
        <v>78</v>
      </c>
      <c r="C1503" s="3">
        <v>38681</v>
      </c>
      <c r="D1503" s="3">
        <v>38773</v>
      </c>
      <c r="E1503" t="s">
        <v>17</v>
      </c>
      <c r="F1503">
        <v>33.409999999999997</v>
      </c>
      <c r="G1503">
        <v>631.67999999999995</v>
      </c>
      <c r="H1503">
        <v>21104</v>
      </c>
      <c r="I1503" s="4">
        <v>38686</v>
      </c>
      <c r="J1503" s="5">
        <f t="shared" si="46"/>
        <v>-87</v>
      </c>
      <c r="K1503" s="6" t="str">
        <f t="shared" si="47"/>
        <v>A~0</v>
      </c>
      <c r="L1503" t="str">
        <f>IF(J1503&lt;0,"A~0",VLOOKUP(J1503,[1]作法V!$B$1:$C$9,2,TRUE))</f>
        <v>A~0</v>
      </c>
    </row>
    <row r="1504" spans="1:12">
      <c r="A1504">
        <v>1120</v>
      </c>
      <c r="B1504" t="s">
        <v>78</v>
      </c>
      <c r="C1504" s="3">
        <v>38681</v>
      </c>
      <c r="D1504" s="3">
        <v>38773</v>
      </c>
      <c r="E1504" t="s">
        <v>17</v>
      </c>
      <c r="F1504">
        <v>33.409999999999997</v>
      </c>
      <c r="G1504">
        <v>5292</v>
      </c>
      <c r="H1504">
        <v>176806</v>
      </c>
      <c r="I1504" s="4">
        <v>38686</v>
      </c>
      <c r="J1504" s="5">
        <f t="shared" si="46"/>
        <v>-87</v>
      </c>
      <c r="K1504" s="6" t="str">
        <f t="shared" si="47"/>
        <v>A~0</v>
      </c>
      <c r="L1504" t="str">
        <f>IF(J1504&lt;0,"A~0",VLOOKUP(J1504,[1]作法V!$B$1:$C$9,2,TRUE))</f>
        <v>A~0</v>
      </c>
    </row>
    <row r="1505" spans="1:12">
      <c r="A1505">
        <v>1120</v>
      </c>
      <c r="B1505" t="s">
        <v>78</v>
      </c>
      <c r="C1505" s="3">
        <v>38684</v>
      </c>
      <c r="D1505" s="3">
        <v>38773</v>
      </c>
      <c r="E1505" t="s">
        <v>17</v>
      </c>
      <c r="F1505">
        <v>33.409999999999997</v>
      </c>
      <c r="G1505">
        <v>1150.08</v>
      </c>
      <c r="H1505">
        <v>38424</v>
      </c>
      <c r="I1505" s="4">
        <v>38686</v>
      </c>
      <c r="J1505" s="5">
        <f t="shared" si="46"/>
        <v>-87</v>
      </c>
      <c r="K1505" s="6" t="str">
        <f t="shared" si="47"/>
        <v>A~0</v>
      </c>
      <c r="L1505" t="str">
        <f>IF(J1505&lt;0,"A~0",VLOOKUP(J1505,[1]作法V!$B$1:$C$9,2,TRUE))</f>
        <v>A~0</v>
      </c>
    </row>
    <row r="1506" spans="1:12">
      <c r="A1506">
        <v>1120</v>
      </c>
      <c r="B1506" t="s">
        <v>78</v>
      </c>
      <c r="C1506" s="3">
        <v>38684</v>
      </c>
      <c r="D1506" s="3">
        <v>38773</v>
      </c>
      <c r="E1506" t="s">
        <v>17</v>
      </c>
      <c r="F1506">
        <v>33.409999999999997</v>
      </c>
      <c r="G1506">
        <v>6733.92</v>
      </c>
      <c r="H1506">
        <v>224980</v>
      </c>
      <c r="I1506" s="4">
        <v>38686</v>
      </c>
      <c r="J1506" s="5">
        <f t="shared" si="46"/>
        <v>-87</v>
      </c>
      <c r="K1506" s="6" t="str">
        <f t="shared" si="47"/>
        <v>A~0</v>
      </c>
      <c r="L1506" t="str">
        <f>IF(J1506&lt;0,"A~0",VLOOKUP(J1506,[1]作法V!$B$1:$C$9,2,TRUE))</f>
        <v>A~0</v>
      </c>
    </row>
    <row r="1507" spans="1:12">
      <c r="A1507">
        <v>1120</v>
      </c>
      <c r="B1507" t="s">
        <v>78</v>
      </c>
      <c r="C1507" s="3">
        <v>38686</v>
      </c>
      <c r="D1507" s="3">
        <v>38773</v>
      </c>
      <c r="E1507" t="s">
        <v>17</v>
      </c>
      <c r="F1507">
        <v>33.409999999999997</v>
      </c>
      <c r="G1507">
        <v>5184</v>
      </c>
      <c r="H1507">
        <v>173197</v>
      </c>
      <c r="I1507" s="4">
        <v>38686</v>
      </c>
      <c r="J1507" s="5">
        <f t="shared" si="46"/>
        <v>-87</v>
      </c>
      <c r="K1507" s="6" t="str">
        <f t="shared" si="47"/>
        <v>A~0</v>
      </c>
      <c r="L1507" t="str">
        <f>IF(J1507&lt;0,"A~0",VLOOKUP(J1507,[1]作法V!$B$1:$C$9,2,TRUE))</f>
        <v>A~0</v>
      </c>
    </row>
    <row r="1508" spans="1:12">
      <c r="A1508">
        <v>1123</v>
      </c>
      <c r="B1508" t="s">
        <v>25</v>
      </c>
      <c r="C1508" s="3">
        <v>37992</v>
      </c>
      <c r="D1508" s="3">
        <v>38107</v>
      </c>
      <c r="E1508" t="s">
        <v>18</v>
      </c>
      <c r="F1508">
        <v>1</v>
      </c>
      <c r="G1508">
        <v>5040</v>
      </c>
      <c r="H1508">
        <v>5040</v>
      </c>
      <c r="I1508" s="4">
        <v>38686</v>
      </c>
      <c r="J1508" s="5">
        <f t="shared" si="46"/>
        <v>579</v>
      </c>
      <c r="K1508" s="6" t="str">
        <f t="shared" si="47"/>
        <v>H361~</v>
      </c>
      <c r="L1508" t="str">
        <f>IF(J1508&lt;0,"A~0",VLOOKUP(J1508,[1]作法V!$B$1:$C$9,2,TRUE))</f>
        <v>H361~</v>
      </c>
    </row>
    <row r="1509" spans="1:12">
      <c r="A1509">
        <v>1123</v>
      </c>
      <c r="B1509" t="s">
        <v>25</v>
      </c>
      <c r="C1509" s="3">
        <v>38553</v>
      </c>
      <c r="D1509" s="3">
        <v>38655</v>
      </c>
      <c r="E1509" t="s">
        <v>18</v>
      </c>
      <c r="F1509">
        <v>1</v>
      </c>
      <c r="G1509">
        <v>2160</v>
      </c>
      <c r="H1509">
        <v>2160</v>
      </c>
      <c r="I1509" s="4">
        <v>38686</v>
      </c>
      <c r="J1509" s="5">
        <f t="shared" si="46"/>
        <v>31</v>
      </c>
      <c r="K1509" s="6" t="str">
        <f t="shared" si="47"/>
        <v>C31~60</v>
      </c>
      <c r="L1509" t="str">
        <f>IF(J1509&lt;0,"A~0",VLOOKUP(J1509,[1]作法V!$B$1:$C$9,2,TRUE))</f>
        <v>C31~60</v>
      </c>
    </row>
    <row r="1510" spans="1:12">
      <c r="A1510">
        <v>1123</v>
      </c>
      <c r="B1510" t="s">
        <v>25</v>
      </c>
      <c r="C1510" s="3">
        <v>38553</v>
      </c>
      <c r="D1510" s="3">
        <v>38655</v>
      </c>
      <c r="E1510" t="s">
        <v>18</v>
      </c>
      <c r="F1510">
        <v>1</v>
      </c>
      <c r="G1510">
        <v>58320</v>
      </c>
      <c r="H1510">
        <v>58320</v>
      </c>
      <c r="I1510" s="4">
        <v>38686</v>
      </c>
      <c r="J1510" s="5">
        <f t="shared" si="46"/>
        <v>31</v>
      </c>
      <c r="K1510" s="6" t="str">
        <f t="shared" si="47"/>
        <v>C31~60</v>
      </c>
      <c r="L1510" t="str">
        <f>IF(J1510&lt;0,"A~0",VLOOKUP(J1510,[1]作法V!$B$1:$C$9,2,TRUE))</f>
        <v>C31~60</v>
      </c>
    </row>
    <row r="1511" spans="1:12">
      <c r="A1511">
        <v>1123</v>
      </c>
      <c r="B1511" t="s">
        <v>25</v>
      </c>
      <c r="C1511" s="3">
        <v>38566</v>
      </c>
      <c r="D1511" s="3">
        <v>38657</v>
      </c>
      <c r="E1511" t="s">
        <v>18</v>
      </c>
      <c r="F1511">
        <v>1</v>
      </c>
      <c r="G1511">
        <v>4320</v>
      </c>
      <c r="H1511">
        <v>4320</v>
      </c>
      <c r="I1511" s="4">
        <v>38686</v>
      </c>
      <c r="J1511" s="5">
        <f t="shared" si="46"/>
        <v>29</v>
      </c>
      <c r="K1511" s="6" t="str">
        <f t="shared" si="47"/>
        <v>B1~30</v>
      </c>
      <c r="L1511" t="str">
        <f>IF(J1511&lt;0,"A~0",VLOOKUP(J1511,[1]作法V!$B$1:$C$9,2,TRUE))</f>
        <v>B1~30</v>
      </c>
    </row>
    <row r="1512" spans="1:12">
      <c r="A1512">
        <v>1123</v>
      </c>
      <c r="B1512" t="s">
        <v>25</v>
      </c>
      <c r="C1512" s="3">
        <v>38566</v>
      </c>
      <c r="D1512" s="3">
        <v>38657</v>
      </c>
      <c r="E1512" t="s">
        <v>18</v>
      </c>
      <c r="F1512">
        <v>1</v>
      </c>
      <c r="G1512">
        <v>5760</v>
      </c>
      <c r="H1512">
        <v>5760</v>
      </c>
      <c r="I1512" s="4">
        <v>38686</v>
      </c>
      <c r="J1512" s="5">
        <f t="shared" si="46"/>
        <v>29</v>
      </c>
      <c r="K1512" s="6" t="str">
        <f t="shared" si="47"/>
        <v>B1~30</v>
      </c>
      <c r="L1512" t="str">
        <f>IF(J1512&lt;0,"A~0",VLOOKUP(J1512,[1]作法V!$B$1:$C$9,2,TRUE))</f>
        <v>B1~30</v>
      </c>
    </row>
    <row r="1513" spans="1:12">
      <c r="A1513">
        <v>1123</v>
      </c>
      <c r="B1513" t="s">
        <v>25</v>
      </c>
      <c r="C1513" s="3">
        <v>38566</v>
      </c>
      <c r="D1513" s="3">
        <v>38657</v>
      </c>
      <c r="E1513" t="s">
        <v>18</v>
      </c>
      <c r="F1513">
        <v>1</v>
      </c>
      <c r="G1513">
        <v>11520</v>
      </c>
      <c r="H1513">
        <v>11520</v>
      </c>
      <c r="I1513" s="4">
        <v>38686</v>
      </c>
      <c r="J1513" s="5">
        <f t="shared" si="46"/>
        <v>29</v>
      </c>
      <c r="K1513" s="6" t="str">
        <f t="shared" si="47"/>
        <v>B1~30</v>
      </c>
      <c r="L1513" t="str">
        <f>IF(J1513&lt;0,"A~0",VLOOKUP(J1513,[1]作法V!$B$1:$C$9,2,TRUE))</f>
        <v>B1~30</v>
      </c>
    </row>
    <row r="1514" spans="1:12">
      <c r="A1514">
        <v>1123</v>
      </c>
      <c r="B1514" t="s">
        <v>25</v>
      </c>
      <c r="C1514" s="3">
        <v>38566</v>
      </c>
      <c r="D1514" s="3">
        <v>38657</v>
      </c>
      <c r="E1514" t="s">
        <v>18</v>
      </c>
      <c r="F1514">
        <v>1</v>
      </c>
      <c r="G1514">
        <v>12960</v>
      </c>
      <c r="H1514">
        <v>12960</v>
      </c>
      <c r="I1514" s="4">
        <v>38686</v>
      </c>
      <c r="J1514" s="5">
        <f t="shared" si="46"/>
        <v>29</v>
      </c>
      <c r="K1514" s="6" t="str">
        <f t="shared" si="47"/>
        <v>B1~30</v>
      </c>
      <c r="L1514" t="str">
        <f>IF(J1514&lt;0,"A~0",VLOOKUP(J1514,[1]作法V!$B$1:$C$9,2,TRUE))</f>
        <v>B1~30</v>
      </c>
    </row>
    <row r="1515" spans="1:12">
      <c r="A1515">
        <v>1123</v>
      </c>
      <c r="B1515" t="s">
        <v>25</v>
      </c>
      <c r="C1515" s="3">
        <v>38587</v>
      </c>
      <c r="D1515" s="3">
        <v>38657</v>
      </c>
      <c r="E1515" t="s">
        <v>18</v>
      </c>
      <c r="F1515">
        <v>1</v>
      </c>
      <c r="G1515">
        <v>5280</v>
      </c>
      <c r="H1515">
        <v>5280</v>
      </c>
      <c r="I1515" s="4">
        <v>38686</v>
      </c>
      <c r="J1515" s="5">
        <f t="shared" si="46"/>
        <v>29</v>
      </c>
      <c r="K1515" s="6" t="str">
        <f t="shared" si="47"/>
        <v>B1~30</v>
      </c>
      <c r="L1515" t="str">
        <f>IF(J1515&lt;0,"A~0",VLOOKUP(J1515,[1]作法V!$B$1:$C$9,2,TRUE))</f>
        <v>B1~30</v>
      </c>
    </row>
    <row r="1516" spans="1:12">
      <c r="A1516">
        <v>1123</v>
      </c>
      <c r="B1516" t="s">
        <v>25</v>
      </c>
      <c r="C1516" s="3">
        <v>38588</v>
      </c>
      <c r="D1516" s="3">
        <v>38657</v>
      </c>
      <c r="E1516" t="s">
        <v>18</v>
      </c>
      <c r="F1516">
        <v>1</v>
      </c>
      <c r="G1516">
        <v>12960</v>
      </c>
      <c r="H1516">
        <v>12960</v>
      </c>
      <c r="I1516" s="4">
        <v>38686</v>
      </c>
      <c r="J1516" s="5">
        <f t="shared" si="46"/>
        <v>29</v>
      </c>
      <c r="K1516" s="6" t="str">
        <f t="shared" si="47"/>
        <v>B1~30</v>
      </c>
      <c r="L1516" t="str">
        <f>IF(J1516&lt;0,"A~0",VLOOKUP(J1516,[1]作法V!$B$1:$C$9,2,TRUE))</f>
        <v>B1~30</v>
      </c>
    </row>
    <row r="1517" spans="1:12">
      <c r="A1517">
        <v>1123</v>
      </c>
      <c r="B1517" t="s">
        <v>25</v>
      </c>
      <c r="C1517" s="3">
        <v>38588</v>
      </c>
      <c r="D1517" s="3">
        <v>38657</v>
      </c>
      <c r="E1517" t="s">
        <v>18</v>
      </c>
      <c r="F1517">
        <v>1</v>
      </c>
      <c r="G1517">
        <v>12960</v>
      </c>
      <c r="H1517">
        <v>12960</v>
      </c>
      <c r="I1517" s="4">
        <v>38686</v>
      </c>
      <c r="J1517" s="5">
        <f t="shared" si="46"/>
        <v>29</v>
      </c>
      <c r="K1517" s="6" t="str">
        <f t="shared" si="47"/>
        <v>B1~30</v>
      </c>
      <c r="L1517" t="str">
        <f>IF(J1517&lt;0,"A~0",VLOOKUP(J1517,[1]作法V!$B$1:$C$9,2,TRUE))</f>
        <v>B1~30</v>
      </c>
    </row>
    <row r="1518" spans="1:12">
      <c r="A1518">
        <v>1123</v>
      </c>
      <c r="B1518" t="s">
        <v>25</v>
      </c>
      <c r="C1518" s="3">
        <v>38588</v>
      </c>
      <c r="D1518" s="3">
        <v>38657</v>
      </c>
      <c r="E1518" t="s">
        <v>18</v>
      </c>
      <c r="F1518">
        <v>1</v>
      </c>
      <c r="G1518">
        <v>12960</v>
      </c>
      <c r="H1518">
        <v>12960</v>
      </c>
      <c r="I1518" s="4">
        <v>38686</v>
      </c>
      <c r="J1518" s="5">
        <f t="shared" si="46"/>
        <v>29</v>
      </c>
      <c r="K1518" s="6" t="str">
        <f t="shared" si="47"/>
        <v>B1~30</v>
      </c>
      <c r="L1518" t="str">
        <f>IF(J1518&lt;0,"A~0",VLOOKUP(J1518,[1]作法V!$B$1:$C$9,2,TRUE))</f>
        <v>B1~30</v>
      </c>
    </row>
    <row r="1519" spans="1:12">
      <c r="A1519">
        <v>1123</v>
      </c>
      <c r="B1519" t="s">
        <v>25</v>
      </c>
      <c r="C1519" s="3">
        <v>38594</v>
      </c>
      <c r="D1519" s="3">
        <v>38657</v>
      </c>
      <c r="E1519" t="s">
        <v>18</v>
      </c>
      <c r="F1519">
        <v>1</v>
      </c>
      <c r="G1519">
        <v>8640</v>
      </c>
      <c r="H1519">
        <v>8640</v>
      </c>
      <c r="I1519" s="4">
        <v>38686</v>
      </c>
      <c r="J1519" s="5">
        <f t="shared" si="46"/>
        <v>29</v>
      </c>
      <c r="K1519" s="6" t="str">
        <f t="shared" si="47"/>
        <v>B1~30</v>
      </c>
      <c r="L1519" t="str">
        <f>IF(J1519&lt;0,"A~0",VLOOKUP(J1519,[1]作法V!$B$1:$C$9,2,TRUE))</f>
        <v>B1~30</v>
      </c>
    </row>
    <row r="1520" spans="1:12">
      <c r="A1520">
        <v>1123</v>
      </c>
      <c r="B1520" t="s">
        <v>25</v>
      </c>
      <c r="C1520" s="3">
        <v>38611</v>
      </c>
      <c r="D1520" s="3">
        <v>38718</v>
      </c>
      <c r="E1520" t="s">
        <v>18</v>
      </c>
      <c r="F1520">
        <v>1</v>
      </c>
      <c r="G1520">
        <v>2112</v>
      </c>
      <c r="H1520">
        <v>2112</v>
      </c>
      <c r="I1520" s="4">
        <v>38686</v>
      </c>
      <c r="J1520" s="5">
        <f t="shared" si="46"/>
        <v>-32</v>
      </c>
      <c r="K1520" s="6" t="str">
        <f t="shared" si="47"/>
        <v>A~0</v>
      </c>
      <c r="L1520" t="str">
        <f>IF(J1520&lt;0,"A~0",VLOOKUP(J1520,[1]作法V!$B$1:$C$9,2,TRUE))</f>
        <v>A~0</v>
      </c>
    </row>
    <row r="1521" spans="1:12">
      <c r="A1521">
        <v>1123</v>
      </c>
      <c r="B1521" t="s">
        <v>25</v>
      </c>
      <c r="C1521" s="3">
        <v>38614</v>
      </c>
      <c r="D1521" s="3">
        <v>38718</v>
      </c>
      <c r="E1521" t="s">
        <v>18</v>
      </c>
      <c r="F1521">
        <v>1</v>
      </c>
      <c r="G1521">
        <v>7392</v>
      </c>
      <c r="H1521">
        <v>7392</v>
      </c>
      <c r="I1521" s="4">
        <v>38686</v>
      </c>
      <c r="J1521" s="5">
        <f t="shared" si="46"/>
        <v>-32</v>
      </c>
      <c r="K1521" s="6" t="str">
        <f t="shared" si="47"/>
        <v>A~0</v>
      </c>
      <c r="L1521" t="str">
        <f>IF(J1521&lt;0,"A~0",VLOOKUP(J1521,[1]作法V!$B$1:$C$9,2,TRUE))</f>
        <v>A~0</v>
      </c>
    </row>
    <row r="1522" spans="1:12">
      <c r="A1522">
        <v>1123</v>
      </c>
      <c r="B1522" t="s">
        <v>25</v>
      </c>
      <c r="C1522" s="3">
        <v>38616</v>
      </c>
      <c r="D1522" s="3">
        <v>38687</v>
      </c>
      <c r="E1522" t="s">
        <v>18</v>
      </c>
      <c r="F1522">
        <v>1</v>
      </c>
      <c r="G1522">
        <v>4320</v>
      </c>
      <c r="H1522">
        <v>4320</v>
      </c>
      <c r="I1522" s="4">
        <v>38686</v>
      </c>
      <c r="J1522" s="5">
        <f t="shared" si="46"/>
        <v>-1</v>
      </c>
      <c r="K1522" s="6" t="str">
        <f t="shared" si="47"/>
        <v>A~0</v>
      </c>
      <c r="L1522" t="str">
        <f>IF(J1522&lt;0,"A~0",VLOOKUP(J1522,[1]作法V!$B$1:$C$9,2,TRUE))</f>
        <v>A~0</v>
      </c>
    </row>
    <row r="1523" spans="1:12">
      <c r="A1523">
        <v>1123</v>
      </c>
      <c r="B1523" t="s">
        <v>25</v>
      </c>
      <c r="C1523" s="3">
        <v>38616</v>
      </c>
      <c r="D1523" s="3">
        <v>38718</v>
      </c>
      <c r="E1523" t="s">
        <v>18</v>
      </c>
      <c r="F1523">
        <v>1</v>
      </c>
      <c r="G1523">
        <v>4320</v>
      </c>
      <c r="H1523">
        <v>4320</v>
      </c>
      <c r="I1523" s="4">
        <v>38686</v>
      </c>
      <c r="J1523" s="5">
        <f t="shared" si="46"/>
        <v>-32</v>
      </c>
      <c r="K1523" s="6" t="str">
        <f t="shared" si="47"/>
        <v>A~0</v>
      </c>
      <c r="L1523" t="str">
        <f>IF(J1523&lt;0,"A~0",VLOOKUP(J1523,[1]作法V!$B$1:$C$9,2,TRUE))</f>
        <v>A~0</v>
      </c>
    </row>
    <row r="1524" spans="1:12">
      <c r="A1524">
        <v>1123</v>
      </c>
      <c r="B1524" t="s">
        <v>25</v>
      </c>
      <c r="C1524" s="3">
        <v>38616</v>
      </c>
      <c r="D1524" s="3">
        <v>38687</v>
      </c>
      <c r="E1524" t="s">
        <v>18</v>
      </c>
      <c r="F1524">
        <v>1</v>
      </c>
      <c r="G1524">
        <v>4320</v>
      </c>
      <c r="H1524">
        <v>4320</v>
      </c>
      <c r="I1524" s="4">
        <v>38686</v>
      </c>
      <c r="J1524" s="5">
        <f t="shared" si="46"/>
        <v>-1</v>
      </c>
      <c r="K1524" s="6" t="str">
        <f t="shared" si="47"/>
        <v>A~0</v>
      </c>
      <c r="L1524" t="str">
        <f>IF(J1524&lt;0,"A~0",VLOOKUP(J1524,[1]作法V!$B$1:$C$9,2,TRUE))</f>
        <v>A~0</v>
      </c>
    </row>
    <row r="1525" spans="1:12">
      <c r="A1525">
        <v>1123</v>
      </c>
      <c r="B1525" t="s">
        <v>25</v>
      </c>
      <c r="C1525" s="3">
        <v>38616</v>
      </c>
      <c r="D1525" s="3">
        <v>38718</v>
      </c>
      <c r="E1525" t="s">
        <v>18</v>
      </c>
      <c r="F1525">
        <v>1</v>
      </c>
      <c r="G1525">
        <v>8640</v>
      </c>
      <c r="H1525">
        <v>8640</v>
      </c>
      <c r="I1525" s="4">
        <v>38686</v>
      </c>
      <c r="J1525" s="5">
        <f t="shared" si="46"/>
        <v>-32</v>
      </c>
      <c r="K1525" s="6" t="str">
        <f t="shared" si="47"/>
        <v>A~0</v>
      </c>
      <c r="L1525" t="str">
        <f>IF(J1525&lt;0,"A~0",VLOOKUP(J1525,[1]作法V!$B$1:$C$9,2,TRUE))</f>
        <v>A~0</v>
      </c>
    </row>
    <row r="1526" spans="1:12">
      <c r="A1526">
        <v>1123</v>
      </c>
      <c r="B1526" t="s">
        <v>25</v>
      </c>
      <c r="C1526" s="3">
        <v>38616</v>
      </c>
      <c r="D1526" s="3">
        <v>38687</v>
      </c>
      <c r="E1526" t="s">
        <v>18</v>
      </c>
      <c r="F1526">
        <v>1</v>
      </c>
      <c r="G1526">
        <v>8640</v>
      </c>
      <c r="H1526">
        <v>8640</v>
      </c>
      <c r="I1526" s="4">
        <v>38686</v>
      </c>
      <c r="J1526" s="5">
        <f t="shared" si="46"/>
        <v>-1</v>
      </c>
      <c r="K1526" s="6" t="str">
        <f t="shared" si="47"/>
        <v>A~0</v>
      </c>
      <c r="L1526" t="str">
        <f>IF(J1526&lt;0,"A~0",VLOOKUP(J1526,[1]作法V!$B$1:$C$9,2,TRUE))</f>
        <v>A~0</v>
      </c>
    </row>
    <row r="1527" spans="1:12">
      <c r="A1527">
        <v>1123</v>
      </c>
      <c r="B1527" t="s">
        <v>25</v>
      </c>
      <c r="C1527" s="3">
        <v>38616</v>
      </c>
      <c r="D1527" s="3">
        <v>38687</v>
      </c>
      <c r="E1527" t="s">
        <v>18</v>
      </c>
      <c r="F1527">
        <v>1</v>
      </c>
      <c r="G1527">
        <v>8640</v>
      </c>
      <c r="H1527">
        <v>8640</v>
      </c>
      <c r="I1527" s="4">
        <v>38686</v>
      </c>
      <c r="J1527" s="5">
        <f t="shared" si="46"/>
        <v>-1</v>
      </c>
      <c r="K1527" s="6" t="str">
        <f t="shared" si="47"/>
        <v>A~0</v>
      </c>
      <c r="L1527" t="str">
        <f>IF(J1527&lt;0,"A~0",VLOOKUP(J1527,[1]作法V!$B$1:$C$9,2,TRUE))</f>
        <v>A~0</v>
      </c>
    </row>
    <row r="1528" spans="1:12">
      <c r="A1528">
        <v>1123</v>
      </c>
      <c r="B1528" t="s">
        <v>25</v>
      </c>
      <c r="C1528" s="3">
        <v>38616</v>
      </c>
      <c r="D1528" s="3">
        <v>38718</v>
      </c>
      <c r="E1528" t="s">
        <v>18</v>
      </c>
      <c r="F1528">
        <v>1</v>
      </c>
      <c r="G1528">
        <v>1056</v>
      </c>
      <c r="H1528">
        <v>1056</v>
      </c>
      <c r="I1528" s="4">
        <v>38686</v>
      </c>
      <c r="J1528" s="5">
        <f t="shared" si="46"/>
        <v>-32</v>
      </c>
      <c r="K1528" s="6" t="str">
        <f t="shared" si="47"/>
        <v>A~0</v>
      </c>
      <c r="L1528" t="str">
        <f>IF(J1528&lt;0,"A~0",VLOOKUP(J1528,[1]作法V!$B$1:$C$9,2,TRUE))</f>
        <v>A~0</v>
      </c>
    </row>
    <row r="1529" spans="1:12">
      <c r="A1529">
        <v>1123</v>
      </c>
      <c r="B1529" t="s">
        <v>25</v>
      </c>
      <c r="C1529" s="3">
        <v>38622</v>
      </c>
      <c r="D1529" s="3">
        <v>38718</v>
      </c>
      <c r="E1529" t="s">
        <v>18</v>
      </c>
      <c r="F1529">
        <v>1</v>
      </c>
      <c r="G1529">
        <v>2112</v>
      </c>
      <c r="H1529">
        <v>2112</v>
      </c>
      <c r="I1529" s="4">
        <v>38686</v>
      </c>
      <c r="J1529" s="5">
        <f t="shared" si="46"/>
        <v>-32</v>
      </c>
      <c r="K1529" s="6" t="str">
        <f t="shared" si="47"/>
        <v>A~0</v>
      </c>
      <c r="L1529" t="str">
        <f>IF(J1529&lt;0,"A~0",VLOOKUP(J1529,[1]作法V!$B$1:$C$9,2,TRUE))</f>
        <v>A~0</v>
      </c>
    </row>
    <row r="1530" spans="1:12">
      <c r="A1530">
        <v>1123</v>
      </c>
      <c r="B1530" t="s">
        <v>25</v>
      </c>
      <c r="C1530" s="3">
        <v>38622</v>
      </c>
      <c r="D1530" s="3">
        <v>38718</v>
      </c>
      <c r="E1530" t="s">
        <v>18</v>
      </c>
      <c r="F1530">
        <v>1</v>
      </c>
      <c r="G1530">
        <v>3168</v>
      </c>
      <c r="H1530">
        <v>3168</v>
      </c>
      <c r="I1530" s="4">
        <v>38686</v>
      </c>
      <c r="J1530" s="5">
        <f t="shared" si="46"/>
        <v>-32</v>
      </c>
      <c r="K1530" s="6" t="str">
        <f t="shared" si="47"/>
        <v>A~0</v>
      </c>
      <c r="L1530" t="str">
        <f>IF(J1530&lt;0,"A~0",VLOOKUP(J1530,[1]作法V!$B$1:$C$9,2,TRUE))</f>
        <v>A~0</v>
      </c>
    </row>
    <row r="1531" spans="1:12">
      <c r="A1531">
        <v>1123</v>
      </c>
      <c r="B1531" t="s">
        <v>25</v>
      </c>
      <c r="C1531" s="3">
        <v>38622</v>
      </c>
      <c r="D1531" s="3">
        <v>38718</v>
      </c>
      <c r="E1531" t="s">
        <v>18</v>
      </c>
      <c r="F1531">
        <v>1</v>
      </c>
      <c r="G1531">
        <v>16896</v>
      </c>
      <c r="H1531">
        <v>16896</v>
      </c>
      <c r="I1531" s="4">
        <v>38686</v>
      </c>
      <c r="J1531" s="5">
        <f t="shared" si="46"/>
        <v>-32</v>
      </c>
      <c r="K1531" s="6" t="str">
        <f t="shared" si="47"/>
        <v>A~0</v>
      </c>
      <c r="L1531" t="str">
        <f>IF(J1531&lt;0,"A~0",VLOOKUP(J1531,[1]作法V!$B$1:$C$9,2,TRUE))</f>
        <v>A~0</v>
      </c>
    </row>
    <row r="1532" spans="1:12">
      <c r="A1532">
        <v>1123</v>
      </c>
      <c r="B1532" t="s">
        <v>25</v>
      </c>
      <c r="C1532" s="3">
        <v>38625</v>
      </c>
      <c r="D1532" s="3">
        <v>38718</v>
      </c>
      <c r="E1532" t="s">
        <v>18</v>
      </c>
      <c r="F1532">
        <v>1</v>
      </c>
      <c r="G1532">
        <v>4224</v>
      </c>
      <c r="H1532">
        <v>4224</v>
      </c>
      <c r="I1532" s="4">
        <v>38686</v>
      </c>
      <c r="J1532" s="5">
        <f t="shared" si="46"/>
        <v>-32</v>
      </c>
      <c r="K1532" s="6" t="str">
        <f t="shared" si="47"/>
        <v>A~0</v>
      </c>
      <c r="L1532" t="str">
        <f>IF(J1532&lt;0,"A~0",VLOOKUP(J1532,[1]作法V!$B$1:$C$9,2,TRUE))</f>
        <v>A~0</v>
      </c>
    </row>
    <row r="1533" spans="1:12">
      <c r="A1533">
        <v>1123</v>
      </c>
      <c r="B1533" t="s">
        <v>25</v>
      </c>
      <c r="C1533" s="3">
        <v>38628</v>
      </c>
      <c r="D1533" s="3">
        <v>38749</v>
      </c>
      <c r="E1533" t="s">
        <v>18</v>
      </c>
      <c r="F1533">
        <v>1</v>
      </c>
      <c r="G1533">
        <v>17280</v>
      </c>
      <c r="H1533">
        <v>17280</v>
      </c>
      <c r="I1533" s="4">
        <v>38686</v>
      </c>
      <c r="J1533" s="5">
        <f t="shared" si="46"/>
        <v>-63</v>
      </c>
      <c r="K1533" s="6" t="str">
        <f t="shared" si="47"/>
        <v>A~0</v>
      </c>
      <c r="L1533" t="str">
        <f>IF(J1533&lt;0,"A~0",VLOOKUP(J1533,[1]作法V!$B$1:$C$9,2,TRUE))</f>
        <v>A~0</v>
      </c>
    </row>
    <row r="1534" spans="1:12">
      <c r="A1534">
        <v>1123</v>
      </c>
      <c r="B1534" t="s">
        <v>25</v>
      </c>
      <c r="C1534" s="3">
        <v>38628</v>
      </c>
      <c r="D1534" s="3">
        <v>38749</v>
      </c>
      <c r="E1534" t="s">
        <v>18</v>
      </c>
      <c r="F1534">
        <v>1</v>
      </c>
      <c r="G1534">
        <v>4320</v>
      </c>
      <c r="H1534">
        <v>4320</v>
      </c>
      <c r="I1534" s="4">
        <v>38686</v>
      </c>
      <c r="J1534" s="5">
        <f t="shared" si="46"/>
        <v>-63</v>
      </c>
      <c r="K1534" s="6" t="str">
        <f t="shared" si="47"/>
        <v>A~0</v>
      </c>
      <c r="L1534" t="str">
        <f>IF(J1534&lt;0,"A~0",VLOOKUP(J1534,[1]作法V!$B$1:$C$9,2,TRUE))</f>
        <v>A~0</v>
      </c>
    </row>
    <row r="1535" spans="1:12">
      <c r="A1535">
        <v>1123</v>
      </c>
      <c r="B1535" t="s">
        <v>25</v>
      </c>
      <c r="C1535" s="3">
        <v>38628</v>
      </c>
      <c r="D1535" s="3">
        <v>38749</v>
      </c>
      <c r="E1535" t="s">
        <v>18</v>
      </c>
      <c r="F1535">
        <v>1</v>
      </c>
      <c r="G1535">
        <v>4320</v>
      </c>
      <c r="H1535">
        <v>4320</v>
      </c>
      <c r="I1535" s="4">
        <v>38686</v>
      </c>
      <c r="J1535" s="5">
        <f t="shared" si="46"/>
        <v>-63</v>
      </c>
      <c r="K1535" s="6" t="str">
        <f t="shared" si="47"/>
        <v>A~0</v>
      </c>
      <c r="L1535" t="str">
        <f>IF(J1535&lt;0,"A~0",VLOOKUP(J1535,[1]作法V!$B$1:$C$9,2,TRUE))</f>
        <v>A~0</v>
      </c>
    </row>
    <row r="1536" spans="1:12">
      <c r="A1536">
        <v>1123</v>
      </c>
      <c r="B1536" t="s">
        <v>25</v>
      </c>
      <c r="C1536" s="3">
        <v>38632</v>
      </c>
      <c r="D1536" s="3">
        <v>38749</v>
      </c>
      <c r="E1536" t="s">
        <v>18</v>
      </c>
      <c r="F1536">
        <v>1</v>
      </c>
      <c r="G1536">
        <v>6336</v>
      </c>
      <c r="H1536">
        <v>6336</v>
      </c>
      <c r="I1536" s="4">
        <v>38686</v>
      </c>
      <c r="J1536" s="5">
        <f t="shared" si="46"/>
        <v>-63</v>
      </c>
      <c r="K1536" s="6" t="str">
        <f t="shared" si="47"/>
        <v>A~0</v>
      </c>
      <c r="L1536" t="str">
        <f>IF(J1536&lt;0,"A~0",VLOOKUP(J1536,[1]作法V!$B$1:$C$9,2,TRUE))</f>
        <v>A~0</v>
      </c>
    </row>
    <row r="1537" spans="1:12">
      <c r="A1537">
        <v>1123</v>
      </c>
      <c r="B1537" t="s">
        <v>25</v>
      </c>
      <c r="C1537" s="3">
        <v>38639</v>
      </c>
      <c r="D1537" s="3">
        <v>38749</v>
      </c>
      <c r="E1537" t="s">
        <v>18</v>
      </c>
      <c r="F1537">
        <v>1</v>
      </c>
      <c r="G1537">
        <v>12960</v>
      </c>
      <c r="H1537">
        <v>12960</v>
      </c>
      <c r="I1537" s="4">
        <v>38686</v>
      </c>
      <c r="J1537" s="5">
        <f t="shared" si="46"/>
        <v>-63</v>
      </c>
      <c r="K1537" s="6" t="str">
        <f t="shared" si="47"/>
        <v>A~0</v>
      </c>
      <c r="L1537" t="str">
        <f>IF(J1537&lt;0,"A~0",VLOOKUP(J1537,[1]作法V!$B$1:$C$9,2,TRUE))</f>
        <v>A~0</v>
      </c>
    </row>
    <row r="1538" spans="1:12">
      <c r="A1538">
        <v>1123</v>
      </c>
      <c r="B1538" t="s">
        <v>25</v>
      </c>
      <c r="C1538" s="3">
        <v>38639</v>
      </c>
      <c r="D1538" s="3">
        <v>38749</v>
      </c>
      <c r="E1538" t="s">
        <v>18</v>
      </c>
      <c r="F1538">
        <v>1</v>
      </c>
      <c r="G1538">
        <v>4320</v>
      </c>
      <c r="H1538">
        <v>4320</v>
      </c>
      <c r="I1538" s="4">
        <v>38686</v>
      </c>
      <c r="J1538" s="5">
        <f t="shared" ref="J1538:J1601" si="48">I1538-D1538</f>
        <v>-63</v>
      </c>
      <c r="K1538" s="6" t="str">
        <f t="shared" ref="K1538:K1601" si="49">IF(J1538&lt;1,"A~0",IF(J1538&lt;31,"B1~30",IF(J1538&lt;61,"C31~60",IF(J1538&lt;91,"D61~90",IF(J1538&lt;121,"E91~120",IF(J1538&lt;181,"F121~180",IF(J1538&lt;361,"G181~360","H361~")))))))</f>
        <v>A~0</v>
      </c>
      <c r="L1538" t="str">
        <f>IF(J1538&lt;0,"A~0",VLOOKUP(J1538,[1]作法V!$B$1:$C$9,2,TRUE))</f>
        <v>A~0</v>
      </c>
    </row>
    <row r="1539" spans="1:12">
      <c r="A1539">
        <v>1123</v>
      </c>
      <c r="B1539" t="s">
        <v>25</v>
      </c>
      <c r="C1539" s="3">
        <v>38639</v>
      </c>
      <c r="D1539" s="3">
        <v>38749</v>
      </c>
      <c r="E1539" t="s">
        <v>18</v>
      </c>
      <c r="F1539">
        <v>1</v>
      </c>
      <c r="G1539">
        <v>12960</v>
      </c>
      <c r="H1539">
        <v>12960</v>
      </c>
      <c r="I1539" s="4">
        <v>38686</v>
      </c>
      <c r="J1539" s="5">
        <f t="shared" si="48"/>
        <v>-63</v>
      </c>
      <c r="K1539" s="6" t="str">
        <f t="shared" si="49"/>
        <v>A~0</v>
      </c>
      <c r="L1539" t="str">
        <f>IF(J1539&lt;0,"A~0",VLOOKUP(J1539,[1]作法V!$B$1:$C$9,2,TRUE))</f>
        <v>A~0</v>
      </c>
    </row>
    <row r="1540" spans="1:12">
      <c r="A1540">
        <v>1123</v>
      </c>
      <c r="B1540" t="s">
        <v>25</v>
      </c>
      <c r="C1540" s="3">
        <v>38639</v>
      </c>
      <c r="D1540" s="3">
        <v>38749</v>
      </c>
      <c r="E1540" t="s">
        <v>18</v>
      </c>
      <c r="F1540">
        <v>1</v>
      </c>
      <c r="G1540">
        <v>8640</v>
      </c>
      <c r="H1540">
        <v>8640</v>
      </c>
      <c r="I1540" s="4">
        <v>38686</v>
      </c>
      <c r="J1540" s="5">
        <f t="shared" si="48"/>
        <v>-63</v>
      </c>
      <c r="K1540" s="6" t="str">
        <f t="shared" si="49"/>
        <v>A~0</v>
      </c>
      <c r="L1540" t="str">
        <f>IF(J1540&lt;0,"A~0",VLOOKUP(J1540,[1]作法V!$B$1:$C$9,2,TRUE))</f>
        <v>A~0</v>
      </c>
    </row>
    <row r="1541" spans="1:12">
      <c r="A1541">
        <v>1123</v>
      </c>
      <c r="B1541" t="s">
        <v>25</v>
      </c>
      <c r="C1541" s="3">
        <v>38652</v>
      </c>
      <c r="D1541" s="3">
        <v>38749</v>
      </c>
      <c r="E1541" t="s">
        <v>18</v>
      </c>
      <c r="F1541">
        <v>1</v>
      </c>
      <c r="G1541">
        <v>16200</v>
      </c>
      <c r="H1541">
        <v>16200</v>
      </c>
      <c r="I1541" s="4">
        <v>38686</v>
      </c>
      <c r="J1541" s="5">
        <f t="shared" si="48"/>
        <v>-63</v>
      </c>
      <c r="K1541" s="6" t="str">
        <f t="shared" si="49"/>
        <v>A~0</v>
      </c>
      <c r="L1541" t="str">
        <f>IF(J1541&lt;0,"A~0",VLOOKUP(J1541,[1]作法V!$B$1:$C$9,2,TRUE))</f>
        <v>A~0</v>
      </c>
    </row>
    <row r="1542" spans="1:12">
      <c r="A1542">
        <v>1123</v>
      </c>
      <c r="B1542" t="s">
        <v>25</v>
      </c>
      <c r="C1542" s="3">
        <v>38652</v>
      </c>
      <c r="D1542" s="3">
        <v>38749</v>
      </c>
      <c r="E1542" t="s">
        <v>18</v>
      </c>
      <c r="F1542">
        <v>1</v>
      </c>
      <c r="G1542">
        <v>9504</v>
      </c>
      <c r="H1542">
        <v>9504</v>
      </c>
      <c r="I1542" s="4">
        <v>38686</v>
      </c>
      <c r="J1542" s="5">
        <f t="shared" si="48"/>
        <v>-63</v>
      </c>
      <c r="K1542" s="6" t="str">
        <f t="shared" si="49"/>
        <v>A~0</v>
      </c>
      <c r="L1542" t="str">
        <f>IF(J1542&lt;0,"A~0",VLOOKUP(J1542,[1]作法V!$B$1:$C$9,2,TRUE))</f>
        <v>A~0</v>
      </c>
    </row>
    <row r="1543" spans="1:12">
      <c r="A1543">
        <v>1123</v>
      </c>
      <c r="B1543" t="s">
        <v>25</v>
      </c>
      <c r="C1543" s="3">
        <v>38659</v>
      </c>
      <c r="D1543" s="3">
        <v>38777</v>
      </c>
      <c r="E1543" t="s">
        <v>18</v>
      </c>
      <c r="F1543">
        <v>1</v>
      </c>
      <c r="G1543">
        <v>4320</v>
      </c>
      <c r="H1543">
        <v>4320</v>
      </c>
      <c r="I1543" s="4">
        <v>38686</v>
      </c>
      <c r="J1543" s="5">
        <f t="shared" si="48"/>
        <v>-91</v>
      </c>
      <c r="K1543" s="6" t="str">
        <f t="shared" si="49"/>
        <v>A~0</v>
      </c>
      <c r="L1543" t="str">
        <f>IF(J1543&lt;0,"A~0",VLOOKUP(J1543,[1]作法V!$B$1:$C$9,2,TRUE))</f>
        <v>A~0</v>
      </c>
    </row>
    <row r="1544" spans="1:12">
      <c r="A1544">
        <v>1123</v>
      </c>
      <c r="B1544" t="s">
        <v>25</v>
      </c>
      <c r="C1544" s="3">
        <v>38659</v>
      </c>
      <c r="D1544" s="3">
        <v>38777</v>
      </c>
      <c r="E1544" t="s">
        <v>18</v>
      </c>
      <c r="F1544">
        <v>1</v>
      </c>
      <c r="G1544">
        <v>17280</v>
      </c>
      <c r="H1544">
        <v>17280</v>
      </c>
      <c r="I1544" s="4">
        <v>38686</v>
      </c>
      <c r="J1544" s="5">
        <f t="shared" si="48"/>
        <v>-91</v>
      </c>
      <c r="K1544" s="6" t="str">
        <f t="shared" si="49"/>
        <v>A~0</v>
      </c>
      <c r="L1544" t="str">
        <f>IF(J1544&lt;0,"A~0",VLOOKUP(J1544,[1]作法V!$B$1:$C$9,2,TRUE))</f>
        <v>A~0</v>
      </c>
    </row>
    <row r="1545" spans="1:12">
      <c r="A1545">
        <v>1123</v>
      </c>
      <c r="B1545" t="s">
        <v>25</v>
      </c>
      <c r="C1545" s="3">
        <v>38659</v>
      </c>
      <c r="D1545" s="3">
        <v>38777</v>
      </c>
      <c r="E1545" t="s">
        <v>18</v>
      </c>
      <c r="F1545">
        <v>1</v>
      </c>
      <c r="G1545">
        <v>4320</v>
      </c>
      <c r="H1545">
        <v>4320</v>
      </c>
      <c r="I1545" s="4">
        <v>38686</v>
      </c>
      <c r="J1545" s="5">
        <f t="shared" si="48"/>
        <v>-91</v>
      </c>
      <c r="K1545" s="6" t="str">
        <f t="shared" si="49"/>
        <v>A~0</v>
      </c>
      <c r="L1545" t="str">
        <f>IF(J1545&lt;0,"A~0",VLOOKUP(J1545,[1]作法V!$B$1:$C$9,2,TRUE))</f>
        <v>A~0</v>
      </c>
    </row>
    <row r="1546" spans="1:12">
      <c r="A1546">
        <v>1123</v>
      </c>
      <c r="B1546" t="s">
        <v>25</v>
      </c>
      <c r="C1546" s="3">
        <v>38659</v>
      </c>
      <c r="D1546" s="3">
        <v>38777</v>
      </c>
      <c r="E1546" t="s">
        <v>18</v>
      </c>
      <c r="F1546">
        <v>1</v>
      </c>
      <c r="G1546">
        <v>4320</v>
      </c>
      <c r="H1546">
        <v>4320</v>
      </c>
      <c r="I1546" s="4">
        <v>38686</v>
      </c>
      <c r="J1546" s="5">
        <f t="shared" si="48"/>
        <v>-91</v>
      </c>
      <c r="K1546" s="6" t="str">
        <f t="shared" si="49"/>
        <v>A~0</v>
      </c>
      <c r="L1546" t="str">
        <f>IF(J1546&lt;0,"A~0",VLOOKUP(J1546,[1]作法V!$B$1:$C$9,2,TRUE))</f>
        <v>A~0</v>
      </c>
    </row>
    <row r="1547" spans="1:12">
      <c r="A1547">
        <v>1123</v>
      </c>
      <c r="B1547" t="s">
        <v>25</v>
      </c>
      <c r="C1547" s="3">
        <v>38659</v>
      </c>
      <c r="D1547" s="3">
        <v>38777</v>
      </c>
      <c r="E1547" t="s">
        <v>18</v>
      </c>
      <c r="F1547">
        <v>1</v>
      </c>
      <c r="G1547">
        <v>4224</v>
      </c>
      <c r="H1547">
        <v>4224</v>
      </c>
      <c r="I1547" s="4">
        <v>38686</v>
      </c>
      <c r="J1547" s="5">
        <f t="shared" si="48"/>
        <v>-91</v>
      </c>
      <c r="K1547" s="6" t="str">
        <f t="shared" si="49"/>
        <v>A~0</v>
      </c>
      <c r="L1547" t="str">
        <f>IF(J1547&lt;0,"A~0",VLOOKUP(J1547,[1]作法V!$B$1:$C$9,2,TRUE))</f>
        <v>A~0</v>
      </c>
    </row>
    <row r="1548" spans="1:12">
      <c r="A1548">
        <v>1123</v>
      </c>
      <c r="B1548" t="s">
        <v>25</v>
      </c>
      <c r="C1548" s="3">
        <v>38659</v>
      </c>
      <c r="D1548" s="3">
        <v>38776</v>
      </c>
      <c r="E1548" t="s">
        <v>18</v>
      </c>
      <c r="F1548">
        <v>1</v>
      </c>
      <c r="G1548">
        <v>10800</v>
      </c>
      <c r="H1548">
        <v>10800</v>
      </c>
      <c r="I1548" s="4">
        <v>38686</v>
      </c>
      <c r="J1548" s="5">
        <f t="shared" si="48"/>
        <v>-90</v>
      </c>
      <c r="K1548" s="6" t="str">
        <f t="shared" si="49"/>
        <v>A~0</v>
      </c>
      <c r="L1548" t="str">
        <f>IF(J1548&lt;0,"A~0",VLOOKUP(J1548,[1]作法V!$B$1:$C$9,2,TRUE))</f>
        <v>A~0</v>
      </c>
    </row>
    <row r="1549" spans="1:12">
      <c r="A1549">
        <v>1123</v>
      </c>
      <c r="B1549" t="s">
        <v>25</v>
      </c>
      <c r="C1549" s="3">
        <v>38659</v>
      </c>
      <c r="D1549" s="3">
        <v>38777</v>
      </c>
      <c r="E1549" t="s">
        <v>18</v>
      </c>
      <c r="F1549">
        <v>1</v>
      </c>
      <c r="G1549">
        <v>3168</v>
      </c>
      <c r="H1549">
        <v>3168</v>
      </c>
      <c r="I1549" s="4">
        <v>38686</v>
      </c>
      <c r="J1549" s="5">
        <f t="shared" si="48"/>
        <v>-91</v>
      </c>
      <c r="K1549" s="6" t="str">
        <f t="shared" si="49"/>
        <v>A~0</v>
      </c>
      <c r="L1549" t="str">
        <f>IF(J1549&lt;0,"A~0",VLOOKUP(J1549,[1]作法V!$B$1:$C$9,2,TRUE))</f>
        <v>A~0</v>
      </c>
    </row>
    <row r="1550" spans="1:12">
      <c r="A1550">
        <v>1123</v>
      </c>
      <c r="B1550" t="s">
        <v>25</v>
      </c>
      <c r="C1550" s="3">
        <v>38664</v>
      </c>
      <c r="D1550" s="3">
        <v>38777</v>
      </c>
      <c r="E1550" t="s">
        <v>18</v>
      </c>
      <c r="F1550">
        <v>1</v>
      </c>
      <c r="G1550">
        <v>12960</v>
      </c>
      <c r="H1550">
        <v>12960</v>
      </c>
      <c r="I1550" s="4">
        <v>38686</v>
      </c>
      <c r="J1550" s="5">
        <f t="shared" si="48"/>
        <v>-91</v>
      </c>
      <c r="K1550" s="6" t="str">
        <f t="shared" si="49"/>
        <v>A~0</v>
      </c>
      <c r="L1550" t="str">
        <f>IF(J1550&lt;0,"A~0",VLOOKUP(J1550,[1]作法V!$B$1:$C$9,2,TRUE))</f>
        <v>A~0</v>
      </c>
    </row>
    <row r="1551" spans="1:12">
      <c r="A1551">
        <v>1123</v>
      </c>
      <c r="B1551" t="s">
        <v>25</v>
      </c>
      <c r="C1551" s="3">
        <v>38672</v>
      </c>
      <c r="D1551" s="3">
        <v>38777</v>
      </c>
      <c r="E1551" t="s">
        <v>18</v>
      </c>
      <c r="F1551">
        <v>1</v>
      </c>
      <c r="G1551">
        <v>17280</v>
      </c>
      <c r="H1551">
        <v>17280</v>
      </c>
      <c r="I1551" s="4">
        <v>38686</v>
      </c>
      <c r="J1551" s="5">
        <f t="shared" si="48"/>
        <v>-91</v>
      </c>
      <c r="K1551" s="6" t="str">
        <f t="shared" si="49"/>
        <v>A~0</v>
      </c>
      <c r="L1551" t="str">
        <f>IF(J1551&lt;0,"A~0",VLOOKUP(J1551,[1]作法V!$B$1:$C$9,2,TRUE))</f>
        <v>A~0</v>
      </c>
    </row>
    <row r="1552" spans="1:12">
      <c r="A1552">
        <v>1123</v>
      </c>
      <c r="B1552" t="s">
        <v>25</v>
      </c>
      <c r="C1552" s="3">
        <v>38672</v>
      </c>
      <c r="D1552" s="3">
        <v>38777</v>
      </c>
      <c r="E1552" t="s">
        <v>18</v>
      </c>
      <c r="F1552">
        <v>1</v>
      </c>
      <c r="G1552">
        <v>8640</v>
      </c>
      <c r="H1552">
        <v>8640</v>
      </c>
      <c r="I1552" s="4">
        <v>38686</v>
      </c>
      <c r="J1552" s="5">
        <f t="shared" si="48"/>
        <v>-91</v>
      </c>
      <c r="K1552" s="6" t="str">
        <f t="shared" si="49"/>
        <v>A~0</v>
      </c>
      <c r="L1552" t="str">
        <f>IF(J1552&lt;0,"A~0",VLOOKUP(J1552,[1]作法V!$B$1:$C$9,2,TRUE))</f>
        <v>A~0</v>
      </c>
    </row>
    <row r="1553" spans="1:12">
      <c r="A1553">
        <v>1123</v>
      </c>
      <c r="B1553" t="s">
        <v>25</v>
      </c>
      <c r="C1553" s="3">
        <v>38672</v>
      </c>
      <c r="D1553" s="3">
        <v>38777</v>
      </c>
      <c r="E1553" t="s">
        <v>18</v>
      </c>
      <c r="F1553">
        <v>1</v>
      </c>
      <c r="G1553">
        <v>4320</v>
      </c>
      <c r="H1553">
        <v>4320</v>
      </c>
      <c r="I1553" s="4">
        <v>38686</v>
      </c>
      <c r="J1553" s="5">
        <f t="shared" si="48"/>
        <v>-91</v>
      </c>
      <c r="K1553" s="6" t="str">
        <f t="shared" si="49"/>
        <v>A~0</v>
      </c>
      <c r="L1553" t="str">
        <f>IF(J1553&lt;0,"A~0",VLOOKUP(J1553,[1]作法V!$B$1:$C$9,2,TRUE))</f>
        <v>A~0</v>
      </c>
    </row>
    <row r="1554" spans="1:12">
      <c r="A1554">
        <v>1123</v>
      </c>
      <c r="B1554" t="s">
        <v>25</v>
      </c>
      <c r="C1554" s="3">
        <v>38672</v>
      </c>
      <c r="D1554" s="3">
        <v>38777</v>
      </c>
      <c r="E1554" t="s">
        <v>18</v>
      </c>
      <c r="F1554">
        <v>1</v>
      </c>
      <c r="G1554">
        <v>4224</v>
      </c>
      <c r="H1554">
        <v>4224</v>
      </c>
      <c r="I1554" s="4">
        <v>38686</v>
      </c>
      <c r="J1554" s="5">
        <f t="shared" si="48"/>
        <v>-91</v>
      </c>
      <c r="K1554" s="6" t="str">
        <f t="shared" si="49"/>
        <v>A~0</v>
      </c>
      <c r="L1554" t="str">
        <f>IF(J1554&lt;0,"A~0",VLOOKUP(J1554,[1]作法V!$B$1:$C$9,2,TRUE))</f>
        <v>A~0</v>
      </c>
    </row>
    <row r="1555" spans="1:12">
      <c r="A1555">
        <v>1123</v>
      </c>
      <c r="B1555" t="s">
        <v>25</v>
      </c>
      <c r="C1555" s="3">
        <v>38672</v>
      </c>
      <c r="D1555" s="3">
        <v>38776</v>
      </c>
      <c r="E1555" t="s">
        <v>18</v>
      </c>
      <c r="F1555">
        <v>1</v>
      </c>
      <c r="G1555">
        <v>5400</v>
      </c>
      <c r="H1555">
        <v>5400</v>
      </c>
      <c r="I1555" s="4">
        <v>38686</v>
      </c>
      <c r="J1555" s="5">
        <f t="shared" si="48"/>
        <v>-90</v>
      </c>
      <c r="K1555" s="6" t="str">
        <f t="shared" si="49"/>
        <v>A~0</v>
      </c>
      <c r="L1555" t="str">
        <f>IF(J1555&lt;0,"A~0",VLOOKUP(J1555,[1]作法V!$B$1:$C$9,2,TRUE))</f>
        <v>A~0</v>
      </c>
    </row>
    <row r="1556" spans="1:12">
      <c r="A1556">
        <v>1131</v>
      </c>
      <c r="B1556" t="s">
        <v>85</v>
      </c>
      <c r="C1556" s="3">
        <v>38554</v>
      </c>
      <c r="D1556" s="3">
        <v>38671</v>
      </c>
      <c r="E1556" t="s">
        <v>17</v>
      </c>
      <c r="F1556">
        <v>31.89</v>
      </c>
      <c r="G1556">
        <v>70771.399999999994</v>
      </c>
      <c r="H1556">
        <v>2256900</v>
      </c>
      <c r="I1556" s="4">
        <v>38686</v>
      </c>
      <c r="J1556" s="5">
        <f t="shared" si="48"/>
        <v>15</v>
      </c>
      <c r="K1556" s="6" t="str">
        <f t="shared" si="49"/>
        <v>B1~30</v>
      </c>
      <c r="L1556" t="str">
        <f>IF(J1556&lt;0,"A~0",VLOOKUP(J1556,[1]作法V!$B$1:$C$9,2,TRUE))</f>
        <v>B1~30</v>
      </c>
    </row>
    <row r="1557" spans="1:12">
      <c r="A1557">
        <v>1131</v>
      </c>
      <c r="B1557" t="s">
        <v>85</v>
      </c>
      <c r="C1557" s="3">
        <v>38583</v>
      </c>
      <c r="D1557" s="3">
        <v>38701</v>
      </c>
      <c r="E1557" t="s">
        <v>17</v>
      </c>
      <c r="F1557">
        <v>31.875</v>
      </c>
      <c r="G1557">
        <v>51693.94</v>
      </c>
      <c r="H1557">
        <v>1647744</v>
      </c>
      <c r="I1557" s="4">
        <v>38686</v>
      </c>
      <c r="J1557" s="5">
        <f t="shared" si="48"/>
        <v>-15</v>
      </c>
      <c r="K1557" s="6" t="str">
        <f t="shared" si="49"/>
        <v>A~0</v>
      </c>
      <c r="L1557" t="str">
        <f>IF(J1557&lt;0,"A~0",VLOOKUP(J1557,[1]作法V!$B$1:$C$9,2,TRUE))</f>
        <v>A~0</v>
      </c>
    </row>
    <row r="1558" spans="1:12">
      <c r="A1558">
        <v>1131</v>
      </c>
      <c r="B1558" t="s">
        <v>85</v>
      </c>
      <c r="C1558" s="3">
        <v>38615</v>
      </c>
      <c r="D1558" s="3">
        <v>38732</v>
      </c>
      <c r="E1558" t="s">
        <v>17</v>
      </c>
      <c r="F1558">
        <v>32.365000000000002</v>
      </c>
      <c r="G1558">
        <v>28670</v>
      </c>
      <c r="H1558">
        <v>927905</v>
      </c>
      <c r="I1558" s="4">
        <v>38686</v>
      </c>
      <c r="J1558" s="5">
        <f t="shared" si="48"/>
        <v>-46</v>
      </c>
      <c r="K1558" s="6" t="str">
        <f t="shared" si="49"/>
        <v>A~0</v>
      </c>
      <c r="L1558" t="str">
        <f>IF(J1558&lt;0,"A~0",VLOOKUP(J1558,[1]作法V!$B$1:$C$9,2,TRUE))</f>
        <v>A~0</v>
      </c>
    </row>
    <row r="1559" spans="1:12">
      <c r="A1559">
        <v>1131</v>
      </c>
      <c r="B1559" t="s">
        <v>85</v>
      </c>
      <c r="C1559" s="3">
        <v>38618</v>
      </c>
      <c r="D1559" s="3">
        <v>38732</v>
      </c>
      <c r="E1559" t="s">
        <v>17</v>
      </c>
      <c r="F1559">
        <v>32.799999999999997</v>
      </c>
      <c r="G1559">
        <v>1200</v>
      </c>
      <c r="H1559">
        <v>39360</v>
      </c>
      <c r="I1559" s="4">
        <v>38686</v>
      </c>
      <c r="J1559" s="5">
        <f t="shared" si="48"/>
        <v>-46</v>
      </c>
      <c r="K1559" s="6" t="str">
        <f t="shared" si="49"/>
        <v>A~0</v>
      </c>
      <c r="L1559" t="str">
        <f>IF(J1559&lt;0,"A~0",VLOOKUP(J1559,[1]作法V!$B$1:$C$9,2,TRUE))</f>
        <v>A~0</v>
      </c>
    </row>
    <row r="1560" spans="1:12">
      <c r="A1560">
        <v>1131</v>
      </c>
      <c r="B1560" t="s">
        <v>85</v>
      </c>
      <c r="C1560" s="3">
        <v>38645</v>
      </c>
      <c r="D1560" s="3">
        <v>38763</v>
      </c>
      <c r="E1560" t="s">
        <v>17</v>
      </c>
      <c r="F1560">
        <v>33.195</v>
      </c>
      <c r="G1560">
        <v>47777.26</v>
      </c>
      <c r="H1560">
        <v>1585966</v>
      </c>
      <c r="I1560" s="4">
        <v>38686</v>
      </c>
      <c r="J1560" s="5">
        <f t="shared" si="48"/>
        <v>-77</v>
      </c>
      <c r="K1560" s="6" t="str">
        <f t="shared" si="49"/>
        <v>A~0</v>
      </c>
      <c r="L1560" t="str">
        <f>IF(J1560&lt;0,"A~0",VLOOKUP(J1560,[1]作法V!$B$1:$C$9,2,TRUE))</f>
        <v>A~0</v>
      </c>
    </row>
    <row r="1561" spans="1:12">
      <c r="A1561">
        <v>1131</v>
      </c>
      <c r="B1561" t="s">
        <v>85</v>
      </c>
      <c r="C1561" s="3">
        <v>38677</v>
      </c>
      <c r="D1561" s="3">
        <v>38791</v>
      </c>
      <c r="E1561" t="s">
        <v>17</v>
      </c>
      <c r="F1561">
        <v>33.409999999999997</v>
      </c>
      <c r="G1561">
        <v>36567.4</v>
      </c>
      <c r="H1561">
        <v>1221717</v>
      </c>
      <c r="I1561" s="4">
        <v>38686</v>
      </c>
      <c r="J1561" s="5">
        <f t="shared" si="48"/>
        <v>-105</v>
      </c>
      <c r="K1561" s="6" t="str">
        <f t="shared" si="49"/>
        <v>A~0</v>
      </c>
      <c r="L1561" t="str">
        <f>IF(J1561&lt;0,"A~0",VLOOKUP(J1561,[1]作法V!$B$1:$C$9,2,TRUE))</f>
        <v>A~0</v>
      </c>
    </row>
    <row r="1562" spans="1:12">
      <c r="A1562">
        <v>1133</v>
      </c>
      <c r="B1562" t="s">
        <v>102</v>
      </c>
      <c r="C1562" s="3">
        <v>38554</v>
      </c>
      <c r="D1562" s="3">
        <v>38650</v>
      </c>
      <c r="E1562" t="s">
        <v>18</v>
      </c>
      <c r="F1562">
        <v>1</v>
      </c>
      <c r="G1562">
        <v>449</v>
      </c>
      <c r="H1562">
        <v>449</v>
      </c>
      <c r="I1562" s="4">
        <v>38686</v>
      </c>
      <c r="J1562" s="5">
        <f t="shared" si="48"/>
        <v>36</v>
      </c>
      <c r="K1562" s="6" t="str">
        <f t="shared" si="49"/>
        <v>C31~60</v>
      </c>
      <c r="L1562" t="str">
        <f>IF(J1562&lt;0,"A~0",VLOOKUP(J1562,[1]作法V!$B$1:$C$9,2,TRUE))</f>
        <v>C31~60</v>
      </c>
    </row>
    <row r="1563" spans="1:12">
      <c r="A1563">
        <v>1133</v>
      </c>
      <c r="B1563" t="s">
        <v>102</v>
      </c>
      <c r="C1563" s="3">
        <v>38560</v>
      </c>
      <c r="D1563" s="3">
        <v>38681</v>
      </c>
      <c r="E1563" t="s">
        <v>18</v>
      </c>
      <c r="F1563">
        <v>1</v>
      </c>
      <c r="G1563">
        <v>5851</v>
      </c>
      <c r="H1563">
        <v>5851</v>
      </c>
      <c r="I1563" s="4">
        <v>38686</v>
      </c>
      <c r="J1563" s="5">
        <f t="shared" si="48"/>
        <v>5</v>
      </c>
      <c r="K1563" s="6" t="str">
        <f t="shared" si="49"/>
        <v>B1~30</v>
      </c>
      <c r="L1563" t="str">
        <f>IF(J1563&lt;0,"A~0",VLOOKUP(J1563,[1]作法V!$B$1:$C$9,2,TRUE))</f>
        <v>B1~30</v>
      </c>
    </row>
    <row r="1564" spans="1:12">
      <c r="A1564">
        <v>1133</v>
      </c>
      <c r="B1564" t="s">
        <v>102</v>
      </c>
      <c r="C1564" s="3">
        <v>38588</v>
      </c>
      <c r="D1564" s="3">
        <v>38681</v>
      </c>
      <c r="E1564" t="s">
        <v>18</v>
      </c>
      <c r="F1564">
        <v>1</v>
      </c>
      <c r="G1564">
        <v>57456</v>
      </c>
      <c r="H1564">
        <v>57456</v>
      </c>
      <c r="I1564" s="4">
        <v>38686</v>
      </c>
      <c r="J1564" s="5">
        <f t="shared" si="48"/>
        <v>5</v>
      </c>
      <c r="K1564" s="6" t="str">
        <f t="shared" si="49"/>
        <v>B1~30</v>
      </c>
      <c r="L1564" t="str">
        <f>IF(J1564&lt;0,"A~0",VLOOKUP(J1564,[1]作法V!$B$1:$C$9,2,TRUE))</f>
        <v>B1~30</v>
      </c>
    </row>
    <row r="1565" spans="1:12">
      <c r="A1565">
        <v>1133</v>
      </c>
      <c r="B1565" t="s">
        <v>102</v>
      </c>
      <c r="C1565" s="3">
        <v>38602</v>
      </c>
      <c r="D1565" s="3">
        <v>38711</v>
      </c>
      <c r="E1565" t="s">
        <v>18</v>
      </c>
      <c r="F1565">
        <v>1</v>
      </c>
      <c r="G1565">
        <v>410000</v>
      </c>
      <c r="H1565">
        <v>410000</v>
      </c>
      <c r="I1565" s="4">
        <v>38686</v>
      </c>
      <c r="J1565" s="5">
        <f t="shared" si="48"/>
        <v>-25</v>
      </c>
      <c r="K1565" s="6" t="str">
        <f t="shared" si="49"/>
        <v>A~0</v>
      </c>
      <c r="L1565" t="str">
        <f>IF(J1565&lt;0,"A~0",VLOOKUP(J1565,[1]作法V!$B$1:$C$9,2,TRUE))</f>
        <v>A~0</v>
      </c>
    </row>
    <row r="1566" spans="1:12">
      <c r="A1566">
        <v>1133</v>
      </c>
      <c r="B1566" t="s">
        <v>102</v>
      </c>
      <c r="C1566" s="3">
        <v>38602</v>
      </c>
      <c r="D1566" s="3">
        <v>38711</v>
      </c>
      <c r="E1566" t="s">
        <v>18</v>
      </c>
      <c r="F1566">
        <v>1</v>
      </c>
      <c r="G1566">
        <v>12900</v>
      </c>
      <c r="H1566">
        <v>12900</v>
      </c>
      <c r="I1566" s="4">
        <v>38686</v>
      </c>
      <c r="J1566" s="5">
        <f t="shared" si="48"/>
        <v>-25</v>
      </c>
      <c r="K1566" s="6" t="str">
        <f t="shared" si="49"/>
        <v>A~0</v>
      </c>
      <c r="L1566" t="str">
        <f>IF(J1566&lt;0,"A~0",VLOOKUP(J1566,[1]作法V!$B$1:$C$9,2,TRUE))</f>
        <v>A~0</v>
      </c>
    </row>
    <row r="1567" spans="1:12">
      <c r="A1567">
        <v>1133</v>
      </c>
      <c r="B1567" t="s">
        <v>102</v>
      </c>
      <c r="C1567" s="3">
        <v>38603</v>
      </c>
      <c r="D1567" s="3">
        <v>38711</v>
      </c>
      <c r="E1567" t="s">
        <v>18</v>
      </c>
      <c r="F1567">
        <v>1</v>
      </c>
      <c r="G1567">
        <v>114912</v>
      </c>
      <c r="H1567">
        <v>114912</v>
      </c>
      <c r="I1567" s="4">
        <v>38686</v>
      </c>
      <c r="J1567" s="5">
        <f t="shared" si="48"/>
        <v>-25</v>
      </c>
      <c r="K1567" s="6" t="str">
        <f t="shared" si="49"/>
        <v>A~0</v>
      </c>
      <c r="L1567" t="str">
        <f>IF(J1567&lt;0,"A~0",VLOOKUP(J1567,[1]作法V!$B$1:$C$9,2,TRUE))</f>
        <v>A~0</v>
      </c>
    </row>
    <row r="1568" spans="1:12">
      <c r="A1568">
        <v>1133</v>
      </c>
      <c r="B1568" t="s">
        <v>102</v>
      </c>
      <c r="C1568" s="3">
        <v>38610</v>
      </c>
      <c r="D1568" s="3">
        <v>38711</v>
      </c>
      <c r="E1568" t="s">
        <v>18</v>
      </c>
      <c r="F1568">
        <v>1</v>
      </c>
      <c r="G1568">
        <v>76500</v>
      </c>
      <c r="H1568">
        <v>76500</v>
      </c>
      <c r="I1568" s="4">
        <v>38686</v>
      </c>
      <c r="J1568" s="5">
        <f t="shared" si="48"/>
        <v>-25</v>
      </c>
      <c r="K1568" s="6" t="str">
        <f t="shared" si="49"/>
        <v>A~0</v>
      </c>
      <c r="L1568" t="str">
        <f>IF(J1568&lt;0,"A~0",VLOOKUP(J1568,[1]作法V!$B$1:$C$9,2,TRUE))</f>
        <v>A~0</v>
      </c>
    </row>
    <row r="1569" spans="1:12">
      <c r="A1569">
        <v>1133</v>
      </c>
      <c r="B1569" t="s">
        <v>102</v>
      </c>
      <c r="C1569" s="3">
        <v>38614</v>
      </c>
      <c r="D1569" s="3">
        <v>38711</v>
      </c>
      <c r="E1569" t="s">
        <v>18</v>
      </c>
      <c r="F1569">
        <v>1</v>
      </c>
      <c r="G1569">
        <v>410000</v>
      </c>
      <c r="H1569">
        <v>410000</v>
      </c>
      <c r="I1569" s="4">
        <v>38686</v>
      </c>
      <c r="J1569" s="5">
        <f t="shared" si="48"/>
        <v>-25</v>
      </c>
      <c r="K1569" s="6" t="str">
        <f t="shared" si="49"/>
        <v>A~0</v>
      </c>
      <c r="L1569" t="str">
        <f>IF(J1569&lt;0,"A~0",VLOOKUP(J1569,[1]作法V!$B$1:$C$9,2,TRUE))</f>
        <v>A~0</v>
      </c>
    </row>
    <row r="1570" spans="1:12">
      <c r="A1570">
        <v>1133</v>
      </c>
      <c r="B1570" t="s">
        <v>102</v>
      </c>
      <c r="C1570" s="3">
        <v>38623</v>
      </c>
      <c r="D1570" s="3">
        <v>38742</v>
      </c>
      <c r="E1570" t="s">
        <v>18</v>
      </c>
      <c r="F1570">
        <v>1</v>
      </c>
      <c r="G1570">
        <v>205000</v>
      </c>
      <c r="H1570">
        <v>205000</v>
      </c>
      <c r="I1570" s="4">
        <v>38686</v>
      </c>
      <c r="J1570" s="5">
        <f t="shared" si="48"/>
        <v>-56</v>
      </c>
      <c r="K1570" s="6" t="str">
        <f t="shared" si="49"/>
        <v>A~0</v>
      </c>
      <c r="L1570" t="str">
        <f>IF(J1570&lt;0,"A~0",VLOOKUP(J1570,[1]作法V!$B$1:$C$9,2,TRUE))</f>
        <v>A~0</v>
      </c>
    </row>
    <row r="1571" spans="1:12">
      <c r="A1571">
        <v>1133</v>
      </c>
      <c r="B1571" t="s">
        <v>102</v>
      </c>
      <c r="C1571" s="3">
        <v>38625</v>
      </c>
      <c r="D1571" s="3">
        <v>38742</v>
      </c>
      <c r="E1571" t="s">
        <v>18</v>
      </c>
      <c r="F1571">
        <v>1</v>
      </c>
      <c r="G1571">
        <v>76500</v>
      </c>
      <c r="H1571">
        <v>76500</v>
      </c>
      <c r="I1571" s="4">
        <v>38686</v>
      </c>
      <c r="J1571" s="5">
        <f t="shared" si="48"/>
        <v>-56</v>
      </c>
      <c r="K1571" s="6" t="str">
        <f t="shared" si="49"/>
        <v>A~0</v>
      </c>
      <c r="L1571" t="str">
        <f>IF(J1571&lt;0,"A~0",VLOOKUP(J1571,[1]作法V!$B$1:$C$9,2,TRUE))</f>
        <v>A~0</v>
      </c>
    </row>
    <row r="1572" spans="1:12">
      <c r="A1572">
        <v>1133</v>
      </c>
      <c r="B1572" t="s">
        <v>102</v>
      </c>
      <c r="C1572" s="3">
        <v>38637</v>
      </c>
      <c r="D1572" s="3">
        <v>38742</v>
      </c>
      <c r="E1572" t="s">
        <v>18</v>
      </c>
      <c r="F1572">
        <v>1</v>
      </c>
      <c r="G1572">
        <v>410000</v>
      </c>
      <c r="H1572">
        <v>410000</v>
      </c>
      <c r="I1572" s="4">
        <v>38686</v>
      </c>
      <c r="J1572" s="5">
        <f t="shared" si="48"/>
        <v>-56</v>
      </c>
      <c r="K1572" s="6" t="str">
        <f t="shared" si="49"/>
        <v>A~0</v>
      </c>
      <c r="L1572" t="str">
        <f>IF(J1572&lt;0,"A~0",VLOOKUP(J1572,[1]作法V!$B$1:$C$9,2,TRUE))</f>
        <v>A~0</v>
      </c>
    </row>
    <row r="1573" spans="1:12">
      <c r="A1573">
        <v>1133</v>
      </c>
      <c r="B1573" t="s">
        <v>102</v>
      </c>
      <c r="C1573" s="3">
        <v>38639</v>
      </c>
      <c r="D1573" s="3">
        <v>38742</v>
      </c>
      <c r="E1573" t="s">
        <v>18</v>
      </c>
      <c r="F1573">
        <v>1</v>
      </c>
      <c r="G1573">
        <v>76500</v>
      </c>
      <c r="H1573">
        <v>76500</v>
      </c>
      <c r="I1573" s="4">
        <v>38686</v>
      </c>
      <c r="J1573" s="5">
        <f t="shared" si="48"/>
        <v>-56</v>
      </c>
      <c r="K1573" s="6" t="str">
        <f t="shared" si="49"/>
        <v>A~0</v>
      </c>
      <c r="L1573" t="str">
        <f>IF(J1573&lt;0,"A~0",VLOOKUP(J1573,[1]作法V!$B$1:$C$9,2,TRUE))</f>
        <v>A~0</v>
      </c>
    </row>
    <row r="1574" spans="1:12">
      <c r="A1574">
        <v>1133</v>
      </c>
      <c r="B1574" t="s">
        <v>102</v>
      </c>
      <c r="C1574" s="3">
        <v>38645</v>
      </c>
      <c r="D1574" s="3">
        <v>38742</v>
      </c>
      <c r="E1574" t="s">
        <v>18</v>
      </c>
      <c r="F1574">
        <v>1</v>
      </c>
      <c r="G1574">
        <v>410000</v>
      </c>
      <c r="H1574">
        <v>410000</v>
      </c>
      <c r="I1574" s="4">
        <v>38686</v>
      </c>
      <c r="J1574" s="5">
        <f t="shared" si="48"/>
        <v>-56</v>
      </c>
      <c r="K1574" s="6" t="str">
        <f t="shared" si="49"/>
        <v>A~0</v>
      </c>
      <c r="L1574" t="str">
        <f>IF(J1574&lt;0,"A~0",VLOOKUP(J1574,[1]作法V!$B$1:$C$9,2,TRUE))</f>
        <v>A~0</v>
      </c>
    </row>
    <row r="1575" spans="1:12">
      <c r="A1575">
        <v>1133</v>
      </c>
      <c r="B1575" t="s">
        <v>102</v>
      </c>
      <c r="C1575" s="3">
        <v>38649</v>
      </c>
      <c r="D1575" s="3">
        <v>38742</v>
      </c>
      <c r="E1575" t="s">
        <v>18</v>
      </c>
      <c r="F1575">
        <v>1</v>
      </c>
      <c r="G1575">
        <v>114912</v>
      </c>
      <c r="H1575">
        <v>114912</v>
      </c>
      <c r="I1575" s="4">
        <v>38686</v>
      </c>
      <c r="J1575" s="5">
        <f t="shared" si="48"/>
        <v>-56</v>
      </c>
      <c r="K1575" s="6" t="str">
        <f t="shared" si="49"/>
        <v>A~0</v>
      </c>
      <c r="L1575" t="str">
        <f>IF(J1575&lt;0,"A~0",VLOOKUP(J1575,[1]作法V!$B$1:$C$9,2,TRUE))</f>
        <v>A~0</v>
      </c>
    </row>
    <row r="1576" spans="1:12">
      <c r="A1576">
        <v>1133</v>
      </c>
      <c r="B1576" t="s">
        <v>102</v>
      </c>
      <c r="C1576" s="3">
        <v>38649</v>
      </c>
      <c r="D1576" s="3">
        <v>38742</v>
      </c>
      <c r="E1576" t="s">
        <v>18</v>
      </c>
      <c r="F1576">
        <v>1</v>
      </c>
      <c r="G1576">
        <v>30096</v>
      </c>
      <c r="H1576">
        <v>30096</v>
      </c>
      <c r="I1576" s="4">
        <v>38686</v>
      </c>
      <c r="J1576" s="5">
        <f t="shared" si="48"/>
        <v>-56</v>
      </c>
      <c r="K1576" s="6" t="str">
        <f t="shared" si="49"/>
        <v>A~0</v>
      </c>
      <c r="L1576" t="str">
        <f>IF(J1576&lt;0,"A~0",VLOOKUP(J1576,[1]作法V!$B$1:$C$9,2,TRUE))</f>
        <v>A~0</v>
      </c>
    </row>
    <row r="1577" spans="1:12">
      <c r="A1577">
        <v>1133</v>
      </c>
      <c r="B1577" t="s">
        <v>102</v>
      </c>
      <c r="C1577" s="3">
        <v>38653</v>
      </c>
      <c r="D1577" s="3">
        <v>38773</v>
      </c>
      <c r="E1577" t="s">
        <v>18</v>
      </c>
      <c r="F1577">
        <v>1</v>
      </c>
      <c r="G1577">
        <v>5985</v>
      </c>
      <c r="H1577">
        <v>5985</v>
      </c>
      <c r="I1577" s="4">
        <v>38686</v>
      </c>
      <c r="J1577" s="5">
        <f t="shared" si="48"/>
        <v>-87</v>
      </c>
      <c r="K1577" s="6" t="str">
        <f t="shared" si="49"/>
        <v>A~0</v>
      </c>
      <c r="L1577" t="str">
        <f>IF(J1577&lt;0,"A~0",VLOOKUP(J1577,[1]作法V!$B$1:$C$9,2,TRUE))</f>
        <v>A~0</v>
      </c>
    </row>
    <row r="1578" spans="1:12">
      <c r="A1578">
        <v>1133</v>
      </c>
      <c r="B1578" t="s">
        <v>102</v>
      </c>
      <c r="C1578" s="3">
        <v>38656</v>
      </c>
      <c r="D1578" s="3">
        <v>38773</v>
      </c>
      <c r="E1578" t="s">
        <v>18</v>
      </c>
      <c r="F1578">
        <v>1</v>
      </c>
      <c r="G1578">
        <v>30600</v>
      </c>
      <c r="H1578">
        <v>30600</v>
      </c>
      <c r="I1578" s="4">
        <v>38686</v>
      </c>
      <c r="J1578" s="5">
        <f t="shared" si="48"/>
        <v>-87</v>
      </c>
      <c r="K1578" s="6" t="str">
        <f t="shared" si="49"/>
        <v>A~0</v>
      </c>
      <c r="L1578" t="str">
        <f>IF(J1578&lt;0,"A~0",VLOOKUP(J1578,[1]作法V!$B$1:$C$9,2,TRUE))</f>
        <v>A~0</v>
      </c>
    </row>
    <row r="1579" spans="1:12">
      <c r="A1579">
        <v>1133</v>
      </c>
      <c r="B1579" t="s">
        <v>102</v>
      </c>
      <c r="C1579" s="3">
        <v>38658</v>
      </c>
      <c r="D1579" s="3">
        <v>38773</v>
      </c>
      <c r="E1579" t="s">
        <v>18</v>
      </c>
      <c r="F1579">
        <v>1</v>
      </c>
      <c r="G1579">
        <v>42300</v>
      </c>
      <c r="H1579">
        <v>42300</v>
      </c>
      <c r="I1579" s="4">
        <v>38686</v>
      </c>
      <c r="J1579" s="5">
        <f t="shared" si="48"/>
        <v>-87</v>
      </c>
      <c r="K1579" s="6" t="str">
        <f t="shared" si="49"/>
        <v>A~0</v>
      </c>
      <c r="L1579" t="str">
        <f>IF(J1579&lt;0,"A~0",VLOOKUP(J1579,[1]作法V!$B$1:$C$9,2,TRUE))</f>
        <v>A~0</v>
      </c>
    </row>
    <row r="1580" spans="1:12">
      <c r="A1580">
        <v>1133</v>
      </c>
      <c r="B1580" t="s">
        <v>102</v>
      </c>
      <c r="C1580" s="3">
        <v>38663</v>
      </c>
      <c r="D1580" s="3">
        <v>38773</v>
      </c>
      <c r="E1580" t="s">
        <v>18</v>
      </c>
      <c r="F1580">
        <v>1</v>
      </c>
      <c r="G1580">
        <v>30600</v>
      </c>
      <c r="H1580">
        <v>30600</v>
      </c>
      <c r="I1580" s="4">
        <v>38686</v>
      </c>
      <c r="J1580" s="5">
        <f t="shared" si="48"/>
        <v>-87</v>
      </c>
      <c r="K1580" s="6" t="str">
        <f t="shared" si="49"/>
        <v>A~0</v>
      </c>
      <c r="L1580" t="str">
        <f>IF(J1580&lt;0,"A~0",VLOOKUP(J1580,[1]作法V!$B$1:$C$9,2,TRUE))</f>
        <v>A~0</v>
      </c>
    </row>
    <row r="1581" spans="1:12">
      <c r="A1581">
        <v>1133</v>
      </c>
      <c r="B1581" t="s">
        <v>102</v>
      </c>
      <c r="C1581" s="3">
        <v>38667</v>
      </c>
      <c r="D1581" s="3">
        <v>38773</v>
      </c>
      <c r="E1581" t="s">
        <v>18</v>
      </c>
      <c r="F1581">
        <v>1</v>
      </c>
      <c r="G1581">
        <v>35280</v>
      </c>
      <c r="H1581">
        <v>35280</v>
      </c>
      <c r="I1581" s="4">
        <v>38686</v>
      </c>
      <c r="J1581" s="5">
        <f t="shared" si="48"/>
        <v>-87</v>
      </c>
      <c r="K1581" s="6" t="str">
        <f t="shared" si="49"/>
        <v>A~0</v>
      </c>
      <c r="L1581" t="str">
        <f>IF(J1581&lt;0,"A~0",VLOOKUP(J1581,[1]作法V!$B$1:$C$9,2,TRUE))</f>
        <v>A~0</v>
      </c>
    </row>
    <row r="1582" spans="1:12">
      <c r="A1582">
        <v>1133</v>
      </c>
      <c r="B1582" t="s">
        <v>102</v>
      </c>
      <c r="C1582" s="3">
        <v>38670</v>
      </c>
      <c r="D1582" s="3">
        <v>38773</v>
      </c>
      <c r="E1582" t="s">
        <v>18</v>
      </c>
      <c r="F1582">
        <v>1</v>
      </c>
      <c r="G1582">
        <v>79600</v>
      </c>
      <c r="H1582">
        <v>79600</v>
      </c>
      <c r="I1582" s="4">
        <v>38686</v>
      </c>
      <c r="J1582" s="5">
        <f t="shared" si="48"/>
        <v>-87</v>
      </c>
      <c r="K1582" s="6" t="str">
        <f t="shared" si="49"/>
        <v>A~0</v>
      </c>
      <c r="L1582" t="str">
        <f>IF(J1582&lt;0,"A~0",VLOOKUP(J1582,[1]作法V!$B$1:$C$9,2,TRUE))</f>
        <v>A~0</v>
      </c>
    </row>
    <row r="1583" spans="1:12">
      <c r="A1583">
        <v>1133</v>
      </c>
      <c r="B1583" t="s">
        <v>102</v>
      </c>
      <c r="C1583" s="3">
        <v>38672</v>
      </c>
      <c r="D1583" s="3">
        <v>38773</v>
      </c>
      <c r="E1583" t="s">
        <v>18</v>
      </c>
      <c r="F1583">
        <v>1</v>
      </c>
      <c r="G1583">
        <v>172368</v>
      </c>
      <c r="H1583">
        <v>172368</v>
      </c>
      <c r="I1583" s="4">
        <v>38686</v>
      </c>
      <c r="J1583" s="5">
        <f t="shared" si="48"/>
        <v>-87</v>
      </c>
      <c r="K1583" s="6" t="str">
        <f t="shared" si="49"/>
        <v>A~0</v>
      </c>
      <c r="L1583" t="str">
        <f>IF(J1583&lt;0,"A~0",VLOOKUP(J1583,[1]作法V!$B$1:$C$9,2,TRUE))</f>
        <v>A~0</v>
      </c>
    </row>
    <row r="1584" spans="1:12">
      <c r="A1584">
        <v>1133</v>
      </c>
      <c r="B1584" t="s">
        <v>102</v>
      </c>
      <c r="C1584" s="3">
        <v>38677</v>
      </c>
      <c r="D1584" s="3">
        <v>38773</v>
      </c>
      <c r="E1584" t="s">
        <v>18</v>
      </c>
      <c r="F1584">
        <v>1</v>
      </c>
      <c r="G1584">
        <v>18000</v>
      </c>
      <c r="H1584">
        <v>18000</v>
      </c>
      <c r="I1584" s="4">
        <v>38686</v>
      </c>
      <c r="J1584" s="5">
        <f t="shared" si="48"/>
        <v>-87</v>
      </c>
      <c r="K1584" s="6" t="str">
        <f t="shared" si="49"/>
        <v>A~0</v>
      </c>
      <c r="L1584" t="str">
        <f>IF(J1584&lt;0,"A~0",VLOOKUP(J1584,[1]作法V!$B$1:$C$9,2,TRUE))</f>
        <v>A~0</v>
      </c>
    </row>
    <row r="1585" spans="1:12">
      <c r="A1585">
        <v>1133</v>
      </c>
      <c r="B1585" t="s">
        <v>102</v>
      </c>
      <c r="C1585" s="3">
        <v>38680</v>
      </c>
      <c r="D1585" s="3">
        <v>38773</v>
      </c>
      <c r="E1585" t="s">
        <v>18</v>
      </c>
      <c r="F1585">
        <v>1</v>
      </c>
      <c r="G1585">
        <v>30600</v>
      </c>
      <c r="H1585">
        <v>30600</v>
      </c>
      <c r="I1585" s="4">
        <v>38686</v>
      </c>
      <c r="J1585" s="5">
        <f t="shared" si="48"/>
        <v>-87</v>
      </c>
      <c r="K1585" s="6" t="str">
        <f t="shared" si="49"/>
        <v>A~0</v>
      </c>
      <c r="L1585" t="str">
        <f>IF(J1585&lt;0,"A~0",VLOOKUP(J1585,[1]作法V!$B$1:$C$9,2,TRUE))</f>
        <v>A~0</v>
      </c>
    </row>
    <row r="1586" spans="1:12">
      <c r="A1586">
        <v>1133</v>
      </c>
      <c r="B1586" t="s">
        <v>102</v>
      </c>
      <c r="C1586" s="3">
        <v>38684</v>
      </c>
      <c r="D1586" s="3">
        <v>38801</v>
      </c>
      <c r="E1586" t="s">
        <v>18</v>
      </c>
      <c r="F1586">
        <v>1</v>
      </c>
      <c r="G1586">
        <v>79600</v>
      </c>
      <c r="H1586">
        <v>79600</v>
      </c>
      <c r="I1586" s="4">
        <v>38686</v>
      </c>
      <c r="J1586" s="5">
        <f t="shared" si="48"/>
        <v>-115</v>
      </c>
      <c r="K1586" s="6" t="str">
        <f t="shared" si="49"/>
        <v>A~0</v>
      </c>
      <c r="L1586" t="str">
        <f>IF(J1586&lt;0,"A~0",VLOOKUP(J1586,[1]作法V!$B$1:$C$9,2,TRUE))</f>
        <v>A~0</v>
      </c>
    </row>
    <row r="1587" spans="1:12">
      <c r="A1587">
        <v>1133</v>
      </c>
      <c r="B1587" t="s">
        <v>102</v>
      </c>
      <c r="C1587" s="3">
        <v>38684</v>
      </c>
      <c r="D1587" s="3">
        <v>38801</v>
      </c>
      <c r="E1587" t="s">
        <v>18</v>
      </c>
      <c r="F1587">
        <v>1</v>
      </c>
      <c r="G1587">
        <v>119400</v>
      </c>
      <c r="H1587">
        <v>119400</v>
      </c>
      <c r="I1587" s="4">
        <v>38686</v>
      </c>
      <c r="J1587" s="5">
        <f t="shared" si="48"/>
        <v>-115</v>
      </c>
      <c r="K1587" s="6" t="str">
        <f t="shared" si="49"/>
        <v>A~0</v>
      </c>
      <c r="L1587" t="str">
        <f>IF(J1587&lt;0,"A~0",VLOOKUP(J1587,[1]作法V!$B$1:$C$9,2,TRUE))</f>
        <v>A~0</v>
      </c>
    </row>
    <row r="1588" spans="1:12">
      <c r="A1588">
        <v>1134</v>
      </c>
      <c r="B1588" t="s">
        <v>92</v>
      </c>
      <c r="C1588" s="3">
        <v>38586</v>
      </c>
      <c r="D1588" s="3">
        <v>38686</v>
      </c>
      <c r="E1588" t="s">
        <v>18</v>
      </c>
      <c r="F1588">
        <v>1</v>
      </c>
      <c r="G1588">
        <v>126378</v>
      </c>
      <c r="H1588">
        <v>126378</v>
      </c>
      <c r="I1588" s="4">
        <v>38686</v>
      </c>
      <c r="J1588" s="5">
        <f t="shared" si="48"/>
        <v>0</v>
      </c>
      <c r="K1588" s="6" t="str">
        <f t="shared" si="49"/>
        <v>A~0</v>
      </c>
      <c r="L1588" t="str">
        <f>IF(J1588&lt;0,"A~0",VLOOKUP(J1588,[1]作法V!$B$1:$C$9,2,TRUE))</f>
        <v>A~0</v>
      </c>
    </row>
    <row r="1589" spans="1:12">
      <c r="A1589">
        <v>1134</v>
      </c>
      <c r="B1589" t="s">
        <v>92</v>
      </c>
      <c r="C1589" s="3">
        <v>38586</v>
      </c>
      <c r="D1589" s="3">
        <v>38686</v>
      </c>
      <c r="E1589" t="s">
        <v>18</v>
      </c>
      <c r="F1589">
        <v>1</v>
      </c>
      <c r="G1589">
        <v>72378</v>
      </c>
      <c r="H1589">
        <v>72378</v>
      </c>
      <c r="I1589" s="4">
        <v>38686</v>
      </c>
      <c r="J1589" s="5">
        <f t="shared" si="48"/>
        <v>0</v>
      </c>
      <c r="K1589" s="6" t="str">
        <f t="shared" si="49"/>
        <v>A~0</v>
      </c>
      <c r="L1589" t="str">
        <f>IF(J1589&lt;0,"A~0",VLOOKUP(J1589,[1]作法V!$B$1:$C$9,2,TRUE))</f>
        <v>A~0</v>
      </c>
    </row>
    <row r="1590" spans="1:12">
      <c r="A1590">
        <v>1134</v>
      </c>
      <c r="B1590" t="s">
        <v>92</v>
      </c>
      <c r="C1590" s="3">
        <v>38610</v>
      </c>
      <c r="D1590" s="3">
        <v>38716</v>
      </c>
      <c r="E1590" t="s">
        <v>18</v>
      </c>
      <c r="F1590">
        <v>1</v>
      </c>
      <c r="G1590">
        <v>18054</v>
      </c>
      <c r="H1590">
        <v>18054</v>
      </c>
      <c r="I1590" s="4">
        <v>38686</v>
      </c>
      <c r="J1590" s="5">
        <f t="shared" si="48"/>
        <v>-30</v>
      </c>
      <c r="K1590" s="6" t="str">
        <f t="shared" si="49"/>
        <v>A~0</v>
      </c>
      <c r="L1590" t="str">
        <f>IF(J1590&lt;0,"A~0",VLOOKUP(J1590,[1]作法V!$B$1:$C$9,2,TRUE))</f>
        <v>A~0</v>
      </c>
    </row>
    <row r="1591" spans="1:12">
      <c r="A1591">
        <v>1134</v>
      </c>
      <c r="B1591" t="s">
        <v>92</v>
      </c>
      <c r="C1591" s="3">
        <v>38616</v>
      </c>
      <c r="D1591" s="3">
        <v>38716</v>
      </c>
      <c r="E1591" t="s">
        <v>18</v>
      </c>
      <c r="F1591">
        <v>1</v>
      </c>
      <c r="G1591">
        <v>252128</v>
      </c>
      <c r="H1591">
        <v>252128</v>
      </c>
      <c r="I1591" s="4">
        <v>38686</v>
      </c>
      <c r="J1591" s="5">
        <f t="shared" si="48"/>
        <v>-30</v>
      </c>
      <c r="K1591" s="6" t="str">
        <f t="shared" si="49"/>
        <v>A~0</v>
      </c>
      <c r="L1591" t="str">
        <f>IF(J1591&lt;0,"A~0",VLOOKUP(J1591,[1]作法V!$B$1:$C$9,2,TRUE))</f>
        <v>A~0</v>
      </c>
    </row>
    <row r="1592" spans="1:12">
      <c r="A1592">
        <v>1134</v>
      </c>
      <c r="B1592" t="s">
        <v>92</v>
      </c>
      <c r="C1592" s="3">
        <v>38618</v>
      </c>
      <c r="D1592" s="3">
        <v>38716</v>
      </c>
      <c r="E1592" t="s">
        <v>18</v>
      </c>
      <c r="F1592">
        <v>1</v>
      </c>
      <c r="G1592">
        <v>36108</v>
      </c>
      <c r="H1592">
        <v>36108</v>
      </c>
      <c r="I1592" s="4">
        <v>38686</v>
      </c>
      <c r="J1592" s="5">
        <f t="shared" si="48"/>
        <v>-30</v>
      </c>
      <c r="K1592" s="6" t="str">
        <f t="shared" si="49"/>
        <v>A~0</v>
      </c>
      <c r="L1592" t="str">
        <f>IF(J1592&lt;0,"A~0",VLOOKUP(J1592,[1]作法V!$B$1:$C$9,2,TRUE))</f>
        <v>A~0</v>
      </c>
    </row>
    <row r="1593" spans="1:12">
      <c r="A1593">
        <v>1134</v>
      </c>
      <c r="B1593" t="s">
        <v>92</v>
      </c>
      <c r="C1593" s="3">
        <v>38631</v>
      </c>
      <c r="D1593" s="3">
        <v>38747</v>
      </c>
      <c r="E1593" t="s">
        <v>18</v>
      </c>
      <c r="F1593">
        <v>1</v>
      </c>
      <c r="G1593">
        <v>18000</v>
      </c>
      <c r="H1593">
        <v>18000</v>
      </c>
      <c r="I1593" s="4">
        <v>38686</v>
      </c>
      <c r="J1593" s="5">
        <f t="shared" si="48"/>
        <v>-61</v>
      </c>
      <c r="K1593" s="6" t="str">
        <f t="shared" si="49"/>
        <v>A~0</v>
      </c>
      <c r="L1593" t="str">
        <f>IF(J1593&lt;0,"A~0",VLOOKUP(J1593,[1]作法V!$B$1:$C$9,2,TRUE))</f>
        <v>A~0</v>
      </c>
    </row>
    <row r="1594" spans="1:12">
      <c r="A1594">
        <v>1134</v>
      </c>
      <c r="B1594" t="s">
        <v>92</v>
      </c>
      <c r="C1594" s="3">
        <v>38639</v>
      </c>
      <c r="D1594" s="3">
        <v>38747</v>
      </c>
      <c r="E1594" t="s">
        <v>18</v>
      </c>
      <c r="F1594">
        <v>1</v>
      </c>
      <c r="G1594">
        <v>27090</v>
      </c>
      <c r="H1594">
        <v>27090</v>
      </c>
      <c r="I1594" s="4">
        <v>38686</v>
      </c>
      <c r="J1594" s="5">
        <f t="shared" si="48"/>
        <v>-61</v>
      </c>
      <c r="K1594" s="6" t="str">
        <f t="shared" si="49"/>
        <v>A~0</v>
      </c>
      <c r="L1594" t="str">
        <f>IF(J1594&lt;0,"A~0",VLOOKUP(J1594,[1]作法V!$B$1:$C$9,2,TRUE))</f>
        <v>A~0</v>
      </c>
    </row>
    <row r="1595" spans="1:12">
      <c r="A1595">
        <v>1134</v>
      </c>
      <c r="B1595" t="s">
        <v>92</v>
      </c>
      <c r="C1595" s="3">
        <v>38642</v>
      </c>
      <c r="D1595" s="3">
        <v>38747</v>
      </c>
      <c r="E1595" t="s">
        <v>18</v>
      </c>
      <c r="F1595">
        <v>1</v>
      </c>
      <c r="G1595">
        <v>90000</v>
      </c>
      <c r="H1595">
        <v>90000</v>
      </c>
      <c r="I1595" s="4">
        <v>38686</v>
      </c>
      <c r="J1595" s="5">
        <f t="shared" si="48"/>
        <v>-61</v>
      </c>
      <c r="K1595" s="6" t="str">
        <f t="shared" si="49"/>
        <v>A~0</v>
      </c>
      <c r="L1595" t="str">
        <f>IF(J1595&lt;0,"A~0",VLOOKUP(J1595,[1]作法V!$B$1:$C$9,2,TRUE))</f>
        <v>A~0</v>
      </c>
    </row>
    <row r="1596" spans="1:12">
      <c r="A1596">
        <v>1134</v>
      </c>
      <c r="B1596" t="s">
        <v>92</v>
      </c>
      <c r="C1596" s="3">
        <v>38645</v>
      </c>
      <c r="D1596" s="3">
        <v>38747</v>
      </c>
      <c r="E1596" t="s">
        <v>18</v>
      </c>
      <c r="F1596">
        <v>1</v>
      </c>
      <c r="G1596">
        <v>105210</v>
      </c>
      <c r="H1596">
        <v>105210</v>
      </c>
      <c r="I1596" s="4">
        <v>38686</v>
      </c>
      <c r="J1596" s="5">
        <f t="shared" si="48"/>
        <v>-61</v>
      </c>
      <c r="K1596" s="6" t="str">
        <f t="shared" si="49"/>
        <v>A~0</v>
      </c>
      <c r="L1596" t="str">
        <f>IF(J1596&lt;0,"A~0",VLOOKUP(J1596,[1]作法V!$B$1:$C$9,2,TRUE))</f>
        <v>A~0</v>
      </c>
    </row>
    <row r="1597" spans="1:12">
      <c r="A1597">
        <v>1134</v>
      </c>
      <c r="B1597" t="s">
        <v>92</v>
      </c>
      <c r="C1597" s="3">
        <v>38646</v>
      </c>
      <c r="D1597" s="3">
        <v>38747</v>
      </c>
      <c r="E1597" t="s">
        <v>18</v>
      </c>
      <c r="F1597">
        <v>1</v>
      </c>
      <c r="G1597">
        <v>98100</v>
      </c>
      <c r="H1597">
        <v>98100</v>
      </c>
      <c r="I1597" s="4">
        <v>38686</v>
      </c>
      <c r="J1597" s="5">
        <f t="shared" si="48"/>
        <v>-61</v>
      </c>
      <c r="K1597" s="6" t="str">
        <f t="shared" si="49"/>
        <v>A~0</v>
      </c>
      <c r="L1597" t="str">
        <f>IF(J1597&lt;0,"A~0",VLOOKUP(J1597,[1]作法V!$B$1:$C$9,2,TRUE))</f>
        <v>A~0</v>
      </c>
    </row>
    <row r="1598" spans="1:12">
      <c r="A1598">
        <v>1135</v>
      </c>
      <c r="B1598" t="s">
        <v>26</v>
      </c>
      <c r="C1598" s="3">
        <v>38559</v>
      </c>
      <c r="D1598" s="3">
        <v>38727</v>
      </c>
      <c r="E1598" t="s">
        <v>18</v>
      </c>
      <c r="F1598">
        <v>1</v>
      </c>
      <c r="G1598">
        <v>35280</v>
      </c>
      <c r="H1598">
        <v>35280</v>
      </c>
      <c r="I1598" s="4">
        <v>38686</v>
      </c>
      <c r="J1598" s="5">
        <f t="shared" si="48"/>
        <v>-41</v>
      </c>
      <c r="K1598" s="6" t="str">
        <f t="shared" si="49"/>
        <v>A~0</v>
      </c>
      <c r="L1598" t="str">
        <f>IF(J1598&lt;0,"A~0",VLOOKUP(J1598,[1]作法V!$B$1:$C$9,2,TRUE))</f>
        <v>A~0</v>
      </c>
    </row>
    <row r="1599" spans="1:12">
      <c r="A1599">
        <v>1135</v>
      </c>
      <c r="B1599" t="s">
        <v>26</v>
      </c>
      <c r="C1599" s="3">
        <v>38560</v>
      </c>
      <c r="D1599" s="3">
        <v>38727</v>
      </c>
      <c r="E1599" t="s">
        <v>18</v>
      </c>
      <c r="F1599">
        <v>1</v>
      </c>
      <c r="G1599">
        <v>31752</v>
      </c>
      <c r="H1599">
        <v>31752</v>
      </c>
      <c r="I1599" s="4">
        <v>38686</v>
      </c>
      <c r="J1599" s="5">
        <f t="shared" si="48"/>
        <v>-41</v>
      </c>
      <c r="K1599" s="6" t="str">
        <f t="shared" si="49"/>
        <v>A~0</v>
      </c>
      <c r="L1599" t="str">
        <f>IF(J1599&lt;0,"A~0",VLOOKUP(J1599,[1]作法V!$B$1:$C$9,2,TRUE))</f>
        <v>A~0</v>
      </c>
    </row>
    <row r="1600" spans="1:12">
      <c r="A1600">
        <v>1135</v>
      </c>
      <c r="B1600" t="s">
        <v>26</v>
      </c>
      <c r="C1600" s="3">
        <v>38560</v>
      </c>
      <c r="D1600" s="3">
        <v>38727</v>
      </c>
      <c r="E1600" t="s">
        <v>18</v>
      </c>
      <c r="F1600">
        <v>1</v>
      </c>
      <c r="G1600">
        <v>39690</v>
      </c>
      <c r="H1600">
        <v>39690</v>
      </c>
      <c r="I1600" s="4">
        <v>38686</v>
      </c>
      <c r="J1600" s="5">
        <f t="shared" si="48"/>
        <v>-41</v>
      </c>
      <c r="K1600" s="6" t="str">
        <f t="shared" si="49"/>
        <v>A~0</v>
      </c>
      <c r="L1600" t="str">
        <f>IF(J1600&lt;0,"A~0",VLOOKUP(J1600,[1]作法V!$B$1:$C$9,2,TRUE))</f>
        <v>A~0</v>
      </c>
    </row>
    <row r="1601" spans="1:12">
      <c r="A1601">
        <v>1135</v>
      </c>
      <c r="B1601" t="s">
        <v>26</v>
      </c>
      <c r="C1601" s="3">
        <v>38560</v>
      </c>
      <c r="D1601" s="3">
        <v>38727</v>
      </c>
      <c r="E1601" t="s">
        <v>18</v>
      </c>
      <c r="F1601">
        <v>1</v>
      </c>
      <c r="G1601">
        <v>12600</v>
      </c>
      <c r="H1601">
        <v>12600</v>
      </c>
      <c r="I1601" s="4">
        <v>38686</v>
      </c>
      <c r="J1601" s="5">
        <f t="shared" si="48"/>
        <v>-41</v>
      </c>
      <c r="K1601" s="6" t="str">
        <f t="shared" si="49"/>
        <v>A~0</v>
      </c>
      <c r="L1601" t="str">
        <f>IF(J1601&lt;0,"A~0",VLOOKUP(J1601,[1]作法V!$B$1:$C$9,2,TRUE))</f>
        <v>A~0</v>
      </c>
    </row>
    <row r="1602" spans="1:12">
      <c r="A1602">
        <v>1135</v>
      </c>
      <c r="B1602" t="s">
        <v>26</v>
      </c>
      <c r="C1602" s="3">
        <v>38560</v>
      </c>
      <c r="D1602" s="3">
        <v>38727</v>
      </c>
      <c r="E1602" t="s">
        <v>18</v>
      </c>
      <c r="F1602">
        <v>1</v>
      </c>
      <c r="G1602">
        <v>66780</v>
      </c>
      <c r="H1602">
        <v>66780</v>
      </c>
      <c r="I1602" s="4">
        <v>38686</v>
      </c>
      <c r="J1602" s="5">
        <f t="shared" ref="J1602:J1665" si="50">I1602-D1602</f>
        <v>-41</v>
      </c>
      <c r="K1602" s="6" t="str">
        <f t="shared" ref="K1602:K1665" si="51">IF(J1602&lt;1,"A~0",IF(J1602&lt;31,"B1~30",IF(J1602&lt;61,"C31~60",IF(J1602&lt;91,"D61~90",IF(J1602&lt;121,"E91~120",IF(J1602&lt;181,"F121~180",IF(J1602&lt;361,"G181~360","H361~")))))))</f>
        <v>A~0</v>
      </c>
      <c r="L1602" t="str">
        <f>IF(J1602&lt;0,"A~0",VLOOKUP(J1602,[1]作法V!$B$1:$C$9,2,TRUE))</f>
        <v>A~0</v>
      </c>
    </row>
    <row r="1603" spans="1:12">
      <c r="A1603">
        <v>1135</v>
      </c>
      <c r="B1603" t="s">
        <v>26</v>
      </c>
      <c r="C1603" s="3">
        <v>38560</v>
      </c>
      <c r="D1603" s="3">
        <v>38727</v>
      </c>
      <c r="E1603" t="s">
        <v>18</v>
      </c>
      <c r="F1603">
        <v>1</v>
      </c>
      <c r="G1603">
        <v>12600</v>
      </c>
      <c r="H1603">
        <v>12600</v>
      </c>
      <c r="I1603" s="4">
        <v>38686</v>
      </c>
      <c r="J1603" s="5">
        <f t="shared" si="50"/>
        <v>-41</v>
      </c>
      <c r="K1603" s="6" t="str">
        <f t="shared" si="51"/>
        <v>A~0</v>
      </c>
      <c r="L1603" t="str">
        <f>IF(J1603&lt;0,"A~0",VLOOKUP(J1603,[1]作法V!$B$1:$C$9,2,TRUE))</f>
        <v>A~0</v>
      </c>
    </row>
    <row r="1604" spans="1:12">
      <c r="A1604">
        <v>1135</v>
      </c>
      <c r="B1604" t="s">
        <v>26</v>
      </c>
      <c r="C1604" s="3">
        <v>38560</v>
      </c>
      <c r="D1604" s="3">
        <v>38727</v>
      </c>
      <c r="E1604" t="s">
        <v>18</v>
      </c>
      <c r="F1604">
        <v>1</v>
      </c>
      <c r="G1604">
        <v>37800</v>
      </c>
      <c r="H1604">
        <v>37800</v>
      </c>
      <c r="I1604" s="4">
        <v>38686</v>
      </c>
      <c r="J1604" s="5">
        <f t="shared" si="50"/>
        <v>-41</v>
      </c>
      <c r="K1604" s="6" t="str">
        <f t="shared" si="51"/>
        <v>A~0</v>
      </c>
      <c r="L1604" t="str">
        <f>IF(J1604&lt;0,"A~0",VLOOKUP(J1604,[1]作法V!$B$1:$C$9,2,TRUE))</f>
        <v>A~0</v>
      </c>
    </row>
    <row r="1605" spans="1:12">
      <c r="A1605">
        <v>1135</v>
      </c>
      <c r="B1605" t="s">
        <v>26</v>
      </c>
      <c r="C1605" s="3">
        <v>38560</v>
      </c>
      <c r="D1605" s="3">
        <v>38727</v>
      </c>
      <c r="E1605" t="s">
        <v>18</v>
      </c>
      <c r="F1605">
        <v>1</v>
      </c>
      <c r="G1605">
        <v>44520</v>
      </c>
      <c r="H1605">
        <v>44520</v>
      </c>
      <c r="I1605" s="4">
        <v>38686</v>
      </c>
      <c r="J1605" s="5">
        <f t="shared" si="50"/>
        <v>-41</v>
      </c>
      <c r="K1605" s="6" t="str">
        <f t="shared" si="51"/>
        <v>A~0</v>
      </c>
      <c r="L1605" t="str">
        <f>IF(J1605&lt;0,"A~0",VLOOKUP(J1605,[1]作法V!$B$1:$C$9,2,TRUE))</f>
        <v>A~0</v>
      </c>
    </row>
    <row r="1606" spans="1:12">
      <c r="A1606">
        <v>1135</v>
      </c>
      <c r="B1606" t="s">
        <v>26</v>
      </c>
      <c r="C1606" s="3">
        <v>38560</v>
      </c>
      <c r="D1606" s="3">
        <v>38727</v>
      </c>
      <c r="E1606" t="s">
        <v>18</v>
      </c>
      <c r="F1606">
        <v>1</v>
      </c>
      <c r="G1606">
        <v>132300</v>
      </c>
      <c r="H1606">
        <v>132300</v>
      </c>
      <c r="I1606" s="4">
        <v>38686</v>
      </c>
      <c r="J1606" s="5">
        <f t="shared" si="50"/>
        <v>-41</v>
      </c>
      <c r="K1606" s="6" t="str">
        <f t="shared" si="51"/>
        <v>A~0</v>
      </c>
      <c r="L1606" t="str">
        <f>IF(J1606&lt;0,"A~0",VLOOKUP(J1606,[1]作法V!$B$1:$C$9,2,TRUE))</f>
        <v>A~0</v>
      </c>
    </row>
    <row r="1607" spans="1:12">
      <c r="A1607">
        <v>1135</v>
      </c>
      <c r="B1607" t="s">
        <v>26</v>
      </c>
      <c r="C1607" s="3">
        <v>38560</v>
      </c>
      <c r="D1607" s="3">
        <v>38727</v>
      </c>
      <c r="E1607" t="s">
        <v>18</v>
      </c>
      <c r="F1607">
        <v>1</v>
      </c>
      <c r="G1607">
        <v>35280</v>
      </c>
      <c r="H1607">
        <v>35280</v>
      </c>
      <c r="I1607" s="4">
        <v>38686</v>
      </c>
      <c r="J1607" s="5">
        <f t="shared" si="50"/>
        <v>-41</v>
      </c>
      <c r="K1607" s="6" t="str">
        <f t="shared" si="51"/>
        <v>A~0</v>
      </c>
      <c r="L1607" t="str">
        <f>IF(J1607&lt;0,"A~0",VLOOKUP(J1607,[1]作法V!$B$1:$C$9,2,TRUE))</f>
        <v>A~0</v>
      </c>
    </row>
    <row r="1608" spans="1:12">
      <c r="A1608">
        <v>1135</v>
      </c>
      <c r="B1608" t="s">
        <v>26</v>
      </c>
      <c r="C1608" s="3">
        <v>38560</v>
      </c>
      <c r="D1608" s="3">
        <v>38727</v>
      </c>
      <c r="E1608" t="s">
        <v>18</v>
      </c>
      <c r="F1608">
        <v>1</v>
      </c>
      <c r="G1608">
        <v>88200</v>
      </c>
      <c r="H1608">
        <v>88200</v>
      </c>
      <c r="I1608" s="4">
        <v>38686</v>
      </c>
      <c r="J1608" s="5">
        <f t="shared" si="50"/>
        <v>-41</v>
      </c>
      <c r="K1608" s="6" t="str">
        <f t="shared" si="51"/>
        <v>A~0</v>
      </c>
      <c r="L1608" t="str">
        <f>IF(J1608&lt;0,"A~0",VLOOKUP(J1608,[1]作法V!$B$1:$C$9,2,TRUE))</f>
        <v>A~0</v>
      </c>
    </row>
    <row r="1609" spans="1:12">
      <c r="A1609">
        <v>1135</v>
      </c>
      <c r="B1609" t="s">
        <v>26</v>
      </c>
      <c r="C1609" s="3">
        <v>38560</v>
      </c>
      <c r="D1609" s="3">
        <v>38727</v>
      </c>
      <c r="E1609" t="s">
        <v>18</v>
      </c>
      <c r="F1609">
        <v>1</v>
      </c>
      <c r="G1609">
        <v>50400</v>
      </c>
      <c r="H1609">
        <v>50400</v>
      </c>
      <c r="I1609" s="4">
        <v>38686</v>
      </c>
      <c r="J1609" s="5">
        <f t="shared" si="50"/>
        <v>-41</v>
      </c>
      <c r="K1609" s="6" t="str">
        <f t="shared" si="51"/>
        <v>A~0</v>
      </c>
      <c r="L1609" t="str">
        <f>IF(J1609&lt;0,"A~0",VLOOKUP(J1609,[1]作法V!$B$1:$C$9,2,TRUE))</f>
        <v>A~0</v>
      </c>
    </row>
    <row r="1610" spans="1:12">
      <c r="A1610">
        <v>1135</v>
      </c>
      <c r="B1610" t="s">
        <v>26</v>
      </c>
      <c r="C1610" s="3">
        <v>38560</v>
      </c>
      <c r="D1610" s="3">
        <v>38727</v>
      </c>
      <c r="E1610" t="s">
        <v>18</v>
      </c>
      <c r="F1610">
        <v>1</v>
      </c>
      <c r="G1610">
        <v>11466</v>
      </c>
      <c r="H1610">
        <v>11466</v>
      </c>
      <c r="I1610" s="4">
        <v>38686</v>
      </c>
      <c r="J1610" s="5">
        <f t="shared" si="50"/>
        <v>-41</v>
      </c>
      <c r="K1610" s="6" t="str">
        <f t="shared" si="51"/>
        <v>A~0</v>
      </c>
      <c r="L1610" t="str">
        <f>IF(J1610&lt;0,"A~0",VLOOKUP(J1610,[1]作法V!$B$1:$C$9,2,TRUE))</f>
        <v>A~0</v>
      </c>
    </row>
    <row r="1611" spans="1:12">
      <c r="A1611">
        <v>1135</v>
      </c>
      <c r="B1611" t="s">
        <v>26</v>
      </c>
      <c r="C1611" s="3">
        <v>38560</v>
      </c>
      <c r="D1611" s="3">
        <v>38727</v>
      </c>
      <c r="E1611" t="s">
        <v>18</v>
      </c>
      <c r="F1611">
        <v>1</v>
      </c>
      <c r="G1611">
        <v>43680</v>
      </c>
      <c r="H1611">
        <v>43680</v>
      </c>
      <c r="I1611" s="4">
        <v>38686</v>
      </c>
      <c r="J1611" s="5">
        <f t="shared" si="50"/>
        <v>-41</v>
      </c>
      <c r="K1611" s="6" t="str">
        <f t="shared" si="51"/>
        <v>A~0</v>
      </c>
      <c r="L1611" t="str">
        <f>IF(J1611&lt;0,"A~0",VLOOKUP(J1611,[1]作法V!$B$1:$C$9,2,TRUE))</f>
        <v>A~0</v>
      </c>
    </row>
    <row r="1612" spans="1:12">
      <c r="A1612">
        <v>1135</v>
      </c>
      <c r="B1612" t="s">
        <v>26</v>
      </c>
      <c r="C1612" s="3">
        <v>38560</v>
      </c>
      <c r="D1612" s="3">
        <v>38727</v>
      </c>
      <c r="E1612" t="s">
        <v>18</v>
      </c>
      <c r="F1612">
        <v>1</v>
      </c>
      <c r="G1612">
        <v>11466</v>
      </c>
      <c r="H1612">
        <v>11466</v>
      </c>
      <c r="I1612" s="4">
        <v>38686</v>
      </c>
      <c r="J1612" s="5">
        <f t="shared" si="50"/>
        <v>-41</v>
      </c>
      <c r="K1612" s="6" t="str">
        <f t="shared" si="51"/>
        <v>A~0</v>
      </c>
      <c r="L1612" t="str">
        <f>IF(J1612&lt;0,"A~0",VLOOKUP(J1612,[1]作法V!$B$1:$C$9,2,TRUE))</f>
        <v>A~0</v>
      </c>
    </row>
    <row r="1613" spans="1:12">
      <c r="A1613">
        <v>1135</v>
      </c>
      <c r="B1613" t="s">
        <v>26</v>
      </c>
      <c r="C1613" s="3">
        <v>38560</v>
      </c>
      <c r="D1613" s="3">
        <v>38727</v>
      </c>
      <c r="E1613" t="s">
        <v>18</v>
      </c>
      <c r="F1613">
        <v>1</v>
      </c>
      <c r="G1613">
        <v>29106</v>
      </c>
      <c r="H1613">
        <v>29106</v>
      </c>
      <c r="I1613" s="4">
        <v>38686</v>
      </c>
      <c r="J1613" s="5">
        <f t="shared" si="50"/>
        <v>-41</v>
      </c>
      <c r="K1613" s="6" t="str">
        <f t="shared" si="51"/>
        <v>A~0</v>
      </c>
      <c r="L1613" t="str">
        <f>IF(J1613&lt;0,"A~0",VLOOKUP(J1613,[1]作法V!$B$1:$C$9,2,TRUE))</f>
        <v>A~0</v>
      </c>
    </row>
    <row r="1614" spans="1:12">
      <c r="A1614">
        <v>1135</v>
      </c>
      <c r="B1614" t="s">
        <v>26</v>
      </c>
      <c r="C1614" s="3">
        <v>38560</v>
      </c>
      <c r="D1614" s="3">
        <v>38727</v>
      </c>
      <c r="E1614" t="s">
        <v>18</v>
      </c>
      <c r="F1614">
        <v>1</v>
      </c>
      <c r="G1614">
        <v>977</v>
      </c>
      <c r="H1614">
        <v>977</v>
      </c>
      <c r="I1614" s="4">
        <v>38686</v>
      </c>
      <c r="J1614" s="5">
        <f t="shared" si="50"/>
        <v>-41</v>
      </c>
      <c r="K1614" s="6" t="str">
        <f t="shared" si="51"/>
        <v>A~0</v>
      </c>
      <c r="L1614" t="str">
        <f>IF(J1614&lt;0,"A~0",VLOOKUP(J1614,[1]作法V!$B$1:$C$9,2,TRUE))</f>
        <v>A~0</v>
      </c>
    </row>
    <row r="1615" spans="1:12">
      <c r="A1615">
        <v>1135</v>
      </c>
      <c r="B1615" t="s">
        <v>26</v>
      </c>
      <c r="C1615" s="3">
        <v>38560</v>
      </c>
      <c r="D1615" s="3">
        <v>38727</v>
      </c>
      <c r="E1615" t="s">
        <v>18</v>
      </c>
      <c r="F1615">
        <v>1</v>
      </c>
      <c r="G1615">
        <v>13230</v>
      </c>
      <c r="H1615">
        <v>13230</v>
      </c>
      <c r="I1615" s="4">
        <v>38686</v>
      </c>
      <c r="J1615" s="5">
        <f t="shared" si="50"/>
        <v>-41</v>
      </c>
      <c r="K1615" s="6" t="str">
        <f t="shared" si="51"/>
        <v>A~0</v>
      </c>
      <c r="L1615" t="str">
        <f>IF(J1615&lt;0,"A~0",VLOOKUP(J1615,[1]作法V!$B$1:$C$9,2,TRUE))</f>
        <v>A~0</v>
      </c>
    </row>
    <row r="1616" spans="1:12">
      <c r="A1616">
        <v>1135</v>
      </c>
      <c r="B1616" t="s">
        <v>26</v>
      </c>
      <c r="C1616" s="3">
        <v>38560</v>
      </c>
      <c r="D1616" s="3">
        <v>38727</v>
      </c>
      <c r="E1616" t="s">
        <v>18</v>
      </c>
      <c r="F1616">
        <v>1</v>
      </c>
      <c r="G1616">
        <v>345000</v>
      </c>
      <c r="H1616">
        <v>345000</v>
      </c>
      <c r="I1616" s="4">
        <v>38686</v>
      </c>
      <c r="J1616" s="5">
        <f t="shared" si="50"/>
        <v>-41</v>
      </c>
      <c r="K1616" s="6" t="str">
        <f t="shared" si="51"/>
        <v>A~0</v>
      </c>
      <c r="L1616" t="str">
        <f>IF(J1616&lt;0,"A~0",VLOOKUP(J1616,[1]作法V!$B$1:$C$9,2,TRUE))</f>
        <v>A~0</v>
      </c>
    </row>
    <row r="1617" spans="1:12">
      <c r="A1617">
        <v>1135</v>
      </c>
      <c r="B1617" t="s">
        <v>26</v>
      </c>
      <c r="C1617" s="3">
        <v>38562</v>
      </c>
      <c r="D1617" s="3">
        <v>38727</v>
      </c>
      <c r="E1617" t="s">
        <v>18</v>
      </c>
      <c r="F1617">
        <v>1</v>
      </c>
      <c r="G1617">
        <v>65772</v>
      </c>
      <c r="H1617">
        <v>65772</v>
      </c>
      <c r="I1617" s="4">
        <v>38686</v>
      </c>
      <c r="J1617" s="5">
        <f t="shared" si="50"/>
        <v>-41</v>
      </c>
      <c r="K1617" s="6" t="str">
        <f t="shared" si="51"/>
        <v>A~0</v>
      </c>
      <c r="L1617" t="str">
        <f>IF(J1617&lt;0,"A~0",VLOOKUP(J1617,[1]作法V!$B$1:$C$9,2,TRUE))</f>
        <v>A~0</v>
      </c>
    </row>
    <row r="1618" spans="1:12">
      <c r="A1618">
        <v>1135</v>
      </c>
      <c r="B1618" t="s">
        <v>26</v>
      </c>
      <c r="C1618" s="3">
        <v>38562</v>
      </c>
      <c r="D1618" s="3">
        <v>38727</v>
      </c>
      <c r="E1618" t="s">
        <v>18</v>
      </c>
      <c r="F1618">
        <v>1</v>
      </c>
      <c r="G1618">
        <v>10500</v>
      </c>
      <c r="H1618">
        <v>10500</v>
      </c>
      <c r="I1618" s="4">
        <v>38686</v>
      </c>
      <c r="J1618" s="5">
        <f t="shared" si="50"/>
        <v>-41</v>
      </c>
      <c r="K1618" s="6" t="str">
        <f t="shared" si="51"/>
        <v>A~0</v>
      </c>
      <c r="L1618" t="str">
        <f>IF(J1618&lt;0,"A~0",VLOOKUP(J1618,[1]作法V!$B$1:$C$9,2,TRUE))</f>
        <v>A~0</v>
      </c>
    </row>
    <row r="1619" spans="1:12">
      <c r="A1619">
        <v>1135</v>
      </c>
      <c r="B1619" t="s">
        <v>26</v>
      </c>
      <c r="C1619" s="3">
        <v>38562</v>
      </c>
      <c r="D1619" s="3">
        <v>38727</v>
      </c>
      <c r="E1619" t="s">
        <v>18</v>
      </c>
      <c r="F1619">
        <v>1</v>
      </c>
      <c r="G1619">
        <v>35280</v>
      </c>
      <c r="H1619">
        <v>35280</v>
      </c>
      <c r="I1619" s="4">
        <v>38686</v>
      </c>
      <c r="J1619" s="5">
        <f t="shared" si="50"/>
        <v>-41</v>
      </c>
      <c r="K1619" s="6" t="str">
        <f t="shared" si="51"/>
        <v>A~0</v>
      </c>
      <c r="L1619" t="str">
        <f>IF(J1619&lt;0,"A~0",VLOOKUP(J1619,[1]作法V!$B$1:$C$9,2,TRUE))</f>
        <v>A~0</v>
      </c>
    </row>
    <row r="1620" spans="1:12">
      <c r="A1620">
        <v>1135</v>
      </c>
      <c r="B1620" t="s">
        <v>26</v>
      </c>
      <c r="C1620" s="3">
        <v>38562</v>
      </c>
      <c r="D1620" s="3">
        <v>38727</v>
      </c>
      <c r="E1620" t="s">
        <v>18</v>
      </c>
      <c r="F1620">
        <v>1</v>
      </c>
      <c r="G1620">
        <v>1350000</v>
      </c>
      <c r="H1620">
        <v>1350000</v>
      </c>
      <c r="I1620" s="4">
        <v>38686</v>
      </c>
      <c r="J1620" s="5">
        <f t="shared" si="50"/>
        <v>-41</v>
      </c>
      <c r="K1620" s="6" t="str">
        <f t="shared" si="51"/>
        <v>A~0</v>
      </c>
      <c r="L1620" t="str">
        <f>IF(J1620&lt;0,"A~0",VLOOKUP(J1620,[1]作法V!$B$1:$C$9,2,TRUE))</f>
        <v>A~0</v>
      </c>
    </row>
    <row r="1621" spans="1:12">
      <c r="A1621">
        <v>1135</v>
      </c>
      <c r="B1621" t="s">
        <v>26</v>
      </c>
      <c r="C1621" s="3">
        <v>38562</v>
      </c>
      <c r="D1621" s="3">
        <v>38727</v>
      </c>
      <c r="E1621" t="s">
        <v>18</v>
      </c>
      <c r="F1621">
        <v>1</v>
      </c>
      <c r="G1621">
        <v>405000</v>
      </c>
      <c r="H1621">
        <v>405000</v>
      </c>
      <c r="I1621" s="4">
        <v>38686</v>
      </c>
      <c r="J1621" s="5">
        <f t="shared" si="50"/>
        <v>-41</v>
      </c>
      <c r="K1621" s="6" t="str">
        <f t="shared" si="51"/>
        <v>A~0</v>
      </c>
      <c r="L1621" t="str">
        <f>IF(J1621&lt;0,"A~0",VLOOKUP(J1621,[1]作法V!$B$1:$C$9,2,TRUE))</f>
        <v>A~0</v>
      </c>
    </row>
    <row r="1622" spans="1:12">
      <c r="A1622">
        <v>1135</v>
      </c>
      <c r="B1622" t="s">
        <v>26</v>
      </c>
      <c r="C1622" s="3">
        <v>38566</v>
      </c>
      <c r="D1622" s="3">
        <v>38727</v>
      </c>
      <c r="E1622" t="s">
        <v>18</v>
      </c>
      <c r="F1622">
        <v>1</v>
      </c>
      <c r="G1622">
        <v>5775</v>
      </c>
      <c r="H1622">
        <v>5775</v>
      </c>
      <c r="I1622" s="4">
        <v>38686</v>
      </c>
      <c r="J1622" s="5">
        <f t="shared" si="50"/>
        <v>-41</v>
      </c>
      <c r="K1622" s="6" t="str">
        <f t="shared" si="51"/>
        <v>A~0</v>
      </c>
      <c r="L1622" t="str">
        <f>IF(J1622&lt;0,"A~0",VLOOKUP(J1622,[1]作法V!$B$1:$C$9,2,TRUE))</f>
        <v>A~0</v>
      </c>
    </row>
    <row r="1623" spans="1:12">
      <c r="A1623">
        <v>1135</v>
      </c>
      <c r="B1623" t="s">
        <v>26</v>
      </c>
      <c r="C1623" s="3">
        <v>38566</v>
      </c>
      <c r="D1623" s="3">
        <v>38727</v>
      </c>
      <c r="E1623" t="s">
        <v>18</v>
      </c>
      <c r="F1623">
        <v>1</v>
      </c>
      <c r="G1623">
        <v>15750</v>
      </c>
      <c r="H1623">
        <v>15750</v>
      </c>
      <c r="I1623" s="4">
        <v>38686</v>
      </c>
      <c r="J1623" s="5">
        <f t="shared" si="50"/>
        <v>-41</v>
      </c>
      <c r="K1623" s="6" t="str">
        <f t="shared" si="51"/>
        <v>A~0</v>
      </c>
      <c r="L1623" t="str">
        <f>IF(J1623&lt;0,"A~0",VLOOKUP(J1623,[1]作法V!$B$1:$C$9,2,TRUE))</f>
        <v>A~0</v>
      </c>
    </row>
    <row r="1624" spans="1:12">
      <c r="A1624">
        <v>1135</v>
      </c>
      <c r="B1624" t="s">
        <v>26</v>
      </c>
      <c r="C1624" s="3">
        <v>38566</v>
      </c>
      <c r="D1624" s="3">
        <v>38727</v>
      </c>
      <c r="E1624" t="s">
        <v>18</v>
      </c>
      <c r="F1624">
        <v>1</v>
      </c>
      <c r="G1624">
        <v>5954</v>
      </c>
      <c r="H1624">
        <v>5954</v>
      </c>
      <c r="I1624" s="4">
        <v>38686</v>
      </c>
      <c r="J1624" s="5">
        <f t="shared" si="50"/>
        <v>-41</v>
      </c>
      <c r="K1624" s="6" t="str">
        <f t="shared" si="51"/>
        <v>A~0</v>
      </c>
      <c r="L1624" t="str">
        <f>IF(J1624&lt;0,"A~0",VLOOKUP(J1624,[1]作法V!$B$1:$C$9,2,TRUE))</f>
        <v>A~0</v>
      </c>
    </row>
    <row r="1625" spans="1:12">
      <c r="A1625">
        <v>1135</v>
      </c>
      <c r="B1625" t="s">
        <v>26</v>
      </c>
      <c r="C1625" s="3">
        <v>38566</v>
      </c>
      <c r="D1625" s="3">
        <v>38727</v>
      </c>
      <c r="E1625" t="s">
        <v>18</v>
      </c>
      <c r="F1625">
        <v>1</v>
      </c>
      <c r="G1625">
        <v>28224</v>
      </c>
      <c r="H1625">
        <v>28224</v>
      </c>
      <c r="I1625" s="4">
        <v>38686</v>
      </c>
      <c r="J1625" s="5">
        <f t="shared" si="50"/>
        <v>-41</v>
      </c>
      <c r="K1625" s="6" t="str">
        <f t="shared" si="51"/>
        <v>A~0</v>
      </c>
      <c r="L1625" t="str">
        <f>IF(J1625&lt;0,"A~0",VLOOKUP(J1625,[1]作法V!$B$1:$C$9,2,TRUE))</f>
        <v>A~0</v>
      </c>
    </row>
    <row r="1626" spans="1:12">
      <c r="A1626">
        <v>1135</v>
      </c>
      <c r="B1626" t="s">
        <v>26</v>
      </c>
      <c r="C1626" s="3">
        <v>38566</v>
      </c>
      <c r="D1626" s="3">
        <v>38727</v>
      </c>
      <c r="E1626" t="s">
        <v>18</v>
      </c>
      <c r="F1626">
        <v>1</v>
      </c>
      <c r="G1626">
        <v>25200</v>
      </c>
      <c r="H1626">
        <v>25200</v>
      </c>
      <c r="I1626" s="4">
        <v>38686</v>
      </c>
      <c r="J1626" s="5">
        <f t="shared" si="50"/>
        <v>-41</v>
      </c>
      <c r="K1626" s="6" t="str">
        <f t="shared" si="51"/>
        <v>A~0</v>
      </c>
      <c r="L1626" t="str">
        <f>IF(J1626&lt;0,"A~0",VLOOKUP(J1626,[1]作法V!$B$1:$C$9,2,TRUE))</f>
        <v>A~0</v>
      </c>
    </row>
    <row r="1627" spans="1:12">
      <c r="A1627">
        <v>1135</v>
      </c>
      <c r="B1627" t="s">
        <v>26</v>
      </c>
      <c r="C1627" s="3">
        <v>38568</v>
      </c>
      <c r="D1627" s="3">
        <v>38727</v>
      </c>
      <c r="E1627" t="s">
        <v>18</v>
      </c>
      <c r="F1627">
        <v>1</v>
      </c>
      <c r="G1627">
        <v>20475</v>
      </c>
      <c r="H1627">
        <v>20475</v>
      </c>
      <c r="I1627" s="4">
        <v>38686</v>
      </c>
      <c r="J1627" s="5">
        <f t="shared" si="50"/>
        <v>-41</v>
      </c>
      <c r="K1627" s="6" t="str">
        <f t="shared" si="51"/>
        <v>A~0</v>
      </c>
      <c r="L1627" t="str">
        <f>IF(J1627&lt;0,"A~0",VLOOKUP(J1627,[1]作法V!$B$1:$C$9,2,TRUE))</f>
        <v>A~0</v>
      </c>
    </row>
    <row r="1628" spans="1:12">
      <c r="A1628">
        <v>1135</v>
      </c>
      <c r="B1628" t="s">
        <v>26</v>
      </c>
      <c r="C1628" s="3">
        <v>38568</v>
      </c>
      <c r="D1628" s="3">
        <v>38727</v>
      </c>
      <c r="E1628" t="s">
        <v>18</v>
      </c>
      <c r="F1628">
        <v>1</v>
      </c>
      <c r="G1628">
        <v>6300</v>
      </c>
      <c r="H1628">
        <v>6300</v>
      </c>
      <c r="I1628" s="4">
        <v>38686</v>
      </c>
      <c r="J1628" s="5">
        <f t="shared" si="50"/>
        <v>-41</v>
      </c>
      <c r="K1628" s="6" t="str">
        <f t="shared" si="51"/>
        <v>A~0</v>
      </c>
      <c r="L1628" t="str">
        <f>IF(J1628&lt;0,"A~0",VLOOKUP(J1628,[1]作法V!$B$1:$C$9,2,TRUE))</f>
        <v>A~0</v>
      </c>
    </row>
    <row r="1629" spans="1:12">
      <c r="A1629">
        <v>1135</v>
      </c>
      <c r="B1629" t="s">
        <v>26</v>
      </c>
      <c r="C1629" s="3">
        <v>38568</v>
      </c>
      <c r="D1629" s="3">
        <v>38727</v>
      </c>
      <c r="E1629" t="s">
        <v>18</v>
      </c>
      <c r="F1629">
        <v>1</v>
      </c>
      <c r="G1629">
        <v>66150</v>
      </c>
      <c r="H1629">
        <v>66150</v>
      </c>
      <c r="I1629" s="4">
        <v>38686</v>
      </c>
      <c r="J1629" s="5">
        <f t="shared" si="50"/>
        <v>-41</v>
      </c>
      <c r="K1629" s="6" t="str">
        <f t="shared" si="51"/>
        <v>A~0</v>
      </c>
      <c r="L1629" t="str">
        <f>IF(J1629&lt;0,"A~0",VLOOKUP(J1629,[1]作法V!$B$1:$C$9,2,TRUE))</f>
        <v>A~0</v>
      </c>
    </row>
    <row r="1630" spans="1:12">
      <c r="A1630">
        <v>1135</v>
      </c>
      <c r="B1630" t="s">
        <v>26</v>
      </c>
      <c r="C1630" s="3">
        <v>38568</v>
      </c>
      <c r="D1630" s="3">
        <v>38727</v>
      </c>
      <c r="E1630" t="s">
        <v>18</v>
      </c>
      <c r="F1630">
        <v>1</v>
      </c>
      <c r="G1630">
        <v>13650</v>
      </c>
      <c r="H1630">
        <v>13650</v>
      </c>
      <c r="I1630" s="4">
        <v>38686</v>
      </c>
      <c r="J1630" s="5">
        <f t="shared" si="50"/>
        <v>-41</v>
      </c>
      <c r="K1630" s="6" t="str">
        <f t="shared" si="51"/>
        <v>A~0</v>
      </c>
      <c r="L1630" t="str">
        <f>IF(J1630&lt;0,"A~0",VLOOKUP(J1630,[1]作法V!$B$1:$C$9,2,TRUE))</f>
        <v>A~0</v>
      </c>
    </row>
    <row r="1631" spans="1:12">
      <c r="A1631">
        <v>1135</v>
      </c>
      <c r="B1631" t="s">
        <v>26</v>
      </c>
      <c r="C1631" s="3">
        <v>38568</v>
      </c>
      <c r="D1631" s="3">
        <v>38727</v>
      </c>
      <c r="E1631" t="s">
        <v>18</v>
      </c>
      <c r="F1631">
        <v>1</v>
      </c>
      <c r="G1631">
        <v>15750</v>
      </c>
      <c r="H1631">
        <v>15750</v>
      </c>
      <c r="I1631" s="4">
        <v>38686</v>
      </c>
      <c r="J1631" s="5">
        <f t="shared" si="50"/>
        <v>-41</v>
      </c>
      <c r="K1631" s="6" t="str">
        <f t="shared" si="51"/>
        <v>A~0</v>
      </c>
      <c r="L1631" t="str">
        <f>IF(J1631&lt;0,"A~0",VLOOKUP(J1631,[1]作法V!$B$1:$C$9,2,TRUE))</f>
        <v>A~0</v>
      </c>
    </row>
    <row r="1632" spans="1:12">
      <c r="A1632">
        <v>1135</v>
      </c>
      <c r="B1632" t="s">
        <v>26</v>
      </c>
      <c r="C1632" s="3">
        <v>38573</v>
      </c>
      <c r="D1632" s="3">
        <v>38727</v>
      </c>
      <c r="E1632" t="s">
        <v>18</v>
      </c>
      <c r="F1632">
        <v>1</v>
      </c>
      <c r="G1632">
        <v>135744</v>
      </c>
      <c r="H1632">
        <v>135744</v>
      </c>
      <c r="I1632" s="4">
        <v>38686</v>
      </c>
      <c r="J1632" s="5">
        <f t="shared" si="50"/>
        <v>-41</v>
      </c>
      <c r="K1632" s="6" t="str">
        <f t="shared" si="51"/>
        <v>A~0</v>
      </c>
      <c r="L1632" t="str">
        <f>IF(J1632&lt;0,"A~0",VLOOKUP(J1632,[1]作法V!$B$1:$C$9,2,TRUE))</f>
        <v>A~0</v>
      </c>
    </row>
    <row r="1633" spans="1:12">
      <c r="A1633">
        <v>1135</v>
      </c>
      <c r="B1633" t="s">
        <v>26</v>
      </c>
      <c r="C1633" s="3">
        <v>38573</v>
      </c>
      <c r="D1633" s="3">
        <v>38727</v>
      </c>
      <c r="E1633" t="s">
        <v>18</v>
      </c>
      <c r="F1633">
        <v>1</v>
      </c>
      <c r="G1633">
        <v>86940</v>
      </c>
      <c r="H1633">
        <v>86940</v>
      </c>
      <c r="I1633" s="4">
        <v>38686</v>
      </c>
      <c r="J1633" s="5">
        <f t="shared" si="50"/>
        <v>-41</v>
      </c>
      <c r="K1633" s="6" t="str">
        <f t="shared" si="51"/>
        <v>A~0</v>
      </c>
      <c r="L1633" t="str">
        <f>IF(J1633&lt;0,"A~0",VLOOKUP(J1633,[1]作法V!$B$1:$C$9,2,TRUE))</f>
        <v>A~0</v>
      </c>
    </row>
    <row r="1634" spans="1:12">
      <c r="A1634">
        <v>1135</v>
      </c>
      <c r="B1634" t="s">
        <v>26</v>
      </c>
      <c r="C1634" s="3">
        <v>38575</v>
      </c>
      <c r="D1634" s="3">
        <v>38727</v>
      </c>
      <c r="E1634" t="s">
        <v>18</v>
      </c>
      <c r="F1634">
        <v>1</v>
      </c>
      <c r="G1634">
        <v>182784</v>
      </c>
      <c r="H1634">
        <v>182784</v>
      </c>
      <c r="I1634" s="4">
        <v>38686</v>
      </c>
      <c r="J1634" s="5">
        <f t="shared" si="50"/>
        <v>-41</v>
      </c>
      <c r="K1634" s="6" t="str">
        <f t="shared" si="51"/>
        <v>A~0</v>
      </c>
      <c r="L1634" t="str">
        <f>IF(J1634&lt;0,"A~0",VLOOKUP(J1634,[1]作法V!$B$1:$C$9,2,TRUE))</f>
        <v>A~0</v>
      </c>
    </row>
    <row r="1635" spans="1:12">
      <c r="A1635">
        <v>1135</v>
      </c>
      <c r="B1635" t="s">
        <v>26</v>
      </c>
      <c r="C1635" s="3">
        <v>38575</v>
      </c>
      <c r="D1635" s="3">
        <v>38727</v>
      </c>
      <c r="E1635" t="s">
        <v>18</v>
      </c>
      <c r="F1635">
        <v>1</v>
      </c>
      <c r="G1635">
        <v>12600</v>
      </c>
      <c r="H1635">
        <v>12600</v>
      </c>
      <c r="I1635" s="4">
        <v>38686</v>
      </c>
      <c r="J1635" s="5">
        <f t="shared" si="50"/>
        <v>-41</v>
      </c>
      <c r="K1635" s="6" t="str">
        <f t="shared" si="51"/>
        <v>A~0</v>
      </c>
      <c r="L1635" t="str">
        <f>IF(J1635&lt;0,"A~0",VLOOKUP(J1635,[1]作法V!$B$1:$C$9,2,TRUE))</f>
        <v>A~0</v>
      </c>
    </row>
    <row r="1636" spans="1:12">
      <c r="A1636">
        <v>1135</v>
      </c>
      <c r="B1636" t="s">
        <v>26</v>
      </c>
      <c r="C1636" s="3">
        <v>38575</v>
      </c>
      <c r="D1636" s="3">
        <v>38727</v>
      </c>
      <c r="E1636" t="s">
        <v>18</v>
      </c>
      <c r="F1636">
        <v>1</v>
      </c>
      <c r="G1636">
        <v>182784</v>
      </c>
      <c r="H1636">
        <v>182784</v>
      </c>
      <c r="I1636" s="4">
        <v>38686</v>
      </c>
      <c r="J1636" s="5">
        <f t="shared" si="50"/>
        <v>-41</v>
      </c>
      <c r="K1636" s="6" t="str">
        <f t="shared" si="51"/>
        <v>A~0</v>
      </c>
      <c r="L1636" t="str">
        <f>IF(J1636&lt;0,"A~0",VLOOKUP(J1636,[1]作法V!$B$1:$C$9,2,TRUE))</f>
        <v>A~0</v>
      </c>
    </row>
    <row r="1637" spans="1:12">
      <c r="A1637">
        <v>1135</v>
      </c>
      <c r="B1637" t="s">
        <v>26</v>
      </c>
      <c r="C1637" s="3">
        <v>38575</v>
      </c>
      <c r="D1637" s="3">
        <v>38727</v>
      </c>
      <c r="E1637" t="s">
        <v>18</v>
      </c>
      <c r="F1637">
        <v>1</v>
      </c>
      <c r="G1637">
        <v>1449</v>
      </c>
      <c r="H1637">
        <v>1449</v>
      </c>
      <c r="I1637" s="4">
        <v>38686</v>
      </c>
      <c r="J1637" s="5">
        <f t="shared" si="50"/>
        <v>-41</v>
      </c>
      <c r="K1637" s="6" t="str">
        <f t="shared" si="51"/>
        <v>A~0</v>
      </c>
      <c r="L1637" t="str">
        <f>IF(J1637&lt;0,"A~0",VLOOKUP(J1637,[1]作法V!$B$1:$C$9,2,TRUE))</f>
        <v>A~0</v>
      </c>
    </row>
    <row r="1638" spans="1:12">
      <c r="A1638">
        <v>1135</v>
      </c>
      <c r="B1638" t="s">
        <v>26</v>
      </c>
      <c r="C1638" s="3">
        <v>38575</v>
      </c>
      <c r="D1638" s="3">
        <v>38727</v>
      </c>
      <c r="E1638" t="s">
        <v>18</v>
      </c>
      <c r="F1638">
        <v>1</v>
      </c>
      <c r="G1638">
        <v>67988</v>
      </c>
      <c r="H1638">
        <v>67988</v>
      </c>
      <c r="I1638" s="4">
        <v>38686</v>
      </c>
      <c r="J1638" s="5">
        <f t="shared" si="50"/>
        <v>-41</v>
      </c>
      <c r="K1638" s="6" t="str">
        <f t="shared" si="51"/>
        <v>A~0</v>
      </c>
      <c r="L1638" t="str">
        <f>IF(J1638&lt;0,"A~0",VLOOKUP(J1638,[1]作法V!$B$1:$C$9,2,TRUE))</f>
        <v>A~0</v>
      </c>
    </row>
    <row r="1639" spans="1:12">
      <c r="A1639">
        <v>1135</v>
      </c>
      <c r="B1639" t="s">
        <v>26</v>
      </c>
      <c r="C1639" s="3">
        <v>38575</v>
      </c>
      <c r="D1639" s="3">
        <v>38727</v>
      </c>
      <c r="E1639" t="s">
        <v>18</v>
      </c>
      <c r="F1639">
        <v>1</v>
      </c>
      <c r="G1639">
        <v>6510</v>
      </c>
      <c r="H1639">
        <v>6510</v>
      </c>
      <c r="I1639" s="4">
        <v>38686</v>
      </c>
      <c r="J1639" s="5">
        <f t="shared" si="50"/>
        <v>-41</v>
      </c>
      <c r="K1639" s="6" t="str">
        <f t="shared" si="51"/>
        <v>A~0</v>
      </c>
      <c r="L1639" t="str">
        <f>IF(J1639&lt;0,"A~0",VLOOKUP(J1639,[1]作法V!$B$1:$C$9,2,TRUE))</f>
        <v>A~0</v>
      </c>
    </row>
    <row r="1640" spans="1:12">
      <c r="A1640">
        <v>1135</v>
      </c>
      <c r="B1640" t="s">
        <v>26</v>
      </c>
      <c r="C1640" s="3">
        <v>38575</v>
      </c>
      <c r="D1640" s="3">
        <v>38727</v>
      </c>
      <c r="E1640" t="s">
        <v>18</v>
      </c>
      <c r="F1640">
        <v>1</v>
      </c>
      <c r="G1640">
        <v>8820</v>
      </c>
      <c r="H1640">
        <v>8820</v>
      </c>
      <c r="I1640" s="4">
        <v>38686</v>
      </c>
      <c r="J1640" s="5">
        <f t="shared" si="50"/>
        <v>-41</v>
      </c>
      <c r="K1640" s="6" t="str">
        <f t="shared" si="51"/>
        <v>A~0</v>
      </c>
      <c r="L1640" t="str">
        <f>IF(J1640&lt;0,"A~0",VLOOKUP(J1640,[1]作法V!$B$1:$C$9,2,TRUE))</f>
        <v>A~0</v>
      </c>
    </row>
    <row r="1641" spans="1:12">
      <c r="A1641">
        <v>1135</v>
      </c>
      <c r="B1641" t="s">
        <v>26</v>
      </c>
      <c r="C1641" s="3">
        <v>38575</v>
      </c>
      <c r="D1641" s="3">
        <v>38727</v>
      </c>
      <c r="E1641" t="s">
        <v>18</v>
      </c>
      <c r="F1641">
        <v>1</v>
      </c>
      <c r="G1641">
        <v>8820</v>
      </c>
      <c r="H1641">
        <v>8820</v>
      </c>
      <c r="I1641" s="4">
        <v>38686</v>
      </c>
      <c r="J1641" s="5">
        <f t="shared" si="50"/>
        <v>-41</v>
      </c>
      <c r="K1641" s="6" t="str">
        <f t="shared" si="51"/>
        <v>A~0</v>
      </c>
      <c r="L1641" t="str">
        <f>IF(J1641&lt;0,"A~0",VLOOKUP(J1641,[1]作法V!$B$1:$C$9,2,TRUE))</f>
        <v>A~0</v>
      </c>
    </row>
    <row r="1642" spans="1:12">
      <c r="A1642">
        <v>1135</v>
      </c>
      <c r="B1642" t="s">
        <v>26</v>
      </c>
      <c r="C1642" s="3">
        <v>38575</v>
      </c>
      <c r="D1642" s="3">
        <v>38727</v>
      </c>
      <c r="E1642" t="s">
        <v>18</v>
      </c>
      <c r="F1642">
        <v>1</v>
      </c>
      <c r="G1642">
        <v>8820</v>
      </c>
      <c r="H1642">
        <v>8820</v>
      </c>
      <c r="I1642" s="4">
        <v>38686</v>
      </c>
      <c r="J1642" s="5">
        <f t="shared" si="50"/>
        <v>-41</v>
      </c>
      <c r="K1642" s="6" t="str">
        <f t="shared" si="51"/>
        <v>A~0</v>
      </c>
      <c r="L1642" t="str">
        <f>IF(J1642&lt;0,"A~0",VLOOKUP(J1642,[1]作法V!$B$1:$C$9,2,TRUE))</f>
        <v>A~0</v>
      </c>
    </row>
    <row r="1643" spans="1:12">
      <c r="A1643">
        <v>1135</v>
      </c>
      <c r="B1643" t="s">
        <v>26</v>
      </c>
      <c r="C1643" s="3">
        <v>38575</v>
      </c>
      <c r="D1643" s="3">
        <v>38727</v>
      </c>
      <c r="E1643" t="s">
        <v>18</v>
      </c>
      <c r="F1643">
        <v>1</v>
      </c>
      <c r="G1643">
        <v>23861</v>
      </c>
      <c r="H1643">
        <v>23861</v>
      </c>
      <c r="I1643" s="4">
        <v>38686</v>
      </c>
      <c r="J1643" s="5">
        <f t="shared" si="50"/>
        <v>-41</v>
      </c>
      <c r="K1643" s="6" t="str">
        <f t="shared" si="51"/>
        <v>A~0</v>
      </c>
      <c r="L1643" t="str">
        <f>IF(J1643&lt;0,"A~0",VLOOKUP(J1643,[1]作法V!$B$1:$C$9,2,TRUE))</f>
        <v>A~0</v>
      </c>
    </row>
    <row r="1644" spans="1:12">
      <c r="A1644">
        <v>1135</v>
      </c>
      <c r="B1644" t="s">
        <v>26</v>
      </c>
      <c r="C1644" s="3">
        <v>38575</v>
      </c>
      <c r="D1644" s="3">
        <v>38727</v>
      </c>
      <c r="E1644" t="s">
        <v>18</v>
      </c>
      <c r="F1644">
        <v>1</v>
      </c>
      <c r="G1644">
        <v>29988</v>
      </c>
      <c r="H1644">
        <v>29988</v>
      </c>
      <c r="I1644" s="4">
        <v>38686</v>
      </c>
      <c r="J1644" s="5">
        <f t="shared" si="50"/>
        <v>-41</v>
      </c>
      <c r="K1644" s="6" t="str">
        <f t="shared" si="51"/>
        <v>A~0</v>
      </c>
      <c r="L1644" t="str">
        <f>IF(J1644&lt;0,"A~0",VLOOKUP(J1644,[1]作法V!$B$1:$C$9,2,TRUE))</f>
        <v>A~0</v>
      </c>
    </row>
    <row r="1645" spans="1:12">
      <c r="A1645">
        <v>1135</v>
      </c>
      <c r="B1645" t="s">
        <v>26</v>
      </c>
      <c r="C1645" s="3">
        <v>38575</v>
      </c>
      <c r="D1645" s="3">
        <v>38727</v>
      </c>
      <c r="E1645" t="s">
        <v>18</v>
      </c>
      <c r="F1645">
        <v>1</v>
      </c>
      <c r="G1645">
        <v>15000</v>
      </c>
      <c r="H1645">
        <v>15000</v>
      </c>
      <c r="I1645" s="4">
        <v>38686</v>
      </c>
      <c r="J1645" s="5">
        <f t="shared" si="50"/>
        <v>-41</v>
      </c>
      <c r="K1645" s="6" t="str">
        <f t="shared" si="51"/>
        <v>A~0</v>
      </c>
      <c r="L1645" t="str">
        <f>IF(J1645&lt;0,"A~0",VLOOKUP(J1645,[1]作法V!$B$1:$C$9,2,TRUE))</f>
        <v>A~0</v>
      </c>
    </row>
    <row r="1646" spans="1:12">
      <c r="A1646">
        <v>1135</v>
      </c>
      <c r="B1646" t="s">
        <v>26</v>
      </c>
      <c r="C1646" s="3">
        <v>38575</v>
      </c>
      <c r="D1646" s="3">
        <v>38727</v>
      </c>
      <c r="E1646" t="s">
        <v>18</v>
      </c>
      <c r="F1646">
        <v>1</v>
      </c>
      <c r="G1646">
        <v>901</v>
      </c>
      <c r="H1646">
        <v>901</v>
      </c>
      <c r="I1646" s="4">
        <v>38686</v>
      </c>
      <c r="J1646" s="5">
        <f t="shared" si="50"/>
        <v>-41</v>
      </c>
      <c r="K1646" s="6" t="str">
        <f t="shared" si="51"/>
        <v>A~0</v>
      </c>
      <c r="L1646" t="str">
        <f>IF(J1646&lt;0,"A~0",VLOOKUP(J1646,[1]作法V!$B$1:$C$9,2,TRUE))</f>
        <v>A~0</v>
      </c>
    </row>
    <row r="1647" spans="1:12">
      <c r="A1647">
        <v>1135</v>
      </c>
      <c r="B1647" t="s">
        <v>26</v>
      </c>
      <c r="C1647" s="3">
        <v>38575</v>
      </c>
      <c r="D1647" s="3">
        <v>38727</v>
      </c>
      <c r="E1647" t="s">
        <v>18</v>
      </c>
      <c r="F1647">
        <v>1</v>
      </c>
      <c r="G1647">
        <v>60480</v>
      </c>
      <c r="H1647">
        <v>60480</v>
      </c>
      <c r="I1647" s="4">
        <v>38686</v>
      </c>
      <c r="J1647" s="5">
        <f t="shared" si="50"/>
        <v>-41</v>
      </c>
      <c r="K1647" s="6" t="str">
        <f t="shared" si="51"/>
        <v>A~0</v>
      </c>
      <c r="L1647" t="str">
        <f>IF(J1647&lt;0,"A~0",VLOOKUP(J1647,[1]作法V!$B$1:$C$9,2,TRUE))</f>
        <v>A~0</v>
      </c>
    </row>
    <row r="1648" spans="1:12">
      <c r="A1648">
        <v>1135</v>
      </c>
      <c r="B1648" t="s">
        <v>26</v>
      </c>
      <c r="C1648" s="3">
        <v>38581</v>
      </c>
      <c r="D1648" s="3">
        <v>38727</v>
      </c>
      <c r="E1648" t="s">
        <v>18</v>
      </c>
      <c r="F1648">
        <v>1</v>
      </c>
      <c r="G1648">
        <v>33000</v>
      </c>
      <c r="H1648">
        <v>33000</v>
      </c>
      <c r="I1648" s="4">
        <v>38686</v>
      </c>
      <c r="J1648" s="5">
        <f t="shared" si="50"/>
        <v>-41</v>
      </c>
      <c r="K1648" s="6" t="str">
        <f t="shared" si="51"/>
        <v>A~0</v>
      </c>
      <c r="L1648" t="str">
        <f>IF(J1648&lt;0,"A~0",VLOOKUP(J1648,[1]作法V!$B$1:$C$9,2,TRUE))</f>
        <v>A~0</v>
      </c>
    </row>
    <row r="1649" spans="1:12">
      <c r="A1649">
        <v>1135</v>
      </c>
      <c r="B1649" t="s">
        <v>26</v>
      </c>
      <c r="C1649" s="3">
        <v>38581</v>
      </c>
      <c r="D1649" s="3">
        <v>38727</v>
      </c>
      <c r="E1649" t="s">
        <v>18</v>
      </c>
      <c r="F1649">
        <v>1</v>
      </c>
      <c r="G1649">
        <v>7020</v>
      </c>
      <c r="H1649">
        <v>7020</v>
      </c>
      <c r="I1649" s="4">
        <v>38686</v>
      </c>
      <c r="J1649" s="5">
        <f t="shared" si="50"/>
        <v>-41</v>
      </c>
      <c r="K1649" s="6" t="str">
        <f t="shared" si="51"/>
        <v>A~0</v>
      </c>
      <c r="L1649" t="str">
        <f>IF(J1649&lt;0,"A~0",VLOOKUP(J1649,[1]作法V!$B$1:$C$9,2,TRUE))</f>
        <v>A~0</v>
      </c>
    </row>
    <row r="1650" spans="1:12">
      <c r="A1650">
        <v>1135</v>
      </c>
      <c r="B1650" t="s">
        <v>26</v>
      </c>
      <c r="C1650" s="3">
        <v>38582</v>
      </c>
      <c r="D1650" s="3">
        <v>38727</v>
      </c>
      <c r="E1650" t="s">
        <v>18</v>
      </c>
      <c r="F1650">
        <v>1</v>
      </c>
      <c r="G1650">
        <v>36225</v>
      </c>
      <c r="H1650">
        <v>36225</v>
      </c>
      <c r="I1650" s="4">
        <v>38686</v>
      </c>
      <c r="J1650" s="5">
        <f t="shared" si="50"/>
        <v>-41</v>
      </c>
      <c r="K1650" s="6" t="str">
        <f t="shared" si="51"/>
        <v>A~0</v>
      </c>
      <c r="L1650" t="str">
        <f>IF(J1650&lt;0,"A~0",VLOOKUP(J1650,[1]作法V!$B$1:$C$9,2,TRUE))</f>
        <v>A~0</v>
      </c>
    </row>
    <row r="1651" spans="1:12">
      <c r="A1651">
        <v>1135</v>
      </c>
      <c r="B1651" t="s">
        <v>26</v>
      </c>
      <c r="C1651" s="3">
        <v>38582</v>
      </c>
      <c r="D1651" s="3">
        <v>38727</v>
      </c>
      <c r="E1651" t="s">
        <v>18</v>
      </c>
      <c r="F1651">
        <v>1</v>
      </c>
      <c r="G1651">
        <v>21840</v>
      </c>
      <c r="H1651">
        <v>21840</v>
      </c>
      <c r="I1651" s="4">
        <v>38686</v>
      </c>
      <c r="J1651" s="5">
        <f t="shared" si="50"/>
        <v>-41</v>
      </c>
      <c r="K1651" s="6" t="str">
        <f t="shared" si="51"/>
        <v>A~0</v>
      </c>
      <c r="L1651" t="str">
        <f>IF(J1651&lt;0,"A~0",VLOOKUP(J1651,[1]作法V!$B$1:$C$9,2,TRUE))</f>
        <v>A~0</v>
      </c>
    </row>
    <row r="1652" spans="1:12">
      <c r="A1652">
        <v>1135</v>
      </c>
      <c r="B1652" t="s">
        <v>26</v>
      </c>
      <c r="C1652" s="3">
        <v>38582</v>
      </c>
      <c r="D1652" s="3">
        <v>38727</v>
      </c>
      <c r="E1652" t="s">
        <v>18</v>
      </c>
      <c r="F1652">
        <v>1</v>
      </c>
      <c r="G1652">
        <v>5250</v>
      </c>
      <c r="H1652">
        <v>5250</v>
      </c>
      <c r="I1652" s="4">
        <v>38686</v>
      </c>
      <c r="J1652" s="5">
        <f t="shared" si="50"/>
        <v>-41</v>
      </c>
      <c r="K1652" s="6" t="str">
        <f t="shared" si="51"/>
        <v>A~0</v>
      </c>
      <c r="L1652" t="str">
        <f>IF(J1652&lt;0,"A~0",VLOOKUP(J1652,[1]作法V!$B$1:$C$9,2,TRUE))</f>
        <v>A~0</v>
      </c>
    </row>
    <row r="1653" spans="1:12">
      <c r="A1653">
        <v>1135</v>
      </c>
      <c r="B1653" t="s">
        <v>26</v>
      </c>
      <c r="C1653" s="3">
        <v>38582</v>
      </c>
      <c r="D1653" s="3">
        <v>38727</v>
      </c>
      <c r="E1653" t="s">
        <v>18</v>
      </c>
      <c r="F1653">
        <v>1</v>
      </c>
      <c r="G1653">
        <v>89250</v>
      </c>
      <c r="H1653">
        <v>89250</v>
      </c>
      <c r="I1653" s="4">
        <v>38686</v>
      </c>
      <c r="J1653" s="5">
        <f t="shared" si="50"/>
        <v>-41</v>
      </c>
      <c r="K1653" s="6" t="str">
        <f t="shared" si="51"/>
        <v>A~0</v>
      </c>
      <c r="L1653" t="str">
        <f>IF(J1653&lt;0,"A~0",VLOOKUP(J1653,[1]作法V!$B$1:$C$9,2,TRUE))</f>
        <v>A~0</v>
      </c>
    </row>
    <row r="1654" spans="1:12">
      <c r="A1654">
        <v>1135</v>
      </c>
      <c r="B1654" t="s">
        <v>26</v>
      </c>
      <c r="C1654" s="3">
        <v>38582</v>
      </c>
      <c r="D1654" s="3">
        <v>38727</v>
      </c>
      <c r="E1654" t="s">
        <v>18</v>
      </c>
      <c r="F1654">
        <v>1</v>
      </c>
      <c r="G1654">
        <v>35280</v>
      </c>
      <c r="H1654">
        <v>35280</v>
      </c>
      <c r="I1654" s="4">
        <v>38686</v>
      </c>
      <c r="J1654" s="5">
        <f t="shared" si="50"/>
        <v>-41</v>
      </c>
      <c r="K1654" s="6" t="str">
        <f t="shared" si="51"/>
        <v>A~0</v>
      </c>
      <c r="L1654" t="str">
        <f>IF(J1654&lt;0,"A~0",VLOOKUP(J1654,[1]作法V!$B$1:$C$9,2,TRUE))</f>
        <v>A~0</v>
      </c>
    </row>
    <row r="1655" spans="1:12">
      <c r="A1655">
        <v>1135</v>
      </c>
      <c r="B1655" t="s">
        <v>26</v>
      </c>
      <c r="C1655" s="3">
        <v>38582</v>
      </c>
      <c r="D1655" s="3">
        <v>38727</v>
      </c>
      <c r="E1655" t="s">
        <v>18</v>
      </c>
      <c r="F1655">
        <v>1</v>
      </c>
      <c r="G1655">
        <v>24297</v>
      </c>
      <c r="H1655">
        <v>24297</v>
      </c>
      <c r="I1655" s="4">
        <v>38686</v>
      </c>
      <c r="J1655" s="5">
        <f t="shared" si="50"/>
        <v>-41</v>
      </c>
      <c r="K1655" s="6" t="str">
        <f t="shared" si="51"/>
        <v>A~0</v>
      </c>
      <c r="L1655" t="str">
        <f>IF(J1655&lt;0,"A~0",VLOOKUP(J1655,[1]作法V!$B$1:$C$9,2,TRUE))</f>
        <v>A~0</v>
      </c>
    </row>
    <row r="1656" spans="1:12">
      <c r="A1656">
        <v>1135</v>
      </c>
      <c r="B1656" t="s">
        <v>26</v>
      </c>
      <c r="C1656" s="3">
        <v>38582</v>
      </c>
      <c r="D1656" s="3">
        <v>38727</v>
      </c>
      <c r="E1656" t="s">
        <v>18</v>
      </c>
      <c r="F1656">
        <v>1</v>
      </c>
      <c r="G1656">
        <v>35280</v>
      </c>
      <c r="H1656">
        <v>35280</v>
      </c>
      <c r="I1656" s="4">
        <v>38686</v>
      </c>
      <c r="J1656" s="5">
        <f t="shared" si="50"/>
        <v>-41</v>
      </c>
      <c r="K1656" s="6" t="str">
        <f t="shared" si="51"/>
        <v>A~0</v>
      </c>
      <c r="L1656" t="str">
        <f>IF(J1656&lt;0,"A~0",VLOOKUP(J1656,[1]作法V!$B$1:$C$9,2,TRUE))</f>
        <v>A~0</v>
      </c>
    </row>
    <row r="1657" spans="1:12">
      <c r="A1657">
        <v>1135</v>
      </c>
      <c r="B1657" t="s">
        <v>26</v>
      </c>
      <c r="C1657" s="3">
        <v>38582</v>
      </c>
      <c r="D1657" s="3">
        <v>38727</v>
      </c>
      <c r="E1657" t="s">
        <v>18</v>
      </c>
      <c r="F1657">
        <v>1</v>
      </c>
      <c r="G1657">
        <v>12600</v>
      </c>
      <c r="H1657">
        <v>12600</v>
      </c>
      <c r="I1657" s="4">
        <v>38686</v>
      </c>
      <c r="J1657" s="5">
        <f t="shared" si="50"/>
        <v>-41</v>
      </c>
      <c r="K1657" s="6" t="str">
        <f t="shared" si="51"/>
        <v>A~0</v>
      </c>
      <c r="L1657" t="str">
        <f>IF(J1657&lt;0,"A~0",VLOOKUP(J1657,[1]作法V!$B$1:$C$9,2,TRUE))</f>
        <v>A~0</v>
      </c>
    </row>
    <row r="1658" spans="1:12">
      <c r="A1658">
        <v>1135</v>
      </c>
      <c r="B1658" t="s">
        <v>26</v>
      </c>
      <c r="C1658" s="3">
        <v>38582</v>
      </c>
      <c r="D1658" s="3">
        <v>38727</v>
      </c>
      <c r="E1658" t="s">
        <v>18</v>
      </c>
      <c r="F1658">
        <v>1</v>
      </c>
      <c r="G1658">
        <v>38766</v>
      </c>
      <c r="H1658">
        <v>38766</v>
      </c>
      <c r="I1658" s="4">
        <v>38686</v>
      </c>
      <c r="J1658" s="5">
        <f t="shared" si="50"/>
        <v>-41</v>
      </c>
      <c r="K1658" s="6" t="str">
        <f t="shared" si="51"/>
        <v>A~0</v>
      </c>
      <c r="L1658" t="str">
        <f>IF(J1658&lt;0,"A~0",VLOOKUP(J1658,[1]作法V!$B$1:$C$9,2,TRUE))</f>
        <v>A~0</v>
      </c>
    </row>
    <row r="1659" spans="1:12">
      <c r="A1659">
        <v>1135</v>
      </c>
      <c r="B1659" t="s">
        <v>26</v>
      </c>
      <c r="C1659" s="3">
        <v>38582</v>
      </c>
      <c r="D1659" s="3">
        <v>38727</v>
      </c>
      <c r="E1659" t="s">
        <v>18</v>
      </c>
      <c r="F1659">
        <v>1</v>
      </c>
      <c r="G1659">
        <v>8820</v>
      </c>
      <c r="H1659">
        <v>8820</v>
      </c>
      <c r="I1659" s="4">
        <v>38686</v>
      </c>
      <c r="J1659" s="5">
        <f t="shared" si="50"/>
        <v>-41</v>
      </c>
      <c r="K1659" s="6" t="str">
        <f t="shared" si="51"/>
        <v>A~0</v>
      </c>
      <c r="L1659" t="str">
        <f>IF(J1659&lt;0,"A~0",VLOOKUP(J1659,[1]作法V!$B$1:$C$9,2,TRUE))</f>
        <v>A~0</v>
      </c>
    </row>
    <row r="1660" spans="1:12">
      <c r="A1660">
        <v>1135</v>
      </c>
      <c r="B1660" t="s">
        <v>26</v>
      </c>
      <c r="C1660" s="3">
        <v>38583</v>
      </c>
      <c r="D1660" s="3">
        <v>38727</v>
      </c>
      <c r="E1660" t="s">
        <v>18</v>
      </c>
      <c r="F1660">
        <v>1</v>
      </c>
      <c r="G1660">
        <v>180000</v>
      </c>
      <c r="H1660">
        <v>180000</v>
      </c>
      <c r="I1660" s="4">
        <v>38686</v>
      </c>
      <c r="J1660" s="5">
        <f t="shared" si="50"/>
        <v>-41</v>
      </c>
      <c r="K1660" s="6" t="str">
        <f t="shared" si="51"/>
        <v>A~0</v>
      </c>
      <c r="L1660" t="str">
        <f>IF(J1660&lt;0,"A~0",VLOOKUP(J1660,[1]作法V!$B$1:$C$9,2,TRUE))</f>
        <v>A~0</v>
      </c>
    </row>
    <row r="1661" spans="1:12">
      <c r="A1661">
        <v>1135</v>
      </c>
      <c r="B1661" t="s">
        <v>26</v>
      </c>
      <c r="C1661" s="3">
        <v>38586</v>
      </c>
      <c r="D1661" s="3">
        <v>38727</v>
      </c>
      <c r="E1661" t="s">
        <v>18</v>
      </c>
      <c r="F1661">
        <v>1</v>
      </c>
      <c r="G1661">
        <v>300000</v>
      </c>
      <c r="H1661">
        <v>300000</v>
      </c>
      <c r="I1661" s="4">
        <v>38686</v>
      </c>
      <c r="J1661" s="5">
        <f t="shared" si="50"/>
        <v>-41</v>
      </c>
      <c r="K1661" s="6" t="str">
        <f t="shared" si="51"/>
        <v>A~0</v>
      </c>
      <c r="L1661" t="str">
        <f>IF(J1661&lt;0,"A~0",VLOOKUP(J1661,[1]作法V!$B$1:$C$9,2,TRUE))</f>
        <v>A~0</v>
      </c>
    </row>
    <row r="1662" spans="1:12">
      <c r="A1662">
        <v>1135</v>
      </c>
      <c r="B1662" t="s">
        <v>26</v>
      </c>
      <c r="C1662" s="3">
        <v>38590</v>
      </c>
      <c r="D1662" s="3">
        <v>38727</v>
      </c>
      <c r="E1662" t="s">
        <v>18</v>
      </c>
      <c r="F1662">
        <v>1</v>
      </c>
      <c r="G1662">
        <v>34965</v>
      </c>
      <c r="H1662">
        <v>34965</v>
      </c>
      <c r="I1662" s="4">
        <v>38686</v>
      </c>
      <c r="J1662" s="5">
        <f t="shared" si="50"/>
        <v>-41</v>
      </c>
      <c r="K1662" s="6" t="str">
        <f t="shared" si="51"/>
        <v>A~0</v>
      </c>
      <c r="L1662" t="str">
        <f>IF(J1662&lt;0,"A~0",VLOOKUP(J1662,[1]作法V!$B$1:$C$9,2,TRUE))</f>
        <v>A~0</v>
      </c>
    </row>
    <row r="1663" spans="1:12">
      <c r="A1663">
        <v>1135</v>
      </c>
      <c r="B1663" t="s">
        <v>26</v>
      </c>
      <c r="C1663" s="3">
        <v>38590</v>
      </c>
      <c r="D1663" s="3">
        <v>38758</v>
      </c>
      <c r="E1663" t="s">
        <v>18</v>
      </c>
      <c r="F1663">
        <v>1</v>
      </c>
      <c r="G1663">
        <v>91728</v>
      </c>
      <c r="H1663">
        <v>91728</v>
      </c>
      <c r="I1663" s="4">
        <v>38686</v>
      </c>
      <c r="J1663" s="5">
        <f t="shared" si="50"/>
        <v>-72</v>
      </c>
      <c r="K1663" s="6" t="str">
        <f t="shared" si="51"/>
        <v>A~0</v>
      </c>
      <c r="L1663" t="str">
        <f>IF(J1663&lt;0,"A~0",VLOOKUP(J1663,[1]作法V!$B$1:$C$9,2,TRUE))</f>
        <v>A~0</v>
      </c>
    </row>
    <row r="1664" spans="1:12">
      <c r="A1664">
        <v>1135</v>
      </c>
      <c r="B1664" t="s">
        <v>26</v>
      </c>
      <c r="C1664" s="3">
        <v>38590</v>
      </c>
      <c r="D1664" s="3">
        <v>38758</v>
      </c>
      <c r="E1664" t="s">
        <v>18</v>
      </c>
      <c r="F1664">
        <v>1</v>
      </c>
      <c r="G1664">
        <v>182784</v>
      </c>
      <c r="H1664">
        <v>182784</v>
      </c>
      <c r="I1664" s="4">
        <v>38686</v>
      </c>
      <c r="J1664" s="5">
        <f t="shared" si="50"/>
        <v>-72</v>
      </c>
      <c r="K1664" s="6" t="str">
        <f t="shared" si="51"/>
        <v>A~0</v>
      </c>
      <c r="L1664" t="str">
        <f>IF(J1664&lt;0,"A~0",VLOOKUP(J1664,[1]作法V!$B$1:$C$9,2,TRUE))</f>
        <v>A~0</v>
      </c>
    </row>
    <row r="1665" spans="1:12">
      <c r="A1665">
        <v>1135</v>
      </c>
      <c r="B1665" t="s">
        <v>26</v>
      </c>
      <c r="C1665" s="3">
        <v>38590</v>
      </c>
      <c r="D1665" s="3">
        <v>38758</v>
      </c>
      <c r="E1665" t="s">
        <v>18</v>
      </c>
      <c r="F1665">
        <v>1</v>
      </c>
      <c r="G1665">
        <v>35280</v>
      </c>
      <c r="H1665">
        <v>35280</v>
      </c>
      <c r="I1665" s="4">
        <v>38686</v>
      </c>
      <c r="J1665" s="5">
        <f t="shared" si="50"/>
        <v>-72</v>
      </c>
      <c r="K1665" s="6" t="str">
        <f t="shared" si="51"/>
        <v>A~0</v>
      </c>
      <c r="L1665" t="str">
        <f>IF(J1665&lt;0,"A~0",VLOOKUP(J1665,[1]作法V!$B$1:$C$9,2,TRUE))</f>
        <v>A~0</v>
      </c>
    </row>
    <row r="1666" spans="1:12">
      <c r="A1666">
        <v>1135</v>
      </c>
      <c r="B1666" t="s">
        <v>26</v>
      </c>
      <c r="C1666" s="3">
        <v>38590</v>
      </c>
      <c r="D1666" s="3">
        <v>38758</v>
      </c>
      <c r="E1666" t="s">
        <v>18</v>
      </c>
      <c r="F1666">
        <v>1</v>
      </c>
      <c r="G1666">
        <v>13650</v>
      </c>
      <c r="H1666">
        <v>13650</v>
      </c>
      <c r="I1666" s="4">
        <v>38686</v>
      </c>
      <c r="J1666" s="5">
        <f t="shared" ref="J1666:J1729" si="52">I1666-D1666</f>
        <v>-72</v>
      </c>
      <c r="K1666" s="6" t="str">
        <f t="shared" ref="K1666:K1729" si="53">IF(J1666&lt;1,"A~0",IF(J1666&lt;31,"B1~30",IF(J1666&lt;61,"C31~60",IF(J1666&lt;91,"D61~90",IF(J1666&lt;121,"E91~120",IF(J1666&lt;181,"F121~180",IF(J1666&lt;361,"G181~360","H361~")))))))</f>
        <v>A~0</v>
      </c>
      <c r="L1666" t="str">
        <f>IF(J1666&lt;0,"A~0",VLOOKUP(J1666,[1]作法V!$B$1:$C$9,2,TRUE))</f>
        <v>A~0</v>
      </c>
    </row>
    <row r="1667" spans="1:12">
      <c r="A1667">
        <v>1135</v>
      </c>
      <c r="B1667" t="s">
        <v>26</v>
      </c>
      <c r="C1667" s="3">
        <v>38590</v>
      </c>
      <c r="D1667" s="3">
        <v>38758</v>
      </c>
      <c r="E1667" t="s">
        <v>18</v>
      </c>
      <c r="F1667">
        <v>1</v>
      </c>
      <c r="G1667">
        <v>420000</v>
      </c>
      <c r="H1667">
        <v>420000</v>
      </c>
      <c r="I1667" s="4">
        <v>38686</v>
      </c>
      <c r="J1667" s="5">
        <f t="shared" si="52"/>
        <v>-72</v>
      </c>
      <c r="K1667" s="6" t="str">
        <f t="shared" si="53"/>
        <v>A~0</v>
      </c>
      <c r="L1667" t="str">
        <f>IF(J1667&lt;0,"A~0",VLOOKUP(J1667,[1]作法V!$B$1:$C$9,2,TRUE))</f>
        <v>A~0</v>
      </c>
    </row>
    <row r="1668" spans="1:12">
      <c r="A1668">
        <v>1135</v>
      </c>
      <c r="B1668" t="s">
        <v>26</v>
      </c>
      <c r="C1668" s="3">
        <v>38590</v>
      </c>
      <c r="D1668" s="3">
        <v>38758</v>
      </c>
      <c r="E1668" t="s">
        <v>18</v>
      </c>
      <c r="F1668">
        <v>1</v>
      </c>
      <c r="G1668">
        <v>2520</v>
      </c>
      <c r="H1668">
        <v>2520</v>
      </c>
      <c r="I1668" s="4">
        <v>38686</v>
      </c>
      <c r="J1668" s="5">
        <f t="shared" si="52"/>
        <v>-72</v>
      </c>
      <c r="K1668" s="6" t="str">
        <f t="shared" si="53"/>
        <v>A~0</v>
      </c>
      <c r="L1668" t="str">
        <f>IF(J1668&lt;0,"A~0",VLOOKUP(J1668,[1]作法V!$B$1:$C$9,2,TRUE))</f>
        <v>A~0</v>
      </c>
    </row>
    <row r="1669" spans="1:12">
      <c r="A1669">
        <v>1135</v>
      </c>
      <c r="B1669" t="s">
        <v>26</v>
      </c>
      <c r="C1669" s="3">
        <v>38590</v>
      </c>
      <c r="D1669" s="3">
        <v>38758</v>
      </c>
      <c r="E1669" t="s">
        <v>18</v>
      </c>
      <c r="F1669">
        <v>1</v>
      </c>
      <c r="G1669">
        <v>6825</v>
      </c>
      <c r="H1669">
        <v>6825</v>
      </c>
      <c r="I1669" s="4">
        <v>38686</v>
      </c>
      <c r="J1669" s="5">
        <f t="shared" si="52"/>
        <v>-72</v>
      </c>
      <c r="K1669" s="6" t="str">
        <f t="shared" si="53"/>
        <v>A~0</v>
      </c>
      <c r="L1669" t="str">
        <f>IF(J1669&lt;0,"A~0",VLOOKUP(J1669,[1]作法V!$B$1:$C$9,2,TRUE))</f>
        <v>A~0</v>
      </c>
    </row>
    <row r="1670" spans="1:12">
      <c r="A1670">
        <v>1135</v>
      </c>
      <c r="B1670" t="s">
        <v>26</v>
      </c>
      <c r="C1670" s="3">
        <v>38590</v>
      </c>
      <c r="D1670" s="3">
        <v>38758</v>
      </c>
      <c r="E1670" t="s">
        <v>18</v>
      </c>
      <c r="F1670">
        <v>1</v>
      </c>
      <c r="G1670">
        <v>126000</v>
      </c>
      <c r="H1670">
        <v>126000</v>
      </c>
      <c r="I1670" s="4">
        <v>38686</v>
      </c>
      <c r="J1670" s="5">
        <f t="shared" si="52"/>
        <v>-72</v>
      </c>
      <c r="K1670" s="6" t="str">
        <f t="shared" si="53"/>
        <v>A~0</v>
      </c>
      <c r="L1670" t="str">
        <f>IF(J1670&lt;0,"A~0",VLOOKUP(J1670,[1]作法V!$B$1:$C$9,2,TRUE))</f>
        <v>A~0</v>
      </c>
    </row>
    <row r="1671" spans="1:12">
      <c r="A1671">
        <v>1135</v>
      </c>
      <c r="B1671" t="s">
        <v>26</v>
      </c>
      <c r="C1671" s="3">
        <v>38590</v>
      </c>
      <c r="D1671" s="3">
        <v>38758</v>
      </c>
      <c r="E1671" t="s">
        <v>18</v>
      </c>
      <c r="F1671">
        <v>1</v>
      </c>
      <c r="G1671">
        <v>81900</v>
      </c>
      <c r="H1671">
        <v>81900</v>
      </c>
      <c r="I1671" s="4">
        <v>38686</v>
      </c>
      <c r="J1671" s="5">
        <f t="shared" si="52"/>
        <v>-72</v>
      </c>
      <c r="K1671" s="6" t="str">
        <f t="shared" si="53"/>
        <v>A~0</v>
      </c>
      <c r="L1671" t="str">
        <f>IF(J1671&lt;0,"A~0",VLOOKUP(J1671,[1]作法V!$B$1:$C$9,2,TRUE))</f>
        <v>A~0</v>
      </c>
    </row>
    <row r="1672" spans="1:12">
      <c r="A1672">
        <v>1135</v>
      </c>
      <c r="B1672" t="s">
        <v>26</v>
      </c>
      <c r="C1672" s="3">
        <v>38590</v>
      </c>
      <c r="D1672" s="3">
        <v>38758</v>
      </c>
      <c r="E1672" t="s">
        <v>18</v>
      </c>
      <c r="F1672">
        <v>1</v>
      </c>
      <c r="G1672">
        <v>6300</v>
      </c>
      <c r="H1672">
        <v>6300</v>
      </c>
      <c r="I1672" s="4">
        <v>38686</v>
      </c>
      <c r="J1672" s="5">
        <f t="shared" si="52"/>
        <v>-72</v>
      </c>
      <c r="K1672" s="6" t="str">
        <f t="shared" si="53"/>
        <v>A~0</v>
      </c>
      <c r="L1672" t="str">
        <f>IF(J1672&lt;0,"A~0",VLOOKUP(J1672,[1]作法V!$B$1:$C$9,2,TRUE))</f>
        <v>A~0</v>
      </c>
    </row>
    <row r="1673" spans="1:12">
      <c r="A1673">
        <v>1135</v>
      </c>
      <c r="B1673" t="s">
        <v>26</v>
      </c>
      <c r="C1673" s="3">
        <v>38590</v>
      </c>
      <c r="D1673" s="3">
        <v>38758</v>
      </c>
      <c r="E1673" t="s">
        <v>18</v>
      </c>
      <c r="F1673">
        <v>1</v>
      </c>
      <c r="G1673">
        <v>12600</v>
      </c>
      <c r="H1673">
        <v>12600</v>
      </c>
      <c r="I1673" s="4">
        <v>38686</v>
      </c>
      <c r="J1673" s="5">
        <f t="shared" si="52"/>
        <v>-72</v>
      </c>
      <c r="K1673" s="6" t="str">
        <f t="shared" si="53"/>
        <v>A~0</v>
      </c>
      <c r="L1673" t="str">
        <f>IF(J1673&lt;0,"A~0",VLOOKUP(J1673,[1]作法V!$B$1:$C$9,2,TRUE))</f>
        <v>A~0</v>
      </c>
    </row>
    <row r="1674" spans="1:12">
      <c r="A1674">
        <v>1135</v>
      </c>
      <c r="B1674" t="s">
        <v>26</v>
      </c>
      <c r="C1674" s="3">
        <v>38590</v>
      </c>
      <c r="D1674" s="3">
        <v>38758</v>
      </c>
      <c r="E1674" t="s">
        <v>18</v>
      </c>
      <c r="F1674">
        <v>1</v>
      </c>
      <c r="G1674">
        <v>25200</v>
      </c>
      <c r="H1674">
        <v>25200</v>
      </c>
      <c r="I1674" s="4">
        <v>38686</v>
      </c>
      <c r="J1674" s="5">
        <f t="shared" si="52"/>
        <v>-72</v>
      </c>
      <c r="K1674" s="6" t="str">
        <f t="shared" si="53"/>
        <v>A~0</v>
      </c>
      <c r="L1674" t="str">
        <f>IF(J1674&lt;0,"A~0",VLOOKUP(J1674,[1]作法V!$B$1:$C$9,2,TRUE))</f>
        <v>A~0</v>
      </c>
    </row>
    <row r="1675" spans="1:12">
      <c r="A1675">
        <v>1135</v>
      </c>
      <c r="B1675" t="s">
        <v>26</v>
      </c>
      <c r="C1675" s="3">
        <v>38590</v>
      </c>
      <c r="D1675" s="3">
        <v>38758</v>
      </c>
      <c r="E1675" t="s">
        <v>18</v>
      </c>
      <c r="F1675">
        <v>1</v>
      </c>
      <c r="G1675">
        <v>52500</v>
      </c>
      <c r="H1675">
        <v>52500</v>
      </c>
      <c r="I1675" s="4">
        <v>38686</v>
      </c>
      <c r="J1675" s="5">
        <f t="shared" si="52"/>
        <v>-72</v>
      </c>
      <c r="K1675" s="6" t="str">
        <f t="shared" si="53"/>
        <v>A~0</v>
      </c>
      <c r="L1675" t="str">
        <f>IF(J1675&lt;0,"A~0",VLOOKUP(J1675,[1]作法V!$B$1:$C$9,2,TRUE))</f>
        <v>A~0</v>
      </c>
    </row>
    <row r="1676" spans="1:12">
      <c r="A1676">
        <v>1135</v>
      </c>
      <c r="B1676" t="s">
        <v>26</v>
      </c>
      <c r="C1676" s="3">
        <v>38590</v>
      </c>
      <c r="D1676" s="3">
        <v>38758</v>
      </c>
      <c r="E1676" t="s">
        <v>18</v>
      </c>
      <c r="F1676">
        <v>1</v>
      </c>
      <c r="G1676">
        <v>83475</v>
      </c>
      <c r="H1676">
        <v>83475</v>
      </c>
      <c r="I1676" s="4">
        <v>38686</v>
      </c>
      <c r="J1676" s="5">
        <f t="shared" si="52"/>
        <v>-72</v>
      </c>
      <c r="K1676" s="6" t="str">
        <f t="shared" si="53"/>
        <v>A~0</v>
      </c>
      <c r="L1676" t="str">
        <f>IF(J1676&lt;0,"A~0",VLOOKUP(J1676,[1]作法V!$B$1:$C$9,2,TRUE))</f>
        <v>A~0</v>
      </c>
    </row>
    <row r="1677" spans="1:12">
      <c r="A1677">
        <v>1135</v>
      </c>
      <c r="B1677" t="s">
        <v>26</v>
      </c>
      <c r="C1677" s="3">
        <v>38590</v>
      </c>
      <c r="D1677" s="3">
        <v>38758</v>
      </c>
      <c r="E1677" t="s">
        <v>18</v>
      </c>
      <c r="F1677">
        <v>1</v>
      </c>
      <c r="G1677">
        <v>5040</v>
      </c>
      <c r="H1677">
        <v>5040</v>
      </c>
      <c r="I1677" s="4">
        <v>38686</v>
      </c>
      <c r="J1677" s="5">
        <f t="shared" si="52"/>
        <v>-72</v>
      </c>
      <c r="K1677" s="6" t="str">
        <f t="shared" si="53"/>
        <v>A~0</v>
      </c>
      <c r="L1677" t="str">
        <f>IF(J1677&lt;0,"A~0",VLOOKUP(J1677,[1]作法V!$B$1:$C$9,2,TRUE))</f>
        <v>A~0</v>
      </c>
    </row>
    <row r="1678" spans="1:12">
      <c r="A1678">
        <v>1135</v>
      </c>
      <c r="B1678" t="s">
        <v>26</v>
      </c>
      <c r="C1678" s="3">
        <v>38590</v>
      </c>
      <c r="D1678" s="3">
        <v>38758</v>
      </c>
      <c r="E1678" t="s">
        <v>18</v>
      </c>
      <c r="F1678">
        <v>1</v>
      </c>
      <c r="G1678">
        <v>15876</v>
      </c>
      <c r="H1678">
        <v>15876</v>
      </c>
      <c r="I1678" s="4">
        <v>38686</v>
      </c>
      <c r="J1678" s="5">
        <f t="shared" si="52"/>
        <v>-72</v>
      </c>
      <c r="K1678" s="6" t="str">
        <f t="shared" si="53"/>
        <v>A~0</v>
      </c>
      <c r="L1678" t="str">
        <f>IF(J1678&lt;0,"A~0",VLOOKUP(J1678,[1]作法V!$B$1:$C$9,2,TRUE))</f>
        <v>A~0</v>
      </c>
    </row>
    <row r="1679" spans="1:12">
      <c r="A1679">
        <v>1135</v>
      </c>
      <c r="B1679" t="s">
        <v>26</v>
      </c>
      <c r="C1679" s="3">
        <v>38590</v>
      </c>
      <c r="D1679" s="3">
        <v>38758</v>
      </c>
      <c r="E1679" t="s">
        <v>18</v>
      </c>
      <c r="F1679">
        <v>1</v>
      </c>
      <c r="G1679">
        <v>2268</v>
      </c>
      <c r="H1679">
        <v>2268</v>
      </c>
      <c r="I1679" s="4">
        <v>38686</v>
      </c>
      <c r="J1679" s="5">
        <f t="shared" si="52"/>
        <v>-72</v>
      </c>
      <c r="K1679" s="6" t="str">
        <f t="shared" si="53"/>
        <v>A~0</v>
      </c>
      <c r="L1679" t="str">
        <f>IF(J1679&lt;0,"A~0",VLOOKUP(J1679,[1]作法V!$B$1:$C$9,2,TRUE))</f>
        <v>A~0</v>
      </c>
    </row>
    <row r="1680" spans="1:12">
      <c r="A1680">
        <v>1135</v>
      </c>
      <c r="B1680" t="s">
        <v>26</v>
      </c>
      <c r="C1680" s="3">
        <v>38590</v>
      </c>
      <c r="D1680" s="3">
        <v>38758</v>
      </c>
      <c r="E1680" t="s">
        <v>18</v>
      </c>
      <c r="F1680">
        <v>1</v>
      </c>
      <c r="G1680">
        <v>122850</v>
      </c>
      <c r="H1680">
        <v>122850</v>
      </c>
      <c r="I1680" s="4">
        <v>38686</v>
      </c>
      <c r="J1680" s="5">
        <f t="shared" si="52"/>
        <v>-72</v>
      </c>
      <c r="K1680" s="6" t="str">
        <f t="shared" si="53"/>
        <v>A~0</v>
      </c>
      <c r="L1680" t="str">
        <f>IF(J1680&lt;0,"A~0",VLOOKUP(J1680,[1]作法V!$B$1:$C$9,2,TRUE))</f>
        <v>A~0</v>
      </c>
    </row>
    <row r="1681" spans="1:12">
      <c r="A1681">
        <v>1135</v>
      </c>
      <c r="B1681" t="s">
        <v>26</v>
      </c>
      <c r="C1681" s="3">
        <v>38590</v>
      </c>
      <c r="D1681" s="3">
        <v>38758</v>
      </c>
      <c r="E1681" t="s">
        <v>18</v>
      </c>
      <c r="F1681">
        <v>1</v>
      </c>
      <c r="G1681">
        <v>15750</v>
      </c>
      <c r="H1681">
        <v>15750</v>
      </c>
      <c r="I1681" s="4">
        <v>38686</v>
      </c>
      <c r="J1681" s="5">
        <f t="shared" si="52"/>
        <v>-72</v>
      </c>
      <c r="K1681" s="6" t="str">
        <f t="shared" si="53"/>
        <v>A~0</v>
      </c>
      <c r="L1681" t="str">
        <f>IF(J1681&lt;0,"A~0",VLOOKUP(J1681,[1]作法V!$B$1:$C$9,2,TRUE))</f>
        <v>A~0</v>
      </c>
    </row>
    <row r="1682" spans="1:12">
      <c r="A1682">
        <v>1135</v>
      </c>
      <c r="B1682" t="s">
        <v>26</v>
      </c>
      <c r="C1682" s="3">
        <v>38590</v>
      </c>
      <c r="D1682" s="3">
        <v>38758</v>
      </c>
      <c r="E1682" t="s">
        <v>18</v>
      </c>
      <c r="F1682">
        <v>1</v>
      </c>
      <c r="G1682">
        <v>4620</v>
      </c>
      <c r="H1682">
        <v>4620</v>
      </c>
      <c r="I1682" s="4">
        <v>38686</v>
      </c>
      <c r="J1682" s="5">
        <f t="shared" si="52"/>
        <v>-72</v>
      </c>
      <c r="K1682" s="6" t="str">
        <f t="shared" si="53"/>
        <v>A~0</v>
      </c>
      <c r="L1682" t="str">
        <f>IF(J1682&lt;0,"A~0",VLOOKUP(J1682,[1]作法V!$B$1:$C$9,2,TRUE))</f>
        <v>A~0</v>
      </c>
    </row>
    <row r="1683" spans="1:12">
      <c r="A1683">
        <v>1135</v>
      </c>
      <c r="B1683" t="s">
        <v>26</v>
      </c>
      <c r="C1683" s="3">
        <v>38590</v>
      </c>
      <c r="D1683" s="3">
        <v>38758</v>
      </c>
      <c r="E1683" t="s">
        <v>18</v>
      </c>
      <c r="F1683">
        <v>1</v>
      </c>
      <c r="G1683">
        <v>25200</v>
      </c>
      <c r="H1683">
        <v>25200</v>
      </c>
      <c r="I1683" s="4">
        <v>38686</v>
      </c>
      <c r="J1683" s="5">
        <f t="shared" si="52"/>
        <v>-72</v>
      </c>
      <c r="K1683" s="6" t="str">
        <f t="shared" si="53"/>
        <v>A~0</v>
      </c>
      <c r="L1683" t="str">
        <f>IF(J1683&lt;0,"A~0",VLOOKUP(J1683,[1]作法V!$B$1:$C$9,2,TRUE))</f>
        <v>A~0</v>
      </c>
    </row>
    <row r="1684" spans="1:12">
      <c r="A1684">
        <v>1135</v>
      </c>
      <c r="B1684" t="s">
        <v>26</v>
      </c>
      <c r="C1684" s="3">
        <v>38590</v>
      </c>
      <c r="D1684" s="3">
        <v>38758</v>
      </c>
      <c r="E1684" t="s">
        <v>18</v>
      </c>
      <c r="F1684">
        <v>1</v>
      </c>
      <c r="G1684">
        <v>13020</v>
      </c>
      <c r="H1684">
        <v>13020</v>
      </c>
      <c r="I1684" s="4">
        <v>38686</v>
      </c>
      <c r="J1684" s="5">
        <f t="shared" si="52"/>
        <v>-72</v>
      </c>
      <c r="K1684" s="6" t="str">
        <f t="shared" si="53"/>
        <v>A~0</v>
      </c>
      <c r="L1684" t="str">
        <f>IF(J1684&lt;0,"A~0",VLOOKUP(J1684,[1]作法V!$B$1:$C$9,2,TRUE))</f>
        <v>A~0</v>
      </c>
    </row>
    <row r="1685" spans="1:12">
      <c r="A1685">
        <v>1135</v>
      </c>
      <c r="B1685" t="s">
        <v>26</v>
      </c>
      <c r="C1685" s="3">
        <v>38590</v>
      </c>
      <c r="D1685" s="3">
        <v>38758</v>
      </c>
      <c r="E1685" t="s">
        <v>18</v>
      </c>
      <c r="F1685">
        <v>1</v>
      </c>
      <c r="G1685">
        <v>11025</v>
      </c>
      <c r="H1685">
        <v>11025</v>
      </c>
      <c r="I1685" s="4">
        <v>38686</v>
      </c>
      <c r="J1685" s="5">
        <f t="shared" si="52"/>
        <v>-72</v>
      </c>
      <c r="K1685" s="6" t="str">
        <f t="shared" si="53"/>
        <v>A~0</v>
      </c>
      <c r="L1685" t="str">
        <f>IF(J1685&lt;0,"A~0",VLOOKUP(J1685,[1]作法V!$B$1:$C$9,2,TRUE))</f>
        <v>A~0</v>
      </c>
    </row>
    <row r="1686" spans="1:12">
      <c r="A1686">
        <v>1135</v>
      </c>
      <c r="B1686" t="s">
        <v>26</v>
      </c>
      <c r="C1686" s="3">
        <v>38590</v>
      </c>
      <c r="D1686" s="3">
        <v>38758</v>
      </c>
      <c r="E1686" t="s">
        <v>18</v>
      </c>
      <c r="F1686">
        <v>1</v>
      </c>
      <c r="G1686">
        <v>11025</v>
      </c>
      <c r="H1686">
        <v>11025</v>
      </c>
      <c r="I1686" s="4">
        <v>38686</v>
      </c>
      <c r="J1686" s="5">
        <f t="shared" si="52"/>
        <v>-72</v>
      </c>
      <c r="K1686" s="6" t="str">
        <f t="shared" si="53"/>
        <v>A~0</v>
      </c>
      <c r="L1686" t="str">
        <f>IF(J1686&lt;0,"A~0",VLOOKUP(J1686,[1]作法V!$B$1:$C$9,2,TRUE))</f>
        <v>A~0</v>
      </c>
    </row>
    <row r="1687" spans="1:12">
      <c r="A1687">
        <v>1135</v>
      </c>
      <c r="B1687" t="s">
        <v>26</v>
      </c>
      <c r="C1687" s="3">
        <v>38590</v>
      </c>
      <c r="D1687" s="3">
        <v>38758</v>
      </c>
      <c r="E1687" t="s">
        <v>18</v>
      </c>
      <c r="F1687">
        <v>1</v>
      </c>
      <c r="G1687">
        <v>3465</v>
      </c>
      <c r="H1687">
        <v>3465</v>
      </c>
      <c r="I1687" s="4">
        <v>38686</v>
      </c>
      <c r="J1687" s="5">
        <f t="shared" si="52"/>
        <v>-72</v>
      </c>
      <c r="K1687" s="6" t="str">
        <f t="shared" si="53"/>
        <v>A~0</v>
      </c>
      <c r="L1687" t="str">
        <f>IF(J1687&lt;0,"A~0",VLOOKUP(J1687,[1]作法V!$B$1:$C$9,2,TRUE))</f>
        <v>A~0</v>
      </c>
    </row>
    <row r="1688" spans="1:12">
      <c r="A1688">
        <v>1135</v>
      </c>
      <c r="B1688" t="s">
        <v>26</v>
      </c>
      <c r="C1688" s="3">
        <v>38590</v>
      </c>
      <c r="D1688" s="3">
        <v>38758</v>
      </c>
      <c r="E1688" t="s">
        <v>18</v>
      </c>
      <c r="F1688">
        <v>1</v>
      </c>
      <c r="G1688">
        <v>9923</v>
      </c>
      <c r="H1688">
        <v>9923</v>
      </c>
      <c r="I1688" s="4">
        <v>38686</v>
      </c>
      <c r="J1688" s="5">
        <f t="shared" si="52"/>
        <v>-72</v>
      </c>
      <c r="K1688" s="6" t="str">
        <f t="shared" si="53"/>
        <v>A~0</v>
      </c>
      <c r="L1688" t="str">
        <f>IF(J1688&lt;0,"A~0",VLOOKUP(J1688,[1]作法V!$B$1:$C$9,2,TRUE))</f>
        <v>A~0</v>
      </c>
    </row>
    <row r="1689" spans="1:12">
      <c r="A1689">
        <v>1135</v>
      </c>
      <c r="B1689" t="s">
        <v>26</v>
      </c>
      <c r="C1689" s="3">
        <v>38594</v>
      </c>
      <c r="D1689" s="3">
        <v>38758</v>
      </c>
      <c r="E1689" t="s">
        <v>18</v>
      </c>
      <c r="F1689">
        <v>1</v>
      </c>
      <c r="G1689">
        <v>2520</v>
      </c>
      <c r="H1689">
        <v>2520</v>
      </c>
      <c r="I1689" s="4">
        <v>38686</v>
      </c>
      <c r="J1689" s="5">
        <f t="shared" si="52"/>
        <v>-72</v>
      </c>
      <c r="K1689" s="6" t="str">
        <f t="shared" si="53"/>
        <v>A~0</v>
      </c>
      <c r="L1689" t="str">
        <f>IF(J1689&lt;0,"A~0",VLOOKUP(J1689,[1]作法V!$B$1:$C$9,2,TRUE))</f>
        <v>A~0</v>
      </c>
    </row>
    <row r="1690" spans="1:12">
      <c r="A1690">
        <v>1135</v>
      </c>
      <c r="B1690" t="s">
        <v>26</v>
      </c>
      <c r="C1690" s="3">
        <v>38594</v>
      </c>
      <c r="D1690" s="3">
        <v>38758</v>
      </c>
      <c r="E1690" t="s">
        <v>18</v>
      </c>
      <c r="F1690">
        <v>1</v>
      </c>
      <c r="G1690">
        <v>51030</v>
      </c>
      <c r="H1690">
        <v>51030</v>
      </c>
      <c r="I1690" s="4">
        <v>38686</v>
      </c>
      <c r="J1690" s="5">
        <f t="shared" si="52"/>
        <v>-72</v>
      </c>
      <c r="K1690" s="6" t="str">
        <f t="shared" si="53"/>
        <v>A~0</v>
      </c>
      <c r="L1690" t="str">
        <f>IF(J1690&lt;0,"A~0",VLOOKUP(J1690,[1]作法V!$B$1:$C$9,2,TRUE))</f>
        <v>A~0</v>
      </c>
    </row>
    <row r="1691" spans="1:12">
      <c r="A1691">
        <v>1135</v>
      </c>
      <c r="B1691" t="s">
        <v>26</v>
      </c>
      <c r="C1691" s="3">
        <v>38595</v>
      </c>
      <c r="D1691" s="3">
        <v>38727</v>
      </c>
      <c r="E1691" t="s">
        <v>18</v>
      </c>
      <c r="F1691">
        <v>1</v>
      </c>
      <c r="G1691">
        <v>29558</v>
      </c>
      <c r="H1691">
        <v>29558</v>
      </c>
      <c r="I1691" s="4">
        <v>38686</v>
      </c>
      <c r="J1691" s="5">
        <f t="shared" si="52"/>
        <v>-41</v>
      </c>
      <c r="K1691" s="6" t="str">
        <f t="shared" si="53"/>
        <v>A~0</v>
      </c>
      <c r="L1691" t="str">
        <f>IF(J1691&lt;0,"A~0",VLOOKUP(J1691,[1]作法V!$B$1:$C$9,2,TRUE))</f>
        <v>A~0</v>
      </c>
    </row>
    <row r="1692" spans="1:12">
      <c r="A1692">
        <v>1135</v>
      </c>
      <c r="B1692" t="s">
        <v>26</v>
      </c>
      <c r="C1692" s="3">
        <v>38595</v>
      </c>
      <c r="D1692" s="3">
        <v>38727</v>
      </c>
      <c r="E1692" t="s">
        <v>18</v>
      </c>
      <c r="F1692">
        <v>1</v>
      </c>
      <c r="G1692">
        <v>3885</v>
      </c>
      <c r="H1692">
        <v>3885</v>
      </c>
      <c r="I1692" s="4">
        <v>38686</v>
      </c>
      <c r="J1692" s="5">
        <f t="shared" si="52"/>
        <v>-41</v>
      </c>
      <c r="K1692" s="6" t="str">
        <f t="shared" si="53"/>
        <v>A~0</v>
      </c>
      <c r="L1692" t="str">
        <f>IF(J1692&lt;0,"A~0",VLOOKUP(J1692,[1]作法V!$B$1:$C$9,2,TRUE))</f>
        <v>A~0</v>
      </c>
    </row>
    <row r="1693" spans="1:12">
      <c r="A1693">
        <v>1135</v>
      </c>
      <c r="B1693" t="s">
        <v>26</v>
      </c>
      <c r="C1693" s="3">
        <v>38595</v>
      </c>
      <c r="D1693" s="3">
        <v>38727</v>
      </c>
      <c r="E1693" t="s">
        <v>18</v>
      </c>
      <c r="F1693">
        <v>1</v>
      </c>
      <c r="G1693">
        <v>22072</v>
      </c>
      <c r="H1693">
        <v>22072</v>
      </c>
      <c r="I1693" s="4">
        <v>38686</v>
      </c>
      <c r="J1693" s="5">
        <f t="shared" si="52"/>
        <v>-41</v>
      </c>
      <c r="K1693" s="6" t="str">
        <f t="shared" si="53"/>
        <v>A~0</v>
      </c>
      <c r="L1693" t="str">
        <f>IF(J1693&lt;0,"A~0",VLOOKUP(J1693,[1]作法V!$B$1:$C$9,2,TRUE))</f>
        <v>A~0</v>
      </c>
    </row>
    <row r="1694" spans="1:12">
      <c r="A1694">
        <v>1135</v>
      </c>
      <c r="B1694" t="s">
        <v>26</v>
      </c>
      <c r="C1694" s="3">
        <v>38595</v>
      </c>
      <c r="D1694" s="3">
        <v>38727</v>
      </c>
      <c r="E1694" t="s">
        <v>18</v>
      </c>
      <c r="F1694">
        <v>1</v>
      </c>
      <c r="G1694">
        <v>139860</v>
      </c>
      <c r="H1694">
        <v>139860</v>
      </c>
      <c r="I1694" s="4">
        <v>38686</v>
      </c>
      <c r="J1694" s="5">
        <f t="shared" si="52"/>
        <v>-41</v>
      </c>
      <c r="K1694" s="6" t="str">
        <f t="shared" si="53"/>
        <v>A~0</v>
      </c>
      <c r="L1694" t="str">
        <f>IF(J1694&lt;0,"A~0",VLOOKUP(J1694,[1]作法V!$B$1:$C$9,2,TRUE))</f>
        <v>A~0</v>
      </c>
    </row>
    <row r="1695" spans="1:12">
      <c r="A1695">
        <v>1135</v>
      </c>
      <c r="B1695" t="s">
        <v>26</v>
      </c>
      <c r="C1695" s="3">
        <v>38595</v>
      </c>
      <c r="D1695" s="3">
        <v>38727</v>
      </c>
      <c r="E1695" t="s">
        <v>18</v>
      </c>
      <c r="F1695">
        <v>1</v>
      </c>
      <c r="G1695">
        <v>162461</v>
      </c>
      <c r="H1695">
        <v>162461</v>
      </c>
      <c r="I1695" s="4">
        <v>38686</v>
      </c>
      <c r="J1695" s="5">
        <f t="shared" si="52"/>
        <v>-41</v>
      </c>
      <c r="K1695" s="6" t="str">
        <f t="shared" si="53"/>
        <v>A~0</v>
      </c>
      <c r="L1695" t="str">
        <f>IF(J1695&lt;0,"A~0",VLOOKUP(J1695,[1]作法V!$B$1:$C$9,2,TRUE))</f>
        <v>A~0</v>
      </c>
    </row>
    <row r="1696" spans="1:12">
      <c r="A1696">
        <v>1135</v>
      </c>
      <c r="B1696" t="s">
        <v>26</v>
      </c>
      <c r="C1696" s="3">
        <v>38595</v>
      </c>
      <c r="D1696" s="3">
        <v>38758</v>
      </c>
      <c r="E1696" t="s">
        <v>18</v>
      </c>
      <c r="F1696">
        <v>1</v>
      </c>
      <c r="G1696">
        <v>5292</v>
      </c>
      <c r="H1696">
        <v>5292</v>
      </c>
      <c r="I1696" s="4">
        <v>38686</v>
      </c>
      <c r="J1696" s="5">
        <f t="shared" si="52"/>
        <v>-72</v>
      </c>
      <c r="K1696" s="6" t="str">
        <f t="shared" si="53"/>
        <v>A~0</v>
      </c>
      <c r="L1696" t="str">
        <f>IF(J1696&lt;0,"A~0",VLOOKUP(J1696,[1]作法V!$B$1:$C$9,2,TRUE))</f>
        <v>A~0</v>
      </c>
    </row>
    <row r="1697" spans="1:12">
      <c r="A1697">
        <v>1135</v>
      </c>
      <c r="B1697" t="s">
        <v>26</v>
      </c>
      <c r="C1697" s="3">
        <v>38595</v>
      </c>
      <c r="D1697" s="3">
        <v>38758</v>
      </c>
      <c r="E1697" t="s">
        <v>18</v>
      </c>
      <c r="F1697">
        <v>1</v>
      </c>
      <c r="G1697">
        <v>30030</v>
      </c>
      <c r="H1697">
        <v>30030</v>
      </c>
      <c r="I1697" s="4">
        <v>38686</v>
      </c>
      <c r="J1697" s="5">
        <f t="shared" si="52"/>
        <v>-72</v>
      </c>
      <c r="K1697" s="6" t="str">
        <f t="shared" si="53"/>
        <v>A~0</v>
      </c>
      <c r="L1697" t="str">
        <f>IF(J1697&lt;0,"A~0",VLOOKUP(J1697,[1]作法V!$B$1:$C$9,2,TRUE))</f>
        <v>A~0</v>
      </c>
    </row>
    <row r="1698" spans="1:12">
      <c r="A1698">
        <v>1135</v>
      </c>
      <c r="B1698" t="s">
        <v>26</v>
      </c>
      <c r="C1698" s="3">
        <v>38595</v>
      </c>
      <c r="D1698" s="3">
        <v>38758</v>
      </c>
      <c r="E1698" t="s">
        <v>18</v>
      </c>
      <c r="F1698">
        <v>1</v>
      </c>
      <c r="G1698">
        <v>8820</v>
      </c>
      <c r="H1698">
        <v>8820</v>
      </c>
      <c r="I1698" s="4">
        <v>38686</v>
      </c>
      <c r="J1698" s="5">
        <f t="shared" si="52"/>
        <v>-72</v>
      </c>
      <c r="K1698" s="6" t="str">
        <f t="shared" si="53"/>
        <v>A~0</v>
      </c>
      <c r="L1698" t="str">
        <f>IF(J1698&lt;0,"A~0",VLOOKUP(J1698,[1]作法V!$B$1:$C$9,2,TRUE))</f>
        <v>A~0</v>
      </c>
    </row>
    <row r="1699" spans="1:12">
      <c r="A1699">
        <v>1135</v>
      </c>
      <c r="B1699" t="s">
        <v>26</v>
      </c>
      <c r="C1699" s="3">
        <v>38595</v>
      </c>
      <c r="D1699" s="3">
        <v>38758</v>
      </c>
      <c r="E1699" t="s">
        <v>18</v>
      </c>
      <c r="F1699">
        <v>1</v>
      </c>
      <c r="G1699">
        <v>1147</v>
      </c>
      <c r="H1699">
        <v>1147</v>
      </c>
      <c r="I1699" s="4">
        <v>38686</v>
      </c>
      <c r="J1699" s="5">
        <f t="shared" si="52"/>
        <v>-72</v>
      </c>
      <c r="K1699" s="6" t="str">
        <f t="shared" si="53"/>
        <v>A~0</v>
      </c>
      <c r="L1699" t="str">
        <f>IF(J1699&lt;0,"A~0",VLOOKUP(J1699,[1]作法V!$B$1:$C$9,2,TRUE))</f>
        <v>A~0</v>
      </c>
    </row>
    <row r="1700" spans="1:12">
      <c r="A1700">
        <v>1135</v>
      </c>
      <c r="B1700" t="s">
        <v>26</v>
      </c>
      <c r="C1700" s="3">
        <v>38598</v>
      </c>
      <c r="D1700" s="3">
        <v>38758</v>
      </c>
      <c r="E1700" t="s">
        <v>18</v>
      </c>
      <c r="F1700">
        <v>1</v>
      </c>
      <c r="G1700">
        <v>115920</v>
      </c>
      <c r="H1700">
        <v>115920</v>
      </c>
      <c r="I1700" s="4">
        <v>38686</v>
      </c>
      <c r="J1700" s="5">
        <f t="shared" si="52"/>
        <v>-72</v>
      </c>
      <c r="K1700" s="6" t="str">
        <f t="shared" si="53"/>
        <v>A~0</v>
      </c>
      <c r="L1700" t="str">
        <f>IF(J1700&lt;0,"A~0",VLOOKUP(J1700,[1]作法V!$B$1:$C$9,2,TRUE))</f>
        <v>A~0</v>
      </c>
    </row>
    <row r="1701" spans="1:12">
      <c r="A1701">
        <v>1135</v>
      </c>
      <c r="B1701" t="s">
        <v>26</v>
      </c>
      <c r="C1701" s="3">
        <v>38598</v>
      </c>
      <c r="D1701" s="3">
        <v>38758</v>
      </c>
      <c r="E1701" t="s">
        <v>18</v>
      </c>
      <c r="F1701">
        <v>1</v>
      </c>
      <c r="G1701">
        <v>53000</v>
      </c>
      <c r="H1701">
        <v>53000</v>
      </c>
      <c r="I1701" s="4">
        <v>38686</v>
      </c>
      <c r="J1701" s="5">
        <f t="shared" si="52"/>
        <v>-72</v>
      </c>
      <c r="K1701" s="6" t="str">
        <f t="shared" si="53"/>
        <v>A~0</v>
      </c>
      <c r="L1701" t="str">
        <f>IF(J1701&lt;0,"A~0",VLOOKUP(J1701,[1]作法V!$B$1:$C$9,2,TRUE))</f>
        <v>A~0</v>
      </c>
    </row>
    <row r="1702" spans="1:12">
      <c r="A1702">
        <v>1135</v>
      </c>
      <c r="B1702" t="s">
        <v>26</v>
      </c>
      <c r="C1702" s="3">
        <v>38600</v>
      </c>
      <c r="D1702" s="3">
        <v>38758</v>
      </c>
      <c r="E1702" t="s">
        <v>18</v>
      </c>
      <c r="F1702">
        <v>1</v>
      </c>
      <c r="G1702">
        <v>126000</v>
      </c>
      <c r="H1702">
        <v>126000</v>
      </c>
      <c r="I1702" s="4">
        <v>38686</v>
      </c>
      <c r="J1702" s="5">
        <f t="shared" si="52"/>
        <v>-72</v>
      </c>
      <c r="K1702" s="6" t="str">
        <f t="shared" si="53"/>
        <v>A~0</v>
      </c>
      <c r="L1702" t="str">
        <f>IF(J1702&lt;0,"A~0",VLOOKUP(J1702,[1]作法V!$B$1:$C$9,2,TRUE))</f>
        <v>A~0</v>
      </c>
    </row>
    <row r="1703" spans="1:12">
      <c r="A1703">
        <v>1135</v>
      </c>
      <c r="B1703" t="s">
        <v>26</v>
      </c>
      <c r="C1703" s="3">
        <v>38602</v>
      </c>
      <c r="D1703" s="3">
        <v>38758</v>
      </c>
      <c r="E1703" t="s">
        <v>18</v>
      </c>
      <c r="F1703">
        <v>1</v>
      </c>
      <c r="G1703">
        <v>23940</v>
      </c>
      <c r="H1703">
        <v>23940</v>
      </c>
      <c r="I1703" s="4">
        <v>38686</v>
      </c>
      <c r="J1703" s="5">
        <f t="shared" si="52"/>
        <v>-72</v>
      </c>
      <c r="K1703" s="6" t="str">
        <f t="shared" si="53"/>
        <v>A~0</v>
      </c>
      <c r="L1703" t="str">
        <f>IF(J1703&lt;0,"A~0",VLOOKUP(J1703,[1]作法V!$B$1:$C$9,2,TRUE))</f>
        <v>A~0</v>
      </c>
    </row>
    <row r="1704" spans="1:12">
      <c r="A1704">
        <v>1135</v>
      </c>
      <c r="B1704" t="s">
        <v>26</v>
      </c>
      <c r="C1704" s="3">
        <v>38602</v>
      </c>
      <c r="D1704" s="3">
        <v>38758</v>
      </c>
      <c r="E1704" t="s">
        <v>18</v>
      </c>
      <c r="F1704">
        <v>1</v>
      </c>
      <c r="G1704">
        <v>11312</v>
      </c>
      <c r="H1704">
        <v>11312</v>
      </c>
      <c r="I1704" s="4">
        <v>38686</v>
      </c>
      <c r="J1704" s="5">
        <f t="shared" si="52"/>
        <v>-72</v>
      </c>
      <c r="K1704" s="6" t="str">
        <f t="shared" si="53"/>
        <v>A~0</v>
      </c>
      <c r="L1704" t="str">
        <f>IF(J1704&lt;0,"A~0",VLOOKUP(J1704,[1]作法V!$B$1:$C$9,2,TRUE))</f>
        <v>A~0</v>
      </c>
    </row>
    <row r="1705" spans="1:12">
      <c r="A1705">
        <v>1135</v>
      </c>
      <c r="B1705" t="s">
        <v>26</v>
      </c>
      <c r="C1705" s="3">
        <v>38602</v>
      </c>
      <c r="D1705" s="3">
        <v>38758</v>
      </c>
      <c r="E1705" t="s">
        <v>18</v>
      </c>
      <c r="F1705">
        <v>1</v>
      </c>
      <c r="G1705">
        <v>5775</v>
      </c>
      <c r="H1705">
        <v>5775</v>
      </c>
      <c r="I1705" s="4">
        <v>38686</v>
      </c>
      <c r="J1705" s="5">
        <f t="shared" si="52"/>
        <v>-72</v>
      </c>
      <c r="K1705" s="6" t="str">
        <f t="shared" si="53"/>
        <v>A~0</v>
      </c>
      <c r="L1705" t="str">
        <f>IF(J1705&lt;0,"A~0",VLOOKUP(J1705,[1]作法V!$B$1:$C$9,2,TRUE))</f>
        <v>A~0</v>
      </c>
    </row>
    <row r="1706" spans="1:12">
      <c r="A1706">
        <v>1135</v>
      </c>
      <c r="B1706" t="s">
        <v>26</v>
      </c>
      <c r="C1706" s="3">
        <v>38602</v>
      </c>
      <c r="D1706" s="3">
        <v>38758</v>
      </c>
      <c r="E1706" t="s">
        <v>18</v>
      </c>
      <c r="F1706">
        <v>1</v>
      </c>
      <c r="G1706">
        <v>9600</v>
      </c>
      <c r="H1706">
        <v>9600</v>
      </c>
      <c r="I1706" s="4">
        <v>38686</v>
      </c>
      <c r="J1706" s="5">
        <f t="shared" si="52"/>
        <v>-72</v>
      </c>
      <c r="K1706" s="6" t="str">
        <f t="shared" si="53"/>
        <v>A~0</v>
      </c>
      <c r="L1706" t="str">
        <f>IF(J1706&lt;0,"A~0",VLOOKUP(J1706,[1]作法V!$B$1:$C$9,2,TRUE))</f>
        <v>A~0</v>
      </c>
    </row>
    <row r="1707" spans="1:12">
      <c r="A1707">
        <v>1135</v>
      </c>
      <c r="B1707" t="s">
        <v>26</v>
      </c>
      <c r="C1707" s="3">
        <v>38602</v>
      </c>
      <c r="D1707" s="3">
        <v>38758</v>
      </c>
      <c r="E1707" t="s">
        <v>18</v>
      </c>
      <c r="F1707">
        <v>1</v>
      </c>
      <c r="G1707">
        <v>34125</v>
      </c>
      <c r="H1707">
        <v>34125</v>
      </c>
      <c r="I1707" s="4">
        <v>38686</v>
      </c>
      <c r="J1707" s="5">
        <f t="shared" si="52"/>
        <v>-72</v>
      </c>
      <c r="K1707" s="6" t="str">
        <f t="shared" si="53"/>
        <v>A~0</v>
      </c>
      <c r="L1707" t="str">
        <f>IF(J1707&lt;0,"A~0",VLOOKUP(J1707,[1]作法V!$B$1:$C$9,2,TRUE))</f>
        <v>A~0</v>
      </c>
    </row>
    <row r="1708" spans="1:12">
      <c r="A1708">
        <v>1135</v>
      </c>
      <c r="B1708" t="s">
        <v>26</v>
      </c>
      <c r="C1708" s="3">
        <v>38603</v>
      </c>
      <c r="D1708" s="3">
        <v>38758</v>
      </c>
      <c r="E1708" t="s">
        <v>18</v>
      </c>
      <c r="F1708">
        <v>1</v>
      </c>
      <c r="G1708">
        <v>7350</v>
      </c>
      <c r="H1708">
        <v>7350</v>
      </c>
      <c r="I1708" s="4">
        <v>38686</v>
      </c>
      <c r="J1708" s="5">
        <f t="shared" si="52"/>
        <v>-72</v>
      </c>
      <c r="K1708" s="6" t="str">
        <f t="shared" si="53"/>
        <v>A~0</v>
      </c>
      <c r="L1708" t="str">
        <f>IF(J1708&lt;0,"A~0",VLOOKUP(J1708,[1]作法V!$B$1:$C$9,2,TRUE))</f>
        <v>A~0</v>
      </c>
    </row>
    <row r="1709" spans="1:12">
      <c r="A1709">
        <v>1135</v>
      </c>
      <c r="B1709" t="s">
        <v>26</v>
      </c>
      <c r="C1709" s="3">
        <v>38603</v>
      </c>
      <c r="D1709" s="3">
        <v>38758</v>
      </c>
      <c r="E1709" t="s">
        <v>18</v>
      </c>
      <c r="F1709">
        <v>1</v>
      </c>
      <c r="G1709">
        <v>49392</v>
      </c>
      <c r="H1709">
        <v>49392</v>
      </c>
      <c r="I1709" s="4">
        <v>38686</v>
      </c>
      <c r="J1709" s="5">
        <f t="shared" si="52"/>
        <v>-72</v>
      </c>
      <c r="K1709" s="6" t="str">
        <f t="shared" si="53"/>
        <v>A~0</v>
      </c>
      <c r="L1709" t="str">
        <f>IF(J1709&lt;0,"A~0",VLOOKUP(J1709,[1]作法V!$B$1:$C$9,2,TRUE))</f>
        <v>A~0</v>
      </c>
    </row>
    <row r="1710" spans="1:12">
      <c r="A1710">
        <v>1135</v>
      </c>
      <c r="B1710" t="s">
        <v>26</v>
      </c>
      <c r="C1710" s="3">
        <v>38603</v>
      </c>
      <c r="D1710" s="3">
        <v>38758</v>
      </c>
      <c r="E1710" t="s">
        <v>18</v>
      </c>
      <c r="F1710">
        <v>1</v>
      </c>
      <c r="G1710">
        <v>95193</v>
      </c>
      <c r="H1710">
        <v>95193</v>
      </c>
      <c r="I1710" s="4">
        <v>38686</v>
      </c>
      <c r="J1710" s="5">
        <f t="shared" si="52"/>
        <v>-72</v>
      </c>
      <c r="K1710" s="6" t="str">
        <f t="shared" si="53"/>
        <v>A~0</v>
      </c>
      <c r="L1710" t="str">
        <f>IF(J1710&lt;0,"A~0",VLOOKUP(J1710,[1]作法V!$B$1:$C$9,2,TRUE))</f>
        <v>A~0</v>
      </c>
    </row>
    <row r="1711" spans="1:12">
      <c r="A1711">
        <v>1135</v>
      </c>
      <c r="B1711" t="s">
        <v>26</v>
      </c>
      <c r="C1711" s="3">
        <v>38603</v>
      </c>
      <c r="D1711" s="3">
        <v>38758</v>
      </c>
      <c r="E1711" t="s">
        <v>18</v>
      </c>
      <c r="F1711">
        <v>1</v>
      </c>
      <c r="G1711">
        <v>4253</v>
      </c>
      <c r="H1711">
        <v>4253</v>
      </c>
      <c r="I1711" s="4">
        <v>38686</v>
      </c>
      <c r="J1711" s="5">
        <f t="shared" si="52"/>
        <v>-72</v>
      </c>
      <c r="K1711" s="6" t="str">
        <f t="shared" si="53"/>
        <v>A~0</v>
      </c>
      <c r="L1711" t="str">
        <f>IF(J1711&lt;0,"A~0",VLOOKUP(J1711,[1]作法V!$B$1:$C$9,2,TRUE))</f>
        <v>A~0</v>
      </c>
    </row>
    <row r="1712" spans="1:12">
      <c r="A1712">
        <v>1135</v>
      </c>
      <c r="B1712" t="s">
        <v>26</v>
      </c>
      <c r="C1712" s="3">
        <v>38603</v>
      </c>
      <c r="D1712" s="3">
        <v>38758</v>
      </c>
      <c r="E1712" t="s">
        <v>18</v>
      </c>
      <c r="F1712">
        <v>1</v>
      </c>
      <c r="G1712">
        <v>3570</v>
      </c>
      <c r="H1712">
        <v>3570</v>
      </c>
      <c r="I1712" s="4">
        <v>38686</v>
      </c>
      <c r="J1712" s="5">
        <f t="shared" si="52"/>
        <v>-72</v>
      </c>
      <c r="K1712" s="6" t="str">
        <f t="shared" si="53"/>
        <v>A~0</v>
      </c>
      <c r="L1712" t="str">
        <f>IF(J1712&lt;0,"A~0",VLOOKUP(J1712,[1]作法V!$B$1:$C$9,2,TRUE))</f>
        <v>A~0</v>
      </c>
    </row>
    <row r="1713" spans="1:12">
      <c r="A1713">
        <v>1135</v>
      </c>
      <c r="B1713" t="s">
        <v>26</v>
      </c>
      <c r="C1713" s="3">
        <v>38603</v>
      </c>
      <c r="D1713" s="3">
        <v>38758</v>
      </c>
      <c r="E1713" t="s">
        <v>18</v>
      </c>
      <c r="F1713">
        <v>1</v>
      </c>
      <c r="G1713">
        <v>68250</v>
      </c>
      <c r="H1713">
        <v>68250</v>
      </c>
      <c r="I1713" s="4">
        <v>38686</v>
      </c>
      <c r="J1713" s="5">
        <f t="shared" si="52"/>
        <v>-72</v>
      </c>
      <c r="K1713" s="6" t="str">
        <f t="shared" si="53"/>
        <v>A~0</v>
      </c>
      <c r="L1713" t="str">
        <f>IF(J1713&lt;0,"A~0",VLOOKUP(J1713,[1]作法V!$B$1:$C$9,2,TRUE))</f>
        <v>A~0</v>
      </c>
    </row>
    <row r="1714" spans="1:12">
      <c r="A1714">
        <v>1135</v>
      </c>
      <c r="B1714" t="s">
        <v>26</v>
      </c>
      <c r="C1714" s="3">
        <v>38607</v>
      </c>
      <c r="D1714" s="3">
        <v>38758</v>
      </c>
      <c r="E1714" t="s">
        <v>18</v>
      </c>
      <c r="F1714">
        <v>1</v>
      </c>
      <c r="G1714">
        <v>9024</v>
      </c>
      <c r="H1714">
        <v>9024</v>
      </c>
      <c r="I1714" s="4">
        <v>38686</v>
      </c>
      <c r="J1714" s="5">
        <f t="shared" si="52"/>
        <v>-72</v>
      </c>
      <c r="K1714" s="6" t="str">
        <f t="shared" si="53"/>
        <v>A~0</v>
      </c>
      <c r="L1714" t="str">
        <f>IF(J1714&lt;0,"A~0",VLOOKUP(J1714,[1]作法V!$B$1:$C$9,2,TRUE))</f>
        <v>A~0</v>
      </c>
    </row>
    <row r="1715" spans="1:12">
      <c r="A1715">
        <v>1135</v>
      </c>
      <c r="B1715" t="s">
        <v>26</v>
      </c>
      <c r="C1715" s="3">
        <v>38607</v>
      </c>
      <c r="D1715" s="3">
        <v>38758</v>
      </c>
      <c r="E1715" t="s">
        <v>18</v>
      </c>
      <c r="F1715">
        <v>1</v>
      </c>
      <c r="G1715">
        <v>12600</v>
      </c>
      <c r="H1715">
        <v>12600</v>
      </c>
      <c r="I1715" s="4">
        <v>38686</v>
      </c>
      <c r="J1715" s="5">
        <f t="shared" si="52"/>
        <v>-72</v>
      </c>
      <c r="K1715" s="6" t="str">
        <f t="shared" si="53"/>
        <v>A~0</v>
      </c>
      <c r="L1715" t="str">
        <f>IF(J1715&lt;0,"A~0",VLOOKUP(J1715,[1]作法V!$B$1:$C$9,2,TRUE))</f>
        <v>A~0</v>
      </c>
    </row>
    <row r="1716" spans="1:12">
      <c r="A1716">
        <v>1135</v>
      </c>
      <c r="B1716" t="s">
        <v>26</v>
      </c>
      <c r="C1716" s="3">
        <v>38607</v>
      </c>
      <c r="D1716" s="3">
        <v>38758</v>
      </c>
      <c r="E1716" t="s">
        <v>18</v>
      </c>
      <c r="F1716">
        <v>1</v>
      </c>
      <c r="G1716">
        <v>1449</v>
      </c>
      <c r="H1716">
        <v>1449</v>
      </c>
      <c r="I1716" s="4">
        <v>38686</v>
      </c>
      <c r="J1716" s="5">
        <f t="shared" si="52"/>
        <v>-72</v>
      </c>
      <c r="K1716" s="6" t="str">
        <f t="shared" si="53"/>
        <v>A~0</v>
      </c>
      <c r="L1716" t="str">
        <f>IF(J1716&lt;0,"A~0",VLOOKUP(J1716,[1]作法V!$B$1:$C$9,2,TRUE))</f>
        <v>A~0</v>
      </c>
    </row>
    <row r="1717" spans="1:12">
      <c r="A1717">
        <v>1135</v>
      </c>
      <c r="B1717" t="s">
        <v>26</v>
      </c>
      <c r="C1717" s="3">
        <v>38607</v>
      </c>
      <c r="D1717" s="3">
        <v>38758</v>
      </c>
      <c r="E1717" t="s">
        <v>18</v>
      </c>
      <c r="F1717">
        <v>1</v>
      </c>
      <c r="G1717">
        <v>18400</v>
      </c>
      <c r="H1717">
        <v>18400</v>
      </c>
      <c r="I1717" s="4">
        <v>38686</v>
      </c>
      <c r="J1717" s="5">
        <f t="shared" si="52"/>
        <v>-72</v>
      </c>
      <c r="K1717" s="6" t="str">
        <f t="shared" si="53"/>
        <v>A~0</v>
      </c>
      <c r="L1717" t="str">
        <f>IF(J1717&lt;0,"A~0",VLOOKUP(J1717,[1]作法V!$B$1:$C$9,2,TRUE))</f>
        <v>A~0</v>
      </c>
    </row>
    <row r="1718" spans="1:12">
      <c r="A1718">
        <v>1135</v>
      </c>
      <c r="B1718" t="s">
        <v>26</v>
      </c>
      <c r="C1718" s="3">
        <v>38610</v>
      </c>
      <c r="D1718" s="3">
        <v>38727</v>
      </c>
      <c r="E1718" t="s">
        <v>18</v>
      </c>
      <c r="F1718">
        <v>1</v>
      </c>
      <c r="G1718">
        <v>10553</v>
      </c>
      <c r="H1718">
        <v>10553</v>
      </c>
      <c r="I1718" s="4">
        <v>38686</v>
      </c>
      <c r="J1718" s="5">
        <f t="shared" si="52"/>
        <v>-41</v>
      </c>
      <c r="K1718" s="6" t="str">
        <f t="shared" si="53"/>
        <v>A~0</v>
      </c>
      <c r="L1718" t="str">
        <f>IF(J1718&lt;0,"A~0",VLOOKUP(J1718,[1]作法V!$B$1:$C$9,2,TRUE))</f>
        <v>A~0</v>
      </c>
    </row>
    <row r="1719" spans="1:12">
      <c r="A1719">
        <v>1135</v>
      </c>
      <c r="B1719" t="s">
        <v>26</v>
      </c>
      <c r="C1719" s="3">
        <v>38610</v>
      </c>
      <c r="D1719" s="3">
        <v>38727</v>
      </c>
      <c r="E1719" t="s">
        <v>18</v>
      </c>
      <c r="F1719">
        <v>1</v>
      </c>
      <c r="G1719">
        <v>22072</v>
      </c>
      <c r="H1719">
        <v>22072</v>
      </c>
      <c r="I1719" s="4">
        <v>38686</v>
      </c>
      <c r="J1719" s="5">
        <f t="shared" si="52"/>
        <v>-41</v>
      </c>
      <c r="K1719" s="6" t="str">
        <f t="shared" si="53"/>
        <v>A~0</v>
      </c>
      <c r="L1719" t="str">
        <f>IF(J1719&lt;0,"A~0",VLOOKUP(J1719,[1]作法V!$B$1:$C$9,2,TRUE))</f>
        <v>A~0</v>
      </c>
    </row>
    <row r="1720" spans="1:12">
      <c r="A1720">
        <v>1135</v>
      </c>
      <c r="B1720" t="s">
        <v>26</v>
      </c>
      <c r="C1720" s="3">
        <v>38610</v>
      </c>
      <c r="D1720" s="3">
        <v>38727</v>
      </c>
      <c r="E1720" t="s">
        <v>18</v>
      </c>
      <c r="F1720">
        <v>1</v>
      </c>
      <c r="G1720">
        <v>25830</v>
      </c>
      <c r="H1720">
        <v>25830</v>
      </c>
      <c r="I1720" s="4">
        <v>38686</v>
      </c>
      <c r="J1720" s="5">
        <f t="shared" si="52"/>
        <v>-41</v>
      </c>
      <c r="K1720" s="6" t="str">
        <f t="shared" si="53"/>
        <v>A~0</v>
      </c>
      <c r="L1720" t="str">
        <f>IF(J1720&lt;0,"A~0",VLOOKUP(J1720,[1]作法V!$B$1:$C$9,2,TRUE))</f>
        <v>A~0</v>
      </c>
    </row>
    <row r="1721" spans="1:12">
      <c r="A1721">
        <v>1135</v>
      </c>
      <c r="B1721" t="s">
        <v>26</v>
      </c>
      <c r="C1721" s="3">
        <v>38610</v>
      </c>
      <c r="D1721" s="3">
        <v>38727</v>
      </c>
      <c r="E1721" t="s">
        <v>18</v>
      </c>
      <c r="F1721">
        <v>1</v>
      </c>
      <c r="G1721">
        <v>53652</v>
      </c>
      <c r="H1721">
        <v>53652</v>
      </c>
      <c r="I1721" s="4">
        <v>38686</v>
      </c>
      <c r="J1721" s="5">
        <f t="shared" si="52"/>
        <v>-41</v>
      </c>
      <c r="K1721" s="6" t="str">
        <f t="shared" si="53"/>
        <v>A~0</v>
      </c>
      <c r="L1721" t="str">
        <f>IF(J1721&lt;0,"A~0",VLOOKUP(J1721,[1]作法V!$B$1:$C$9,2,TRUE))</f>
        <v>A~0</v>
      </c>
    </row>
    <row r="1722" spans="1:12">
      <c r="A1722">
        <v>1135</v>
      </c>
      <c r="B1722" t="s">
        <v>26</v>
      </c>
      <c r="C1722" s="3">
        <v>38610</v>
      </c>
      <c r="D1722" s="3">
        <v>38758</v>
      </c>
      <c r="E1722" t="s">
        <v>18</v>
      </c>
      <c r="F1722">
        <v>1</v>
      </c>
      <c r="G1722">
        <v>4586</v>
      </c>
      <c r="H1722">
        <v>4586</v>
      </c>
      <c r="I1722" s="4">
        <v>38686</v>
      </c>
      <c r="J1722" s="5">
        <f t="shared" si="52"/>
        <v>-72</v>
      </c>
      <c r="K1722" s="6" t="str">
        <f t="shared" si="53"/>
        <v>A~0</v>
      </c>
      <c r="L1722" t="str">
        <f>IF(J1722&lt;0,"A~0",VLOOKUP(J1722,[1]作法V!$B$1:$C$9,2,TRUE))</f>
        <v>A~0</v>
      </c>
    </row>
    <row r="1723" spans="1:12">
      <c r="A1723">
        <v>1135</v>
      </c>
      <c r="B1723" t="s">
        <v>26</v>
      </c>
      <c r="C1723" s="3">
        <v>38610</v>
      </c>
      <c r="D1723" s="3">
        <v>38758</v>
      </c>
      <c r="E1723" t="s">
        <v>18</v>
      </c>
      <c r="F1723">
        <v>1</v>
      </c>
      <c r="G1723">
        <v>13230</v>
      </c>
      <c r="H1723">
        <v>13230</v>
      </c>
      <c r="I1723" s="4">
        <v>38686</v>
      </c>
      <c r="J1723" s="5">
        <f t="shared" si="52"/>
        <v>-72</v>
      </c>
      <c r="K1723" s="6" t="str">
        <f t="shared" si="53"/>
        <v>A~0</v>
      </c>
      <c r="L1723" t="str">
        <f>IF(J1723&lt;0,"A~0",VLOOKUP(J1723,[1]作法V!$B$1:$C$9,2,TRUE))</f>
        <v>A~0</v>
      </c>
    </row>
    <row r="1724" spans="1:12">
      <c r="A1724">
        <v>1135</v>
      </c>
      <c r="B1724" t="s">
        <v>26</v>
      </c>
      <c r="C1724" s="3">
        <v>38610</v>
      </c>
      <c r="D1724" s="3">
        <v>38758</v>
      </c>
      <c r="E1724" t="s">
        <v>18</v>
      </c>
      <c r="F1724">
        <v>1</v>
      </c>
      <c r="G1724">
        <v>17640</v>
      </c>
      <c r="H1724">
        <v>17640</v>
      </c>
      <c r="I1724" s="4">
        <v>38686</v>
      </c>
      <c r="J1724" s="5">
        <f t="shared" si="52"/>
        <v>-72</v>
      </c>
      <c r="K1724" s="6" t="str">
        <f t="shared" si="53"/>
        <v>A~0</v>
      </c>
      <c r="L1724" t="str">
        <f>IF(J1724&lt;0,"A~0",VLOOKUP(J1724,[1]作法V!$B$1:$C$9,2,TRUE))</f>
        <v>A~0</v>
      </c>
    </row>
    <row r="1725" spans="1:12">
      <c r="A1725">
        <v>1135</v>
      </c>
      <c r="B1725" t="s">
        <v>26</v>
      </c>
      <c r="C1725" s="3">
        <v>38610</v>
      </c>
      <c r="D1725" s="3">
        <v>38758</v>
      </c>
      <c r="E1725" t="s">
        <v>18</v>
      </c>
      <c r="F1725">
        <v>1</v>
      </c>
      <c r="G1725">
        <v>18900</v>
      </c>
      <c r="H1725">
        <v>18900</v>
      </c>
      <c r="I1725" s="4">
        <v>38686</v>
      </c>
      <c r="J1725" s="5">
        <f t="shared" si="52"/>
        <v>-72</v>
      </c>
      <c r="K1725" s="6" t="str">
        <f t="shared" si="53"/>
        <v>A~0</v>
      </c>
      <c r="L1725" t="str">
        <f>IF(J1725&lt;0,"A~0",VLOOKUP(J1725,[1]作法V!$B$1:$C$9,2,TRUE))</f>
        <v>A~0</v>
      </c>
    </row>
    <row r="1726" spans="1:12">
      <c r="A1726">
        <v>1135</v>
      </c>
      <c r="B1726" t="s">
        <v>26</v>
      </c>
      <c r="C1726" s="3">
        <v>38610</v>
      </c>
      <c r="D1726" s="3">
        <v>38758</v>
      </c>
      <c r="E1726" t="s">
        <v>18</v>
      </c>
      <c r="F1726">
        <v>1</v>
      </c>
      <c r="G1726">
        <v>8820</v>
      </c>
      <c r="H1726">
        <v>8820</v>
      </c>
      <c r="I1726" s="4">
        <v>38686</v>
      </c>
      <c r="J1726" s="5">
        <f t="shared" si="52"/>
        <v>-72</v>
      </c>
      <c r="K1726" s="6" t="str">
        <f t="shared" si="53"/>
        <v>A~0</v>
      </c>
      <c r="L1726" t="str">
        <f>IF(J1726&lt;0,"A~0",VLOOKUP(J1726,[1]作法V!$B$1:$C$9,2,TRUE))</f>
        <v>A~0</v>
      </c>
    </row>
    <row r="1727" spans="1:12">
      <c r="A1727">
        <v>1135</v>
      </c>
      <c r="B1727" t="s">
        <v>26</v>
      </c>
      <c r="C1727" s="3">
        <v>38610</v>
      </c>
      <c r="D1727" s="3">
        <v>38758</v>
      </c>
      <c r="E1727" t="s">
        <v>18</v>
      </c>
      <c r="F1727">
        <v>1</v>
      </c>
      <c r="G1727">
        <v>3780</v>
      </c>
      <c r="H1727">
        <v>3780</v>
      </c>
      <c r="I1727" s="4">
        <v>38686</v>
      </c>
      <c r="J1727" s="5">
        <f t="shared" si="52"/>
        <v>-72</v>
      </c>
      <c r="K1727" s="6" t="str">
        <f t="shared" si="53"/>
        <v>A~0</v>
      </c>
      <c r="L1727" t="str">
        <f>IF(J1727&lt;0,"A~0",VLOOKUP(J1727,[1]作法V!$B$1:$C$9,2,TRUE))</f>
        <v>A~0</v>
      </c>
    </row>
    <row r="1728" spans="1:12">
      <c r="A1728">
        <v>1135</v>
      </c>
      <c r="B1728" t="s">
        <v>26</v>
      </c>
      <c r="C1728" s="3">
        <v>38610</v>
      </c>
      <c r="D1728" s="3">
        <v>38758</v>
      </c>
      <c r="E1728" t="s">
        <v>18</v>
      </c>
      <c r="F1728">
        <v>1</v>
      </c>
      <c r="G1728">
        <v>17640</v>
      </c>
      <c r="H1728">
        <v>17640</v>
      </c>
      <c r="I1728" s="4">
        <v>38686</v>
      </c>
      <c r="J1728" s="5">
        <f t="shared" si="52"/>
        <v>-72</v>
      </c>
      <c r="K1728" s="6" t="str">
        <f t="shared" si="53"/>
        <v>A~0</v>
      </c>
      <c r="L1728" t="str">
        <f>IF(J1728&lt;0,"A~0",VLOOKUP(J1728,[1]作法V!$B$1:$C$9,2,TRUE))</f>
        <v>A~0</v>
      </c>
    </row>
    <row r="1729" spans="1:12">
      <c r="A1729">
        <v>1135</v>
      </c>
      <c r="B1729" t="s">
        <v>26</v>
      </c>
      <c r="C1729" s="3">
        <v>38610</v>
      </c>
      <c r="D1729" s="3">
        <v>38758</v>
      </c>
      <c r="E1729" t="s">
        <v>18</v>
      </c>
      <c r="F1729">
        <v>1</v>
      </c>
      <c r="G1729">
        <v>42336</v>
      </c>
      <c r="H1729">
        <v>42336</v>
      </c>
      <c r="I1729" s="4">
        <v>38686</v>
      </c>
      <c r="J1729" s="5">
        <f t="shared" si="52"/>
        <v>-72</v>
      </c>
      <c r="K1729" s="6" t="str">
        <f t="shared" si="53"/>
        <v>A~0</v>
      </c>
      <c r="L1729" t="str">
        <f>IF(J1729&lt;0,"A~0",VLOOKUP(J1729,[1]作法V!$B$1:$C$9,2,TRUE))</f>
        <v>A~0</v>
      </c>
    </row>
    <row r="1730" spans="1:12">
      <c r="A1730">
        <v>1135</v>
      </c>
      <c r="B1730" t="s">
        <v>26</v>
      </c>
      <c r="C1730" s="3">
        <v>38610</v>
      </c>
      <c r="D1730" s="3">
        <v>38758</v>
      </c>
      <c r="E1730" t="s">
        <v>18</v>
      </c>
      <c r="F1730">
        <v>1</v>
      </c>
      <c r="G1730">
        <v>78750</v>
      </c>
      <c r="H1730">
        <v>78750</v>
      </c>
      <c r="I1730" s="4">
        <v>38686</v>
      </c>
      <c r="J1730" s="5">
        <f t="shared" ref="J1730:J1793" si="54">I1730-D1730</f>
        <v>-72</v>
      </c>
      <c r="K1730" s="6" t="str">
        <f t="shared" ref="K1730:K1793" si="55">IF(J1730&lt;1,"A~0",IF(J1730&lt;31,"B1~30",IF(J1730&lt;61,"C31~60",IF(J1730&lt;91,"D61~90",IF(J1730&lt;121,"E91~120",IF(J1730&lt;181,"F121~180",IF(J1730&lt;361,"G181~360","H361~")))))))</f>
        <v>A~0</v>
      </c>
      <c r="L1730" t="str">
        <f>IF(J1730&lt;0,"A~0",VLOOKUP(J1730,[1]作法V!$B$1:$C$9,2,TRUE))</f>
        <v>A~0</v>
      </c>
    </row>
    <row r="1731" spans="1:12">
      <c r="A1731">
        <v>1135</v>
      </c>
      <c r="B1731" t="s">
        <v>26</v>
      </c>
      <c r="C1731" s="3">
        <v>38610</v>
      </c>
      <c r="D1731" s="3">
        <v>38758</v>
      </c>
      <c r="E1731" t="s">
        <v>18</v>
      </c>
      <c r="F1731">
        <v>1</v>
      </c>
      <c r="G1731">
        <v>13860</v>
      </c>
      <c r="H1731">
        <v>13860</v>
      </c>
      <c r="I1731" s="4">
        <v>38686</v>
      </c>
      <c r="J1731" s="5">
        <f t="shared" si="54"/>
        <v>-72</v>
      </c>
      <c r="K1731" s="6" t="str">
        <f t="shared" si="55"/>
        <v>A~0</v>
      </c>
      <c r="L1731" t="str">
        <f>IF(J1731&lt;0,"A~0",VLOOKUP(J1731,[1]作法V!$B$1:$C$9,2,TRUE))</f>
        <v>A~0</v>
      </c>
    </row>
    <row r="1732" spans="1:12">
      <c r="A1732">
        <v>1135</v>
      </c>
      <c r="B1732" t="s">
        <v>26</v>
      </c>
      <c r="C1732" s="3">
        <v>38610</v>
      </c>
      <c r="D1732" s="3">
        <v>38758</v>
      </c>
      <c r="E1732" t="s">
        <v>18</v>
      </c>
      <c r="F1732">
        <v>1</v>
      </c>
      <c r="G1732">
        <v>25200</v>
      </c>
      <c r="H1732">
        <v>25200</v>
      </c>
      <c r="I1732" s="4">
        <v>38686</v>
      </c>
      <c r="J1732" s="5">
        <f t="shared" si="54"/>
        <v>-72</v>
      </c>
      <c r="K1732" s="6" t="str">
        <f t="shared" si="55"/>
        <v>A~0</v>
      </c>
      <c r="L1732" t="str">
        <f>IF(J1732&lt;0,"A~0",VLOOKUP(J1732,[1]作法V!$B$1:$C$9,2,TRUE))</f>
        <v>A~0</v>
      </c>
    </row>
    <row r="1733" spans="1:12">
      <c r="A1733">
        <v>1135</v>
      </c>
      <c r="B1733" t="s">
        <v>26</v>
      </c>
      <c r="C1733" s="3">
        <v>38610</v>
      </c>
      <c r="D1733" s="3">
        <v>38758</v>
      </c>
      <c r="E1733" t="s">
        <v>18</v>
      </c>
      <c r="F1733">
        <v>1</v>
      </c>
      <c r="G1733">
        <v>2940</v>
      </c>
      <c r="H1733">
        <v>2940</v>
      </c>
      <c r="I1733" s="4">
        <v>38686</v>
      </c>
      <c r="J1733" s="5">
        <f t="shared" si="54"/>
        <v>-72</v>
      </c>
      <c r="K1733" s="6" t="str">
        <f t="shared" si="55"/>
        <v>A~0</v>
      </c>
      <c r="L1733" t="str">
        <f>IF(J1733&lt;0,"A~0",VLOOKUP(J1733,[1]作法V!$B$1:$C$9,2,TRUE))</f>
        <v>A~0</v>
      </c>
    </row>
    <row r="1734" spans="1:12">
      <c r="A1734">
        <v>1135</v>
      </c>
      <c r="B1734" t="s">
        <v>26</v>
      </c>
      <c r="C1734" s="3">
        <v>38610</v>
      </c>
      <c r="D1734" s="3">
        <v>38758</v>
      </c>
      <c r="E1734" t="s">
        <v>18</v>
      </c>
      <c r="F1734">
        <v>1</v>
      </c>
      <c r="G1734">
        <v>31500</v>
      </c>
      <c r="H1734">
        <v>31500</v>
      </c>
      <c r="I1734" s="4">
        <v>38686</v>
      </c>
      <c r="J1734" s="5">
        <f t="shared" si="54"/>
        <v>-72</v>
      </c>
      <c r="K1734" s="6" t="str">
        <f t="shared" si="55"/>
        <v>A~0</v>
      </c>
      <c r="L1734" t="str">
        <f>IF(J1734&lt;0,"A~0",VLOOKUP(J1734,[1]作法V!$B$1:$C$9,2,TRUE))</f>
        <v>A~0</v>
      </c>
    </row>
    <row r="1735" spans="1:12">
      <c r="A1735">
        <v>1135</v>
      </c>
      <c r="B1735" t="s">
        <v>26</v>
      </c>
      <c r="C1735" s="3">
        <v>38610</v>
      </c>
      <c r="D1735" s="3">
        <v>38758</v>
      </c>
      <c r="E1735" t="s">
        <v>18</v>
      </c>
      <c r="F1735">
        <v>1</v>
      </c>
      <c r="G1735">
        <v>50400</v>
      </c>
      <c r="H1735">
        <v>50400</v>
      </c>
      <c r="I1735" s="4">
        <v>38686</v>
      </c>
      <c r="J1735" s="5">
        <f t="shared" si="54"/>
        <v>-72</v>
      </c>
      <c r="K1735" s="6" t="str">
        <f t="shared" si="55"/>
        <v>A~0</v>
      </c>
      <c r="L1735" t="str">
        <f>IF(J1735&lt;0,"A~0",VLOOKUP(J1735,[1]作法V!$B$1:$C$9,2,TRUE))</f>
        <v>A~0</v>
      </c>
    </row>
    <row r="1736" spans="1:12">
      <c r="A1736">
        <v>1135</v>
      </c>
      <c r="B1736" t="s">
        <v>26</v>
      </c>
      <c r="C1736" s="3">
        <v>38610</v>
      </c>
      <c r="D1736" s="3">
        <v>38758</v>
      </c>
      <c r="E1736" t="s">
        <v>18</v>
      </c>
      <c r="F1736">
        <v>1</v>
      </c>
      <c r="G1736">
        <v>35280</v>
      </c>
      <c r="H1736">
        <v>35280</v>
      </c>
      <c r="I1736" s="4">
        <v>38686</v>
      </c>
      <c r="J1736" s="5">
        <f t="shared" si="54"/>
        <v>-72</v>
      </c>
      <c r="K1736" s="6" t="str">
        <f t="shared" si="55"/>
        <v>A~0</v>
      </c>
      <c r="L1736" t="str">
        <f>IF(J1736&lt;0,"A~0",VLOOKUP(J1736,[1]作法V!$B$1:$C$9,2,TRUE))</f>
        <v>A~0</v>
      </c>
    </row>
    <row r="1737" spans="1:12">
      <c r="A1737">
        <v>1135</v>
      </c>
      <c r="B1737" t="s">
        <v>26</v>
      </c>
      <c r="C1737" s="3">
        <v>38610</v>
      </c>
      <c r="D1737" s="3">
        <v>38758</v>
      </c>
      <c r="E1737" t="s">
        <v>18</v>
      </c>
      <c r="F1737">
        <v>1</v>
      </c>
      <c r="G1737">
        <v>33000</v>
      </c>
      <c r="H1737">
        <v>33000</v>
      </c>
      <c r="I1737" s="4">
        <v>38686</v>
      </c>
      <c r="J1737" s="5">
        <f t="shared" si="54"/>
        <v>-72</v>
      </c>
      <c r="K1737" s="6" t="str">
        <f t="shared" si="55"/>
        <v>A~0</v>
      </c>
      <c r="L1737" t="str">
        <f>IF(J1737&lt;0,"A~0",VLOOKUP(J1737,[1]作法V!$B$1:$C$9,2,TRUE))</f>
        <v>A~0</v>
      </c>
    </row>
    <row r="1738" spans="1:12">
      <c r="A1738">
        <v>1135</v>
      </c>
      <c r="B1738" t="s">
        <v>26</v>
      </c>
      <c r="C1738" s="3">
        <v>38614</v>
      </c>
      <c r="D1738" s="3">
        <v>38758</v>
      </c>
      <c r="E1738" t="s">
        <v>18</v>
      </c>
      <c r="F1738">
        <v>1</v>
      </c>
      <c r="G1738">
        <v>19500</v>
      </c>
      <c r="H1738">
        <v>19500</v>
      </c>
      <c r="I1738" s="4">
        <v>38686</v>
      </c>
      <c r="J1738" s="5">
        <f t="shared" si="54"/>
        <v>-72</v>
      </c>
      <c r="K1738" s="6" t="str">
        <f t="shared" si="55"/>
        <v>A~0</v>
      </c>
      <c r="L1738" t="str">
        <f>IF(J1738&lt;0,"A~0",VLOOKUP(J1738,[1]作法V!$B$1:$C$9,2,TRUE))</f>
        <v>A~0</v>
      </c>
    </row>
    <row r="1739" spans="1:12">
      <c r="A1739">
        <v>1135</v>
      </c>
      <c r="B1739" t="s">
        <v>26</v>
      </c>
      <c r="C1739" s="3">
        <v>38615</v>
      </c>
      <c r="D1739" s="3">
        <v>38758</v>
      </c>
      <c r="E1739" t="s">
        <v>18</v>
      </c>
      <c r="F1739">
        <v>1</v>
      </c>
      <c r="G1739">
        <v>2520</v>
      </c>
      <c r="H1739">
        <v>2520</v>
      </c>
      <c r="I1739" s="4">
        <v>38686</v>
      </c>
      <c r="J1739" s="5">
        <f t="shared" si="54"/>
        <v>-72</v>
      </c>
      <c r="K1739" s="6" t="str">
        <f t="shared" si="55"/>
        <v>A~0</v>
      </c>
      <c r="L1739" t="str">
        <f>IF(J1739&lt;0,"A~0",VLOOKUP(J1739,[1]作法V!$B$1:$C$9,2,TRUE))</f>
        <v>A~0</v>
      </c>
    </row>
    <row r="1740" spans="1:12">
      <c r="A1740">
        <v>1135</v>
      </c>
      <c r="B1740" t="s">
        <v>26</v>
      </c>
      <c r="C1740" s="3">
        <v>38615</v>
      </c>
      <c r="D1740" s="3">
        <v>38758</v>
      </c>
      <c r="E1740" t="s">
        <v>18</v>
      </c>
      <c r="F1740">
        <v>1</v>
      </c>
      <c r="G1740">
        <v>126000</v>
      </c>
      <c r="H1740">
        <v>126000</v>
      </c>
      <c r="I1740" s="4">
        <v>38686</v>
      </c>
      <c r="J1740" s="5">
        <f t="shared" si="54"/>
        <v>-72</v>
      </c>
      <c r="K1740" s="6" t="str">
        <f t="shared" si="55"/>
        <v>A~0</v>
      </c>
      <c r="L1740" t="str">
        <f>IF(J1740&lt;0,"A~0",VLOOKUP(J1740,[1]作法V!$B$1:$C$9,2,TRUE))</f>
        <v>A~0</v>
      </c>
    </row>
    <row r="1741" spans="1:12">
      <c r="A1741">
        <v>1135</v>
      </c>
      <c r="B1741" t="s">
        <v>26</v>
      </c>
      <c r="C1741" s="3">
        <v>38616</v>
      </c>
      <c r="D1741" s="3">
        <v>38758</v>
      </c>
      <c r="E1741" t="s">
        <v>18</v>
      </c>
      <c r="F1741">
        <v>1</v>
      </c>
      <c r="G1741">
        <v>84000</v>
      </c>
      <c r="H1741">
        <v>84000</v>
      </c>
      <c r="I1741" s="4">
        <v>38686</v>
      </c>
      <c r="J1741" s="5">
        <f t="shared" si="54"/>
        <v>-72</v>
      </c>
      <c r="K1741" s="6" t="str">
        <f t="shared" si="55"/>
        <v>A~0</v>
      </c>
      <c r="L1741" t="str">
        <f>IF(J1741&lt;0,"A~0",VLOOKUP(J1741,[1]作法V!$B$1:$C$9,2,TRUE))</f>
        <v>A~0</v>
      </c>
    </row>
    <row r="1742" spans="1:12">
      <c r="A1742">
        <v>1135</v>
      </c>
      <c r="B1742" t="s">
        <v>26</v>
      </c>
      <c r="C1742" s="3">
        <v>38616</v>
      </c>
      <c r="D1742" s="3">
        <v>38758</v>
      </c>
      <c r="E1742" t="s">
        <v>18</v>
      </c>
      <c r="F1742">
        <v>1</v>
      </c>
      <c r="G1742">
        <v>28020</v>
      </c>
      <c r="H1742">
        <v>28020</v>
      </c>
      <c r="I1742" s="4">
        <v>38686</v>
      </c>
      <c r="J1742" s="5">
        <f t="shared" si="54"/>
        <v>-72</v>
      </c>
      <c r="K1742" s="6" t="str">
        <f t="shared" si="55"/>
        <v>A~0</v>
      </c>
      <c r="L1742" t="str">
        <f>IF(J1742&lt;0,"A~0",VLOOKUP(J1742,[1]作法V!$B$1:$C$9,2,TRUE))</f>
        <v>A~0</v>
      </c>
    </row>
    <row r="1743" spans="1:12">
      <c r="A1743">
        <v>1135</v>
      </c>
      <c r="B1743" t="s">
        <v>26</v>
      </c>
      <c r="C1743" s="3">
        <v>38616</v>
      </c>
      <c r="D1743" s="3">
        <v>38758</v>
      </c>
      <c r="E1743" t="s">
        <v>18</v>
      </c>
      <c r="F1743">
        <v>1</v>
      </c>
      <c r="G1743">
        <v>150000</v>
      </c>
      <c r="H1743">
        <v>150000</v>
      </c>
      <c r="I1743" s="4">
        <v>38686</v>
      </c>
      <c r="J1743" s="5">
        <f t="shared" si="54"/>
        <v>-72</v>
      </c>
      <c r="K1743" s="6" t="str">
        <f t="shared" si="55"/>
        <v>A~0</v>
      </c>
      <c r="L1743" t="str">
        <f>IF(J1743&lt;0,"A~0",VLOOKUP(J1743,[1]作法V!$B$1:$C$9,2,TRUE))</f>
        <v>A~0</v>
      </c>
    </row>
    <row r="1744" spans="1:12">
      <c r="A1744">
        <v>1135</v>
      </c>
      <c r="B1744" t="s">
        <v>26</v>
      </c>
      <c r="C1744" s="3">
        <v>38617</v>
      </c>
      <c r="D1744" s="3">
        <v>38758</v>
      </c>
      <c r="E1744" t="s">
        <v>18</v>
      </c>
      <c r="F1744">
        <v>1</v>
      </c>
      <c r="G1744">
        <v>29988</v>
      </c>
      <c r="H1744">
        <v>29988</v>
      </c>
      <c r="I1744" s="4">
        <v>38686</v>
      </c>
      <c r="J1744" s="5">
        <f t="shared" si="54"/>
        <v>-72</v>
      </c>
      <c r="K1744" s="6" t="str">
        <f t="shared" si="55"/>
        <v>A~0</v>
      </c>
      <c r="L1744" t="str">
        <f>IF(J1744&lt;0,"A~0",VLOOKUP(J1744,[1]作法V!$B$1:$C$9,2,TRUE))</f>
        <v>A~0</v>
      </c>
    </row>
    <row r="1745" spans="1:12">
      <c r="A1745">
        <v>1135</v>
      </c>
      <c r="B1745" t="s">
        <v>26</v>
      </c>
      <c r="C1745" s="3">
        <v>38617</v>
      </c>
      <c r="D1745" s="3">
        <v>38758</v>
      </c>
      <c r="E1745" t="s">
        <v>18</v>
      </c>
      <c r="F1745">
        <v>1</v>
      </c>
      <c r="G1745">
        <v>11907</v>
      </c>
      <c r="H1745">
        <v>11907</v>
      </c>
      <c r="I1745" s="4">
        <v>38686</v>
      </c>
      <c r="J1745" s="5">
        <f t="shared" si="54"/>
        <v>-72</v>
      </c>
      <c r="K1745" s="6" t="str">
        <f t="shared" si="55"/>
        <v>A~0</v>
      </c>
      <c r="L1745" t="str">
        <f>IF(J1745&lt;0,"A~0",VLOOKUP(J1745,[1]作法V!$B$1:$C$9,2,TRUE))</f>
        <v>A~0</v>
      </c>
    </row>
    <row r="1746" spans="1:12">
      <c r="A1746">
        <v>1135</v>
      </c>
      <c r="B1746" t="s">
        <v>26</v>
      </c>
      <c r="C1746" s="3">
        <v>38617</v>
      </c>
      <c r="D1746" s="3">
        <v>38758</v>
      </c>
      <c r="E1746" t="s">
        <v>18</v>
      </c>
      <c r="F1746">
        <v>1</v>
      </c>
      <c r="G1746">
        <v>17640</v>
      </c>
      <c r="H1746">
        <v>17640</v>
      </c>
      <c r="I1746" s="4">
        <v>38686</v>
      </c>
      <c r="J1746" s="5">
        <f t="shared" si="54"/>
        <v>-72</v>
      </c>
      <c r="K1746" s="6" t="str">
        <f t="shared" si="55"/>
        <v>A~0</v>
      </c>
      <c r="L1746" t="str">
        <f>IF(J1746&lt;0,"A~0",VLOOKUP(J1746,[1]作法V!$B$1:$C$9,2,TRUE))</f>
        <v>A~0</v>
      </c>
    </row>
    <row r="1747" spans="1:12">
      <c r="A1747">
        <v>1135</v>
      </c>
      <c r="B1747" t="s">
        <v>26</v>
      </c>
      <c r="C1747" s="3">
        <v>38617</v>
      </c>
      <c r="D1747" s="3">
        <v>38758</v>
      </c>
      <c r="E1747" t="s">
        <v>18</v>
      </c>
      <c r="F1747">
        <v>1</v>
      </c>
      <c r="G1747">
        <v>5954</v>
      </c>
      <c r="H1747">
        <v>5954</v>
      </c>
      <c r="I1747" s="4">
        <v>38686</v>
      </c>
      <c r="J1747" s="5">
        <f t="shared" si="54"/>
        <v>-72</v>
      </c>
      <c r="K1747" s="6" t="str">
        <f t="shared" si="55"/>
        <v>A~0</v>
      </c>
      <c r="L1747" t="str">
        <f>IF(J1747&lt;0,"A~0",VLOOKUP(J1747,[1]作法V!$B$1:$C$9,2,TRUE))</f>
        <v>A~0</v>
      </c>
    </row>
    <row r="1748" spans="1:12">
      <c r="A1748">
        <v>1135</v>
      </c>
      <c r="B1748" t="s">
        <v>26</v>
      </c>
      <c r="C1748" s="3">
        <v>38617</v>
      </c>
      <c r="D1748" s="3">
        <v>38758</v>
      </c>
      <c r="E1748" t="s">
        <v>18</v>
      </c>
      <c r="F1748">
        <v>1</v>
      </c>
      <c r="G1748">
        <v>11466</v>
      </c>
      <c r="H1748">
        <v>11466</v>
      </c>
      <c r="I1748" s="4">
        <v>38686</v>
      </c>
      <c r="J1748" s="5">
        <f t="shared" si="54"/>
        <v>-72</v>
      </c>
      <c r="K1748" s="6" t="str">
        <f t="shared" si="55"/>
        <v>A~0</v>
      </c>
      <c r="L1748" t="str">
        <f>IF(J1748&lt;0,"A~0",VLOOKUP(J1748,[1]作法V!$B$1:$C$9,2,TRUE))</f>
        <v>A~0</v>
      </c>
    </row>
    <row r="1749" spans="1:12">
      <c r="A1749">
        <v>1135</v>
      </c>
      <c r="B1749" t="s">
        <v>26</v>
      </c>
      <c r="C1749" s="3">
        <v>38617</v>
      </c>
      <c r="D1749" s="3">
        <v>38758</v>
      </c>
      <c r="E1749" t="s">
        <v>18</v>
      </c>
      <c r="F1749">
        <v>1</v>
      </c>
      <c r="G1749">
        <v>7875</v>
      </c>
      <c r="H1749">
        <v>7875</v>
      </c>
      <c r="I1749" s="4">
        <v>38686</v>
      </c>
      <c r="J1749" s="5">
        <f t="shared" si="54"/>
        <v>-72</v>
      </c>
      <c r="K1749" s="6" t="str">
        <f t="shared" si="55"/>
        <v>A~0</v>
      </c>
      <c r="L1749" t="str">
        <f>IF(J1749&lt;0,"A~0",VLOOKUP(J1749,[1]作法V!$B$1:$C$9,2,TRUE))</f>
        <v>A~0</v>
      </c>
    </row>
    <row r="1750" spans="1:12">
      <c r="A1750">
        <v>1135</v>
      </c>
      <c r="B1750" t="s">
        <v>26</v>
      </c>
      <c r="C1750" s="3">
        <v>38617</v>
      </c>
      <c r="D1750" s="3">
        <v>38758</v>
      </c>
      <c r="E1750" t="s">
        <v>18</v>
      </c>
      <c r="F1750">
        <v>1</v>
      </c>
      <c r="G1750">
        <v>4988</v>
      </c>
      <c r="H1750">
        <v>4988</v>
      </c>
      <c r="I1750" s="4">
        <v>38686</v>
      </c>
      <c r="J1750" s="5">
        <f t="shared" si="54"/>
        <v>-72</v>
      </c>
      <c r="K1750" s="6" t="str">
        <f t="shared" si="55"/>
        <v>A~0</v>
      </c>
      <c r="L1750" t="str">
        <f>IF(J1750&lt;0,"A~0",VLOOKUP(J1750,[1]作法V!$B$1:$C$9,2,TRUE))</f>
        <v>A~0</v>
      </c>
    </row>
    <row r="1751" spans="1:12">
      <c r="A1751">
        <v>1135</v>
      </c>
      <c r="B1751" t="s">
        <v>26</v>
      </c>
      <c r="C1751" s="3">
        <v>38617</v>
      </c>
      <c r="D1751" s="3">
        <v>38758</v>
      </c>
      <c r="E1751" t="s">
        <v>18</v>
      </c>
      <c r="F1751">
        <v>1</v>
      </c>
      <c r="G1751">
        <v>25200</v>
      </c>
      <c r="H1751">
        <v>25200</v>
      </c>
      <c r="I1751" s="4">
        <v>38686</v>
      </c>
      <c r="J1751" s="5">
        <f t="shared" si="54"/>
        <v>-72</v>
      </c>
      <c r="K1751" s="6" t="str">
        <f t="shared" si="55"/>
        <v>A~0</v>
      </c>
      <c r="L1751" t="str">
        <f>IF(J1751&lt;0,"A~0",VLOOKUP(J1751,[1]作法V!$B$1:$C$9,2,TRUE))</f>
        <v>A~0</v>
      </c>
    </row>
    <row r="1752" spans="1:12">
      <c r="A1752">
        <v>1135</v>
      </c>
      <c r="B1752" t="s">
        <v>26</v>
      </c>
      <c r="C1752" s="3">
        <v>38617</v>
      </c>
      <c r="D1752" s="3">
        <v>38758</v>
      </c>
      <c r="E1752" t="s">
        <v>18</v>
      </c>
      <c r="F1752">
        <v>1</v>
      </c>
      <c r="G1752">
        <v>748</v>
      </c>
      <c r="H1752">
        <v>748</v>
      </c>
      <c r="I1752" s="4">
        <v>38686</v>
      </c>
      <c r="J1752" s="5">
        <f t="shared" si="54"/>
        <v>-72</v>
      </c>
      <c r="K1752" s="6" t="str">
        <f t="shared" si="55"/>
        <v>A~0</v>
      </c>
      <c r="L1752" t="str">
        <f>IF(J1752&lt;0,"A~0",VLOOKUP(J1752,[1]作法V!$B$1:$C$9,2,TRUE))</f>
        <v>A~0</v>
      </c>
    </row>
    <row r="1753" spans="1:12">
      <c r="A1753">
        <v>1135</v>
      </c>
      <c r="B1753" t="s">
        <v>26</v>
      </c>
      <c r="C1753" s="3">
        <v>38617</v>
      </c>
      <c r="D1753" s="3">
        <v>38758</v>
      </c>
      <c r="E1753" t="s">
        <v>18</v>
      </c>
      <c r="F1753">
        <v>1</v>
      </c>
      <c r="G1753">
        <v>2310</v>
      </c>
      <c r="H1753">
        <v>2310</v>
      </c>
      <c r="I1753" s="4">
        <v>38686</v>
      </c>
      <c r="J1753" s="5">
        <f t="shared" si="54"/>
        <v>-72</v>
      </c>
      <c r="K1753" s="6" t="str">
        <f t="shared" si="55"/>
        <v>A~0</v>
      </c>
      <c r="L1753" t="str">
        <f>IF(J1753&lt;0,"A~0",VLOOKUP(J1753,[1]作法V!$B$1:$C$9,2,TRUE))</f>
        <v>A~0</v>
      </c>
    </row>
    <row r="1754" spans="1:12">
      <c r="A1754">
        <v>1135</v>
      </c>
      <c r="B1754" t="s">
        <v>26</v>
      </c>
      <c r="C1754" s="3">
        <v>38617</v>
      </c>
      <c r="D1754" s="3">
        <v>38758</v>
      </c>
      <c r="E1754" t="s">
        <v>18</v>
      </c>
      <c r="F1754">
        <v>1</v>
      </c>
      <c r="G1754">
        <v>22050</v>
      </c>
      <c r="H1754">
        <v>22050</v>
      </c>
      <c r="I1754" s="4">
        <v>38686</v>
      </c>
      <c r="J1754" s="5">
        <f t="shared" si="54"/>
        <v>-72</v>
      </c>
      <c r="K1754" s="6" t="str">
        <f t="shared" si="55"/>
        <v>A~0</v>
      </c>
      <c r="L1754" t="str">
        <f>IF(J1754&lt;0,"A~0",VLOOKUP(J1754,[1]作法V!$B$1:$C$9,2,TRUE))</f>
        <v>A~0</v>
      </c>
    </row>
    <row r="1755" spans="1:12">
      <c r="A1755">
        <v>1135</v>
      </c>
      <c r="B1755" t="s">
        <v>26</v>
      </c>
      <c r="C1755" s="3">
        <v>38617</v>
      </c>
      <c r="D1755" s="3">
        <v>38758</v>
      </c>
      <c r="E1755" t="s">
        <v>18</v>
      </c>
      <c r="F1755">
        <v>1</v>
      </c>
      <c r="G1755">
        <v>6300</v>
      </c>
      <c r="H1755">
        <v>6300</v>
      </c>
      <c r="I1755" s="4">
        <v>38686</v>
      </c>
      <c r="J1755" s="5">
        <f t="shared" si="54"/>
        <v>-72</v>
      </c>
      <c r="K1755" s="6" t="str">
        <f t="shared" si="55"/>
        <v>A~0</v>
      </c>
      <c r="L1755" t="str">
        <f>IF(J1755&lt;0,"A~0",VLOOKUP(J1755,[1]作法V!$B$1:$C$9,2,TRUE))</f>
        <v>A~0</v>
      </c>
    </row>
    <row r="1756" spans="1:12">
      <c r="A1756">
        <v>1135</v>
      </c>
      <c r="B1756" t="s">
        <v>26</v>
      </c>
      <c r="C1756" s="3">
        <v>38618</v>
      </c>
      <c r="D1756" s="3">
        <v>38758</v>
      </c>
      <c r="E1756" t="s">
        <v>18</v>
      </c>
      <c r="F1756">
        <v>1</v>
      </c>
      <c r="G1756">
        <v>12705</v>
      </c>
      <c r="H1756">
        <v>12705</v>
      </c>
      <c r="I1756" s="4">
        <v>38686</v>
      </c>
      <c r="J1756" s="5">
        <f t="shared" si="54"/>
        <v>-72</v>
      </c>
      <c r="K1756" s="6" t="str">
        <f t="shared" si="55"/>
        <v>A~0</v>
      </c>
      <c r="L1756" t="str">
        <f>IF(J1756&lt;0,"A~0",VLOOKUP(J1756,[1]作法V!$B$1:$C$9,2,TRUE))</f>
        <v>A~0</v>
      </c>
    </row>
    <row r="1757" spans="1:12">
      <c r="A1757">
        <v>1135</v>
      </c>
      <c r="B1757" t="s">
        <v>26</v>
      </c>
      <c r="C1757" s="3">
        <v>38618</v>
      </c>
      <c r="D1757" s="3">
        <v>38758</v>
      </c>
      <c r="E1757" t="s">
        <v>18</v>
      </c>
      <c r="F1757">
        <v>1</v>
      </c>
      <c r="G1757">
        <v>17325</v>
      </c>
      <c r="H1757">
        <v>17325</v>
      </c>
      <c r="I1757" s="4">
        <v>38686</v>
      </c>
      <c r="J1757" s="5">
        <f t="shared" si="54"/>
        <v>-72</v>
      </c>
      <c r="K1757" s="6" t="str">
        <f t="shared" si="55"/>
        <v>A~0</v>
      </c>
      <c r="L1757" t="str">
        <f>IF(J1757&lt;0,"A~0",VLOOKUP(J1757,[1]作法V!$B$1:$C$9,2,TRUE))</f>
        <v>A~0</v>
      </c>
    </row>
    <row r="1758" spans="1:12">
      <c r="A1758">
        <v>1135</v>
      </c>
      <c r="B1758" t="s">
        <v>26</v>
      </c>
      <c r="C1758" s="3">
        <v>38618</v>
      </c>
      <c r="D1758" s="3">
        <v>38758</v>
      </c>
      <c r="E1758" t="s">
        <v>18</v>
      </c>
      <c r="F1758">
        <v>1</v>
      </c>
      <c r="G1758">
        <v>300000</v>
      </c>
      <c r="H1758">
        <v>300000</v>
      </c>
      <c r="I1758" s="4">
        <v>38686</v>
      </c>
      <c r="J1758" s="5">
        <f t="shared" si="54"/>
        <v>-72</v>
      </c>
      <c r="K1758" s="6" t="str">
        <f t="shared" si="55"/>
        <v>A~0</v>
      </c>
      <c r="L1758" t="str">
        <f>IF(J1758&lt;0,"A~0",VLOOKUP(J1758,[1]作法V!$B$1:$C$9,2,TRUE))</f>
        <v>A~0</v>
      </c>
    </row>
    <row r="1759" spans="1:12">
      <c r="A1759">
        <v>1135</v>
      </c>
      <c r="B1759" t="s">
        <v>26</v>
      </c>
      <c r="C1759" s="3">
        <v>38621</v>
      </c>
      <c r="D1759" s="3">
        <v>38758</v>
      </c>
      <c r="E1759" t="s">
        <v>18</v>
      </c>
      <c r="F1759">
        <v>1</v>
      </c>
      <c r="G1759">
        <v>39690</v>
      </c>
      <c r="H1759">
        <v>39690</v>
      </c>
      <c r="I1759" s="4">
        <v>38686</v>
      </c>
      <c r="J1759" s="5">
        <f t="shared" si="54"/>
        <v>-72</v>
      </c>
      <c r="K1759" s="6" t="str">
        <f t="shared" si="55"/>
        <v>A~0</v>
      </c>
      <c r="L1759" t="str">
        <f>IF(J1759&lt;0,"A~0",VLOOKUP(J1759,[1]作法V!$B$1:$C$9,2,TRUE))</f>
        <v>A~0</v>
      </c>
    </row>
    <row r="1760" spans="1:12">
      <c r="A1760">
        <v>1135</v>
      </c>
      <c r="B1760" t="s">
        <v>26</v>
      </c>
      <c r="C1760" s="3">
        <v>38621</v>
      </c>
      <c r="D1760" s="3">
        <v>38786</v>
      </c>
      <c r="E1760" t="s">
        <v>18</v>
      </c>
      <c r="F1760">
        <v>1</v>
      </c>
      <c r="G1760">
        <v>3150</v>
      </c>
      <c r="H1760">
        <v>3150</v>
      </c>
      <c r="I1760" s="4">
        <v>38686</v>
      </c>
      <c r="J1760" s="5">
        <f t="shared" si="54"/>
        <v>-100</v>
      </c>
      <c r="K1760" s="6" t="str">
        <f t="shared" si="55"/>
        <v>A~0</v>
      </c>
      <c r="L1760" t="str">
        <f>IF(J1760&lt;0,"A~0",VLOOKUP(J1760,[1]作法V!$B$1:$C$9,2,TRUE))</f>
        <v>A~0</v>
      </c>
    </row>
    <row r="1761" spans="1:12">
      <c r="A1761">
        <v>1135</v>
      </c>
      <c r="B1761" t="s">
        <v>26</v>
      </c>
      <c r="C1761" s="3">
        <v>38621</v>
      </c>
      <c r="D1761" s="3">
        <v>38786</v>
      </c>
      <c r="E1761" t="s">
        <v>18</v>
      </c>
      <c r="F1761">
        <v>1</v>
      </c>
      <c r="G1761">
        <v>26460</v>
      </c>
      <c r="H1761">
        <v>26460</v>
      </c>
      <c r="I1761" s="4">
        <v>38686</v>
      </c>
      <c r="J1761" s="5">
        <f t="shared" si="54"/>
        <v>-100</v>
      </c>
      <c r="K1761" s="6" t="str">
        <f t="shared" si="55"/>
        <v>A~0</v>
      </c>
      <c r="L1761" t="str">
        <f>IF(J1761&lt;0,"A~0",VLOOKUP(J1761,[1]作法V!$B$1:$C$9,2,TRUE))</f>
        <v>A~0</v>
      </c>
    </row>
    <row r="1762" spans="1:12">
      <c r="A1762">
        <v>1135</v>
      </c>
      <c r="B1762" t="s">
        <v>26</v>
      </c>
      <c r="C1762" s="3">
        <v>38621</v>
      </c>
      <c r="D1762" s="3">
        <v>38786</v>
      </c>
      <c r="E1762" t="s">
        <v>18</v>
      </c>
      <c r="F1762">
        <v>1</v>
      </c>
      <c r="G1762">
        <v>115500</v>
      </c>
      <c r="H1762">
        <v>115500</v>
      </c>
      <c r="I1762" s="4">
        <v>38686</v>
      </c>
      <c r="J1762" s="5">
        <f t="shared" si="54"/>
        <v>-100</v>
      </c>
      <c r="K1762" s="6" t="str">
        <f t="shared" si="55"/>
        <v>A~0</v>
      </c>
      <c r="L1762" t="str">
        <f>IF(J1762&lt;0,"A~0",VLOOKUP(J1762,[1]作法V!$B$1:$C$9,2,TRUE))</f>
        <v>A~0</v>
      </c>
    </row>
    <row r="1763" spans="1:12">
      <c r="A1763">
        <v>1135</v>
      </c>
      <c r="B1763" t="s">
        <v>26</v>
      </c>
      <c r="C1763" s="3">
        <v>38621</v>
      </c>
      <c r="D1763" s="3">
        <v>38786</v>
      </c>
      <c r="E1763" t="s">
        <v>18</v>
      </c>
      <c r="F1763">
        <v>1</v>
      </c>
      <c r="G1763">
        <v>17640</v>
      </c>
      <c r="H1763">
        <v>17640</v>
      </c>
      <c r="I1763" s="4">
        <v>38686</v>
      </c>
      <c r="J1763" s="5">
        <f t="shared" si="54"/>
        <v>-100</v>
      </c>
      <c r="K1763" s="6" t="str">
        <f t="shared" si="55"/>
        <v>A~0</v>
      </c>
      <c r="L1763" t="str">
        <f>IF(J1763&lt;0,"A~0",VLOOKUP(J1763,[1]作法V!$B$1:$C$9,2,TRUE))</f>
        <v>A~0</v>
      </c>
    </row>
    <row r="1764" spans="1:12">
      <c r="A1764">
        <v>1135</v>
      </c>
      <c r="B1764" t="s">
        <v>26</v>
      </c>
      <c r="C1764" s="3">
        <v>38621</v>
      </c>
      <c r="D1764" s="3">
        <v>38786</v>
      </c>
      <c r="E1764" t="s">
        <v>18</v>
      </c>
      <c r="F1764">
        <v>1</v>
      </c>
      <c r="G1764">
        <v>23310</v>
      </c>
      <c r="H1764">
        <v>23310</v>
      </c>
      <c r="I1764" s="4">
        <v>38686</v>
      </c>
      <c r="J1764" s="5">
        <f t="shared" si="54"/>
        <v>-100</v>
      </c>
      <c r="K1764" s="6" t="str">
        <f t="shared" si="55"/>
        <v>A~0</v>
      </c>
      <c r="L1764" t="str">
        <f>IF(J1764&lt;0,"A~0",VLOOKUP(J1764,[1]作法V!$B$1:$C$9,2,TRUE))</f>
        <v>A~0</v>
      </c>
    </row>
    <row r="1765" spans="1:12">
      <c r="A1765">
        <v>1135</v>
      </c>
      <c r="B1765" t="s">
        <v>26</v>
      </c>
      <c r="C1765" s="3">
        <v>38621</v>
      </c>
      <c r="D1765" s="3">
        <v>38786</v>
      </c>
      <c r="E1765" t="s">
        <v>18</v>
      </c>
      <c r="F1765">
        <v>1</v>
      </c>
      <c r="G1765">
        <v>4586</v>
      </c>
      <c r="H1765">
        <v>4586</v>
      </c>
      <c r="I1765" s="4">
        <v>38686</v>
      </c>
      <c r="J1765" s="5">
        <f t="shared" si="54"/>
        <v>-100</v>
      </c>
      <c r="K1765" s="6" t="str">
        <f t="shared" si="55"/>
        <v>A~0</v>
      </c>
      <c r="L1765" t="str">
        <f>IF(J1765&lt;0,"A~0",VLOOKUP(J1765,[1]作法V!$B$1:$C$9,2,TRUE))</f>
        <v>A~0</v>
      </c>
    </row>
    <row r="1766" spans="1:12">
      <c r="A1766">
        <v>1135</v>
      </c>
      <c r="B1766" t="s">
        <v>26</v>
      </c>
      <c r="C1766" s="3">
        <v>38621</v>
      </c>
      <c r="D1766" s="3">
        <v>38786</v>
      </c>
      <c r="E1766" t="s">
        <v>18</v>
      </c>
      <c r="F1766">
        <v>1</v>
      </c>
      <c r="G1766">
        <v>4586</v>
      </c>
      <c r="H1766">
        <v>4586</v>
      </c>
      <c r="I1766" s="4">
        <v>38686</v>
      </c>
      <c r="J1766" s="5">
        <f t="shared" si="54"/>
        <v>-100</v>
      </c>
      <c r="K1766" s="6" t="str">
        <f t="shared" si="55"/>
        <v>A~0</v>
      </c>
      <c r="L1766" t="str">
        <f>IF(J1766&lt;0,"A~0",VLOOKUP(J1766,[1]作法V!$B$1:$C$9,2,TRUE))</f>
        <v>A~0</v>
      </c>
    </row>
    <row r="1767" spans="1:12">
      <c r="A1767">
        <v>1135</v>
      </c>
      <c r="B1767" t="s">
        <v>26</v>
      </c>
      <c r="C1767" s="3">
        <v>38621</v>
      </c>
      <c r="D1767" s="3">
        <v>38786</v>
      </c>
      <c r="E1767" t="s">
        <v>18</v>
      </c>
      <c r="F1767">
        <v>1</v>
      </c>
      <c r="G1767">
        <v>9450</v>
      </c>
      <c r="H1767">
        <v>9450</v>
      </c>
      <c r="I1767" s="4">
        <v>38686</v>
      </c>
      <c r="J1767" s="5">
        <f t="shared" si="54"/>
        <v>-100</v>
      </c>
      <c r="K1767" s="6" t="str">
        <f t="shared" si="55"/>
        <v>A~0</v>
      </c>
      <c r="L1767" t="str">
        <f>IF(J1767&lt;0,"A~0",VLOOKUP(J1767,[1]作法V!$B$1:$C$9,2,TRUE))</f>
        <v>A~0</v>
      </c>
    </row>
    <row r="1768" spans="1:12">
      <c r="A1768">
        <v>1135</v>
      </c>
      <c r="B1768" t="s">
        <v>26</v>
      </c>
      <c r="C1768" s="3">
        <v>38621</v>
      </c>
      <c r="D1768" s="3">
        <v>38786</v>
      </c>
      <c r="E1768" t="s">
        <v>18</v>
      </c>
      <c r="F1768">
        <v>1</v>
      </c>
      <c r="G1768">
        <v>4725</v>
      </c>
      <c r="H1768">
        <v>4725</v>
      </c>
      <c r="I1768" s="4">
        <v>38686</v>
      </c>
      <c r="J1768" s="5">
        <f t="shared" si="54"/>
        <v>-100</v>
      </c>
      <c r="K1768" s="6" t="str">
        <f t="shared" si="55"/>
        <v>A~0</v>
      </c>
      <c r="L1768" t="str">
        <f>IF(J1768&lt;0,"A~0",VLOOKUP(J1768,[1]作法V!$B$1:$C$9,2,TRUE))</f>
        <v>A~0</v>
      </c>
    </row>
    <row r="1769" spans="1:12">
      <c r="A1769">
        <v>1135</v>
      </c>
      <c r="B1769" t="s">
        <v>26</v>
      </c>
      <c r="C1769" s="3">
        <v>38621</v>
      </c>
      <c r="D1769" s="3">
        <v>38786</v>
      </c>
      <c r="E1769" t="s">
        <v>18</v>
      </c>
      <c r="F1769">
        <v>1</v>
      </c>
      <c r="G1769">
        <v>6825</v>
      </c>
      <c r="H1769">
        <v>6825</v>
      </c>
      <c r="I1769" s="4">
        <v>38686</v>
      </c>
      <c r="J1769" s="5">
        <f t="shared" si="54"/>
        <v>-100</v>
      </c>
      <c r="K1769" s="6" t="str">
        <f t="shared" si="55"/>
        <v>A~0</v>
      </c>
      <c r="L1769" t="str">
        <f>IF(J1769&lt;0,"A~0",VLOOKUP(J1769,[1]作法V!$B$1:$C$9,2,TRUE))</f>
        <v>A~0</v>
      </c>
    </row>
    <row r="1770" spans="1:12">
      <c r="A1770">
        <v>1135</v>
      </c>
      <c r="B1770" t="s">
        <v>26</v>
      </c>
      <c r="C1770" s="3">
        <v>38621</v>
      </c>
      <c r="D1770" s="3">
        <v>38786</v>
      </c>
      <c r="E1770" t="s">
        <v>18</v>
      </c>
      <c r="F1770">
        <v>1</v>
      </c>
      <c r="G1770">
        <v>14112</v>
      </c>
      <c r="H1770">
        <v>14112</v>
      </c>
      <c r="I1770" s="4">
        <v>38686</v>
      </c>
      <c r="J1770" s="5">
        <f t="shared" si="54"/>
        <v>-100</v>
      </c>
      <c r="K1770" s="6" t="str">
        <f t="shared" si="55"/>
        <v>A~0</v>
      </c>
      <c r="L1770" t="str">
        <f>IF(J1770&lt;0,"A~0",VLOOKUP(J1770,[1]作法V!$B$1:$C$9,2,TRUE))</f>
        <v>A~0</v>
      </c>
    </row>
    <row r="1771" spans="1:12">
      <c r="A1771">
        <v>1135</v>
      </c>
      <c r="B1771" t="s">
        <v>26</v>
      </c>
      <c r="C1771" s="3">
        <v>38621</v>
      </c>
      <c r="D1771" s="3">
        <v>38786</v>
      </c>
      <c r="E1771" t="s">
        <v>18</v>
      </c>
      <c r="F1771">
        <v>1</v>
      </c>
      <c r="G1771">
        <v>210000</v>
      </c>
      <c r="H1771">
        <v>210000</v>
      </c>
      <c r="I1771" s="4">
        <v>38686</v>
      </c>
      <c r="J1771" s="5">
        <f t="shared" si="54"/>
        <v>-100</v>
      </c>
      <c r="K1771" s="6" t="str">
        <f t="shared" si="55"/>
        <v>A~0</v>
      </c>
      <c r="L1771" t="str">
        <f>IF(J1771&lt;0,"A~0",VLOOKUP(J1771,[1]作法V!$B$1:$C$9,2,TRUE))</f>
        <v>A~0</v>
      </c>
    </row>
    <row r="1772" spans="1:12">
      <c r="A1772">
        <v>1135</v>
      </c>
      <c r="B1772" t="s">
        <v>26</v>
      </c>
      <c r="C1772" s="3">
        <v>38621</v>
      </c>
      <c r="D1772" s="3">
        <v>38786</v>
      </c>
      <c r="E1772" t="s">
        <v>18</v>
      </c>
      <c r="F1772">
        <v>1</v>
      </c>
      <c r="G1772">
        <v>22932</v>
      </c>
      <c r="H1772">
        <v>22932</v>
      </c>
      <c r="I1772" s="4">
        <v>38686</v>
      </c>
      <c r="J1772" s="5">
        <f t="shared" si="54"/>
        <v>-100</v>
      </c>
      <c r="K1772" s="6" t="str">
        <f t="shared" si="55"/>
        <v>A~0</v>
      </c>
      <c r="L1772" t="str">
        <f>IF(J1772&lt;0,"A~0",VLOOKUP(J1772,[1]作法V!$B$1:$C$9,2,TRUE))</f>
        <v>A~0</v>
      </c>
    </row>
    <row r="1773" spans="1:12">
      <c r="A1773">
        <v>1135</v>
      </c>
      <c r="B1773" t="s">
        <v>26</v>
      </c>
      <c r="C1773" s="3">
        <v>38621</v>
      </c>
      <c r="D1773" s="3">
        <v>38758</v>
      </c>
      <c r="E1773" t="s">
        <v>18</v>
      </c>
      <c r="F1773">
        <v>1</v>
      </c>
      <c r="G1773">
        <v>24365</v>
      </c>
      <c r="H1773">
        <v>24365</v>
      </c>
      <c r="I1773" s="4">
        <v>38686</v>
      </c>
      <c r="J1773" s="5">
        <f t="shared" si="54"/>
        <v>-72</v>
      </c>
      <c r="K1773" s="6" t="str">
        <f t="shared" si="55"/>
        <v>A~0</v>
      </c>
      <c r="L1773" t="str">
        <f>IF(J1773&lt;0,"A~0",VLOOKUP(J1773,[1]作法V!$B$1:$C$9,2,TRUE))</f>
        <v>A~0</v>
      </c>
    </row>
    <row r="1774" spans="1:12">
      <c r="A1774">
        <v>1135</v>
      </c>
      <c r="B1774" t="s">
        <v>26</v>
      </c>
      <c r="C1774" s="3">
        <v>38621</v>
      </c>
      <c r="D1774" s="3">
        <v>38758</v>
      </c>
      <c r="E1774" t="s">
        <v>18</v>
      </c>
      <c r="F1774">
        <v>1</v>
      </c>
      <c r="G1774">
        <v>16144</v>
      </c>
      <c r="H1774">
        <v>16144</v>
      </c>
      <c r="I1774" s="4">
        <v>38686</v>
      </c>
      <c r="J1774" s="5">
        <f t="shared" si="54"/>
        <v>-72</v>
      </c>
      <c r="K1774" s="6" t="str">
        <f t="shared" si="55"/>
        <v>A~0</v>
      </c>
      <c r="L1774" t="str">
        <f>IF(J1774&lt;0,"A~0",VLOOKUP(J1774,[1]作法V!$B$1:$C$9,2,TRUE))</f>
        <v>A~0</v>
      </c>
    </row>
    <row r="1775" spans="1:12">
      <c r="A1775">
        <v>1135</v>
      </c>
      <c r="B1775" t="s">
        <v>26</v>
      </c>
      <c r="C1775" s="3">
        <v>38621</v>
      </c>
      <c r="D1775" s="3">
        <v>38758</v>
      </c>
      <c r="E1775" t="s">
        <v>18</v>
      </c>
      <c r="F1775">
        <v>1</v>
      </c>
      <c r="G1775">
        <v>48563</v>
      </c>
      <c r="H1775">
        <v>48563</v>
      </c>
      <c r="I1775" s="4">
        <v>38686</v>
      </c>
      <c r="J1775" s="5">
        <f t="shared" si="54"/>
        <v>-72</v>
      </c>
      <c r="K1775" s="6" t="str">
        <f t="shared" si="55"/>
        <v>A~0</v>
      </c>
      <c r="L1775" t="str">
        <f>IF(J1775&lt;0,"A~0",VLOOKUP(J1775,[1]作法V!$B$1:$C$9,2,TRUE))</f>
        <v>A~0</v>
      </c>
    </row>
    <row r="1776" spans="1:12">
      <c r="A1776">
        <v>1135</v>
      </c>
      <c r="B1776" t="s">
        <v>26</v>
      </c>
      <c r="C1776" s="3">
        <v>38621</v>
      </c>
      <c r="D1776" s="3">
        <v>38758</v>
      </c>
      <c r="E1776" t="s">
        <v>18</v>
      </c>
      <c r="F1776">
        <v>1</v>
      </c>
      <c r="G1776">
        <v>13598</v>
      </c>
      <c r="H1776">
        <v>13598</v>
      </c>
      <c r="I1776" s="4">
        <v>38686</v>
      </c>
      <c r="J1776" s="5">
        <f t="shared" si="54"/>
        <v>-72</v>
      </c>
      <c r="K1776" s="6" t="str">
        <f t="shared" si="55"/>
        <v>A~0</v>
      </c>
      <c r="L1776" t="str">
        <f>IF(J1776&lt;0,"A~0",VLOOKUP(J1776,[1]作法V!$B$1:$C$9,2,TRUE))</f>
        <v>A~0</v>
      </c>
    </row>
    <row r="1777" spans="1:12">
      <c r="A1777">
        <v>1135</v>
      </c>
      <c r="B1777" t="s">
        <v>26</v>
      </c>
      <c r="C1777" s="3">
        <v>38623</v>
      </c>
      <c r="D1777" s="3">
        <v>38786</v>
      </c>
      <c r="E1777" t="s">
        <v>18</v>
      </c>
      <c r="F1777">
        <v>1</v>
      </c>
      <c r="G1777">
        <v>78000</v>
      </c>
      <c r="H1777">
        <v>78000</v>
      </c>
      <c r="I1777" s="4">
        <v>38686</v>
      </c>
      <c r="J1777" s="5">
        <f t="shared" si="54"/>
        <v>-100</v>
      </c>
      <c r="K1777" s="6" t="str">
        <f t="shared" si="55"/>
        <v>A~0</v>
      </c>
      <c r="L1777" t="str">
        <f>IF(J1777&lt;0,"A~0",VLOOKUP(J1777,[1]作法V!$B$1:$C$9,2,TRUE))</f>
        <v>A~0</v>
      </c>
    </row>
    <row r="1778" spans="1:12">
      <c r="A1778">
        <v>1135</v>
      </c>
      <c r="B1778" t="s">
        <v>26</v>
      </c>
      <c r="C1778" s="3">
        <v>38623</v>
      </c>
      <c r="D1778" s="3">
        <v>38786</v>
      </c>
      <c r="E1778" t="s">
        <v>18</v>
      </c>
      <c r="F1778">
        <v>1</v>
      </c>
      <c r="G1778">
        <v>19500</v>
      </c>
      <c r="H1778">
        <v>19500</v>
      </c>
      <c r="I1778" s="4">
        <v>38686</v>
      </c>
      <c r="J1778" s="5">
        <f t="shared" si="54"/>
        <v>-100</v>
      </c>
      <c r="K1778" s="6" t="str">
        <f t="shared" si="55"/>
        <v>A~0</v>
      </c>
      <c r="L1778" t="str">
        <f>IF(J1778&lt;0,"A~0",VLOOKUP(J1778,[1]作法V!$B$1:$C$9,2,TRUE))</f>
        <v>A~0</v>
      </c>
    </row>
    <row r="1779" spans="1:12">
      <c r="A1779">
        <v>1135</v>
      </c>
      <c r="B1779" t="s">
        <v>26</v>
      </c>
      <c r="C1779" s="3">
        <v>38624</v>
      </c>
      <c r="D1779" s="3">
        <v>38786</v>
      </c>
      <c r="E1779" t="s">
        <v>18</v>
      </c>
      <c r="F1779">
        <v>1</v>
      </c>
      <c r="G1779">
        <v>199500</v>
      </c>
      <c r="H1779">
        <v>199500</v>
      </c>
      <c r="I1779" s="4">
        <v>38686</v>
      </c>
      <c r="J1779" s="5">
        <f t="shared" si="54"/>
        <v>-100</v>
      </c>
      <c r="K1779" s="6" t="str">
        <f t="shared" si="55"/>
        <v>A~0</v>
      </c>
      <c r="L1779" t="str">
        <f>IF(J1779&lt;0,"A~0",VLOOKUP(J1779,[1]作法V!$B$1:$C$9,2,TRUE))</f>
        <v>A~0</v>
      </c>
    </row>
    <row r="1780" spans="1:12">
      <c r="A1780">
        <v>1135</v>
      </c>
      <c r="B1780" t="s">
        <v>26</v>
      </c>
      <c r="C1780" s="3">
        <v>38625</v>
      </c>
      <c r="D1780" s="3">
        <v>38758</v>
      </c>
      <c r="E1780" t="s">
        <v>18</v>
      </c>
      <c r="F1780">
        <v>1</v>
      </c>
      <c r="G1780">
        <v>2331</v>
      </c>
      <c r="H1780">
        <v>2331</v>
      </c>
      <c r="I1780" s="4">
        <v>38686</v>
      </c>
      <c r="J1780" s="5">
        <f t="shared" si="54"/>
        <v>-72</v>
      </c>
      <c r="K1780" s="6" t="str">
        <f t="shared" si="55"/>
        <v>A~0</v>
      </c>
      <c r="L1780" t="str">
        <f>IF(J1780&lt;0,"A~0",VLOOKUP(J1780,[1]作法V!$B$1:$C$9,2,TRUE))</f>
        <v>A~0</v>
      </c>
    </row>
    <row r="1781" spans="1:12">
      <c r="A1781">
        <v>1135</v>
      </c>
      <c r="B1781" t="s">
        <v>26</v>
      </c>
      <c r="C1781" s="3">
        <v>38631</v>
      </c>
      <c r="D1781" s="3">
        <v>38786</v>
      </c>
      <c r="E1781" t="s">
        <v>18</v>
      </c>
      <c r="F1781">
        <v>1</v>
      </c>
      <c r="G1781">
        <v>4788</v>
      </c>
      <c r="H1781">
        <v>4788</v>
      </c>
      <c r="I1781" s="4">
        <v>38686</v>
      </c>
      <c r="J1781" s="5">
        <f t="shared" si="54"/>
        <v>-100</v>
      </c>
      <c r="K1781" s="6" t="str">
        <f t="shared" si="55"/>
        <v>A~0</v>
      </c>
      <c r="L1781" t="str">
        <f>IF(J1781&lt;0,"A~0",VLOOKUP(J1781,[1]作法V!$B$1:$C$9,2,TRUE))</f>
        <v>A~0</v>
      </c>
    </row>
    <row r="1782" spans="1:12">
      <c r="A1782">
        <v>1135</v>
      </c>
      <c r="B1782" t="s">
        <v>26</v>
      </c>
      <c r="C1782" s="3">
        <v>38631</v>
      </c>
      <c r="D1782" s="3">
        <v>38786</v>
      </c>
      <c r="E1782" t="s">
        <v>18</v>
      </c>
      <c r="F1782">
        <v>1</v>
      </c>
      <c r="G1782">
        <v>2117</v>
      </c>
      <c r="H1782">
        <v>2117</v>
      </c>
      <c r="I1782" s="4">
        <v>38686</v>
      </c>
      <c r="J1782" s="5">
        <f t="shared" si="54"/>
        <v>-100</v>
      </c>
      <c r="K1782" s="6" t="str">
        <f t="shared" si="55"/>
        <v>A~0</v>
      </c>
      <c r="L1782" t="str">
        <f>IF(J1782&lt;0,"A~0",VLOOKUP(J1782,[1]作法V!$B$1:$C$9,2,TRUE))</f>
        <v>A~0</v>
      </c>
    </row>
    <row r="1783" spans="1:12">
      <c r="A1783">
        <v>1135</v>
      </c>
      <c r="B1783" t="s">
        <v>26</v>
      </c>
      <c r="C1783" s="3">
        <v>38631</v>
      </c>
      <c r="D1783" s="3">
        <v>38786</v>
      </c>
      <c r="E1783" t="s">
        <v>18</v>
      </c>
      <c r="F1783">
        <v>1</v>
      </c>
      <c r="G1783">
        <v>55440</v>
      </c>
      <c r="H1783">
        <v>55440</v>
      </c>
      <c r="I1783" s="4">
        <v>38686</v>
      </c>
      <c r="J1783" s="5">
        <f t="shared" si="54"/>
        <v>-100</v>
      </c>
      <c r="K1783" s="6" t="str">
        <f t="shared" si="55"/>
        <v>A~0</v>
      </c>
      <c r="L1783" t="str">
        <f>IF(J1783&lt;0,"A~0",VLOOKUP(J1783,[1]作法V!$B$1:$C$9,2,TRUE))</f>
        <v>A~0</v>
      </c>
    </row>
    <row r="1784" spans="1:12">
      <c r="A1784">
        <v>1135</v>
      </c>
      <c r="B1784" t="s">
        <v>26</v>
      </c>
      <c r="C1784" s="3">
        <v>38631</v>
      </c>
      <c r="D1784" s="3">
        <v>38786</v>
      </c>
      <c r="E1784" t="s">
        <v>18</v>
      </c>
      <c r="F1784">
        <v>1</v>
      </c>
      <c r="G1784">
        <v>50400</v>
      </c>
      <c r="H1784">
        <v>50400</v>
      </c>
      <c r="I1784" s="4">
        <v>38686</v>
      </c>
      <c r="J1784" s="5">
        <f t="shared" si="54"/>
        <v>-100</v>
      </c>
      <c r="K1784" s="6" t="str">
        <f t="shared" si="55"/>
        <v>A~0</v>
      </c>
      <c r="L1784" t="str">
        <f>IF(J1784&lt;0,"A~0",VLOOKUP(J1784,[1]作法V!$B$1:$C$9,2,TRUE))</f>
        <v>A~0</v>
      </c>
    </row>
    <row r="1785" spans="1:12">
      <c r="A1785">
        <v>1135</v>
      </c>
      <c r="B1785" t="s">
        <v>26</v>
      </c>
      <c r="C1785" s="3">
        <v>38631</v>
      </c>
      <c r="D1785" s="3">
        <v>38786</v>
      </c>
      <c r="E1785" t="s">
        <v>18</v>
      </c>
      <c r="F1785">
        <v>1</v>
      </c>
      <c r="G1785">
        <v>15750</v>
      </c>
      <c r="H1785">
        <v>15750</v>
      </c>
      <c r="I1785" s="4">
        <v>38686</v>
      </c>
      <c r="J1785" s="5">
        <f t="shared" si="54"/>
        <v>-100</v>
      </c>
      <c r="K1785" s="6" t="str">
        <f t="shared" si="55"/>
        <v>A~0</v>
      </c>
      <c r="L1785" t="str">
        <f>IF(J1785&lt;0,"A~0",VLOOKUP(J1785,[1]作法V!$B$1:$C$9,2,TRUE))</f>
        <v>A~0</v>
      </c>
    </row>
    <row r="1786" spans="1:12">
      <c r="A1786">
        <v>1135</v>
      </c>
      <c r="B1786" t="s">
        <v>26</v>
      </c>
      <c r="C1786" s="3">
        <v>38631</v>
      </c>
      <c r="D1786" s="3">
        <v>38786</v>
      </c>
      <c r="E1786" t="s">
        <v>18</v>
      </c>
      <c r="F1786">
        <v>1</v>
      </c>
      <c r="G1786">
        <v>8505</v>
      </c>
      <c r="H1786">
        <v>8505</v>
      </c>
      <c r="I1786" s="4">
        <v>38686</v>
      </c>
      <c r="J1786" s="5">
        <f t="shared" si="54"/>
        <v>-100</v>
      </c>
      <c r="K1786" s="6" t="str">
        <f t="shared" si="55"/>
        <v>A~0</v>
      </c>
      <c r="L1786" t="str">
        <f>IF(J1786&lt;0,"A~0",VLOOKUP(J1786,[1]作法V!$B$1:$C$9,2,TRUE))</f>
        <v>A~0</v>
      </c>
    </row>
    <row r="1787" spans="1:12">
      <c r="A1787">
        <v>1135</v>
      </c>
      <c r="B1787" t="s">
        <v>26</v>
      </c>
      <c r="C1787" s="3">
        <v>38631</v>
      </c>
      <c r="D1787" s="3">
        <v>38786</v>
      </c>
      <c r="E1787" t="s">
        <v>18</v>
      </c>
      <c r="F1787">
        <v>1</v>
      </c>
      <c r="G1787">
        <v>3528</v>
      </c>
      <c r="H1787">
        <v>3528</v>
      </c>
      <c r="I1787" s="4">
        <v>38686</v>
      </c>
      <c r="J1787" s="5">
        <f t="shared" si="54"/>
        <v>-100</v>
      </c>
      <c r="K1787" s="6" t="str">
        <f t="shared" si="55"/>
        <v>A~0</v>
      </c>
      <c r="L1787" t="str">
        <f>IF(J1787&lt;0,"A~0",VLOOKUP(J1787,[1]作法V!$B$1:$C$9,2,TRUE))</f>
        <v>A~0</v>
      </c>
    </row>
    <row r="1788" spans="1:12">
      <c r="A1788">
        <v>1135</v>
      </c>
      <c r="B1788" t="s">
        <v>26</v>
      </c>
      <c r="C1788" s="3">
        <v>38631</v>
      </c>
      <c r="D1788" s="3">
        <v>38786</v>
      </c>
      <c r="E1788" t="s">
        <v>18</v>
      </c>
      <c r="F1788">
        <v>1</v>
      </c>
      <c r="G1788">
        <v>69300</v>
      </c>
      <c r="H1788">
        <v>69300</v>
      </c>
      <c r="I1788" s="4">
        <v>38686</v>
      </c>
      <c r="J1788" s="5">
        <f t="shared" si="54"/>
        <v>-100</v>
      </c>
      <c r="K1788" s="6" t="str">
        <f t="shared" si="55"/>
        <v>A~0</v>
      </c>
      <c r="L1788" t="str">
        <f>IF(J1788&lt;0,"A~0",VLOOKUP(J1788,[1]作法V!$B$1:$C$9,2,TRUE))</f>
        <v>A~0</v>
      </c>
    </row>
    <row r="1789" spans="1:12">
      <c r="A1789">
        <v>1135</v>
      </c>
      <c r="B1789" t="s">
        <v>26</v>
      </c>
      <c r="C1789" s="3">
        <v>38631</v>
      </c>
      <c r="D1789" s="3">
        <v>38786</v>
      </c>
      <c r="E1789" t="s">
        <v>18</v>
      </c>
      <c r="F1789">
        <v>1</v>
      </c>
      <c r="G1789">
        <v>23100</v>
      </c>
      <c r="H1789">
        <v>23100</v>
      </c>
      <c r="I1789" s="4">
        <v>38686</v>
      </c>
      <c r="J1789" s="5">
        <f t="shared" si="54"/>
        <v>-100</v>
      </c>
      <c r="K1789" s="6" t="str">
        <f t="shared" si="55"/>
        <v>A~0</v>
      </c>
      <c r="L1789" t="str">
        <f>IF(J1789&lt;0,"A~0",VLOOKUP(J1789,[1]作法V!$B$1:$C$9,2,TRUE))</f>
        <v>A~0</v>
      </c>
    </row>
    <row r="1790" spans="1:12">
      <c r="A1790">
        <v>1135</v>
      </c>
      <c r="B1790" t="s">
        <v>26</v>
      </c>
      <c r="C1790" s="3">
        <v>38631</v>
      </c>
      <c r="D1790" s="3">
        <v>38786</v>
      </c>
      <c r="E1790" t="s">
        <v>18</v>
      </c>
      <c r="F1790">
        <v>1</v>
      </c>
      <c r="G1790">
        <v>13230</v>
      </c>
      <c r="H1790">
        <v>13230</v>
      </c>
      <c r="I1790" s="4">
        <v>38686</v>
      </c>
      <c r="J1790" s="5">
        <f t="shared" si="54"/>
        <v>-100</v>
      </c>
      <c r="K1790" s="6" t="str">
        <f t="shared" si="55"/>
        <v>A~0</v>
      </c>
      <c r="L1790" t="str">
        <f>IF(J1790&lt;0,"A~0",VLOOKUP(J1790,[1]作法V!$B$1:$C$9,2,TRUE))</f>
        <v>A~0</v>
      </c>
    </row>
    <row r="1791" spans="1:12">
      <c r="A1791">
        <v>1135</v>
      </c>
      <c r="B1791" t="s">
        <v>26</v>
      </c>
      <c r="C1791" s="3">
        <v>38631</v>
      </c>
      <c r="D1791" s="3">
        <v>38786</v>
      </c>
      <c r="E1791" t="s">
        <v>18</v>
      </c>
      <c r="F1791">
        <v>1</v>
      </c>
      <c r="G1791">
        <v>11466</v>
      </c>
      <c r="H1791">
        <v>11466</v>
      </c>
      <c r="I1791" s="4">
        <v>38686</v>
      </c>
      <c r="J1791" s="5">
        <f t="shared" si="54"/>
        <v>-100</v>
      </c>
      <c r="K1791" s="6" t="str">
        <f t="shared" si="55"/>
        <v>A~0</v>
      </c>
      <c r="L1791" t="str">
        <f>IF(J1791&lt;0,"A~0",VLOOKUP(J1791,[1]作法V!$B$1:$C$9,2,TRUE))</f>
        <v>A~0</v>
      </c>
    </row>
    <row r="1792" spans="1:12">
      <c r="A1792">
        <v>1135</v>
      </c>
      <c r="B1792" t="s">
        <v>26</v>
      </c>
      <c r="C1792" s="3">
        <v>38631</v>
      </c>
      <c r="D1792" s="3">
        <v>38786</v>
      </c>
      <c r="E1792" t="s">
        <v>18</v>
      </c>
      <c r="F1792">
        <v>1</v>
      </c>
      <c r="G1792">
        <v>42336</v>
      </c>
      <c r="H1792">
        <v>42336</v>
      </c>
      <c r="I1792" s="4">
        <v>38686</v>
      </c>
      <c r="J1792" s="5">
        <f t="shared" si="54"/>
        <v>-100</v>
      </c>
      <c r="K1792" s="6" t="str">
        <f t="shared" si="55"/>
        <v>A~0</v>
      </c>
      <c r="L1792" t="str">
        <f>IF(J1792&lt;0,"A~0",VLOOKUP(J1792,[1]作法V!$B$1:$C$9,2,TRUE))</f>
        <v>A~0</v>
      </c>
    </row>
    <row r="1793" spans="1:12">
      <c r="A1793">
        <v>1135</v>
      </c>
      <c r="B1793" t="s">
        <v>26</v>
      </c>
      <c r="C1793" s="3">
        <v>38631</v>
      </c>
      <c r="D1793" s="3">
        <v>38786</v>
      </c>
      <c r="E1793" t="s">
        <v>18</v>
      </c>
      <c r="F1793">
        <v>1</v>
      </c>
      <c r="G1793">
        <v>33600</v>
      </c>
      <c r="H1793">
        <v>33600</v>
      </c>
      <c r="I1793" s="4">
        <v>38686</v>
      </c>
      <c r="J1793" s="5">
        <f t="shared" si="54"/>
        <v>-100</v>
      </c>
      <c r="K1793" s="6" t="str">
        <f t="shared" si="55"/>
        <v>A~0</v>
      </c>
      <c r="L1793" t="str">
        <f>IF(J1793&lt;0,"A~0",VLOOKUP(J1793,[1]作法V!$B$1:$C$9,2,TRUE))</f>
        <v>A~0</v>
      </c>
    </row>
    <row r="1794" spans="1:12">
      <c r="A1794">
        <v>1135</v>
      </c>
      <c r="B1794" t="s">
        <v>26</v>
      </c>
      <c r="C1794" s="3">
        <v>38631</v>
      </c>
      <c r="D1794" s="3">
        <v>38786</v>
      </c>
      <c r="E1794" t="s">
        <v>18</v>
      </c>
      <c r="F1794">
        <v>1</v>
      </c>
      <c r="G1794">
        <v>63525</v>
      </c>
      <c r="H1794">
        <v>63525</v>
      </c>
      <c r="I1794" s="4">
        <v>38686</v>
      </c>
      <c r="J1794" s="5">
        <f t="shared" ref="J1794:J1857" si="56">I1794-D1794</f>
        <v>-100</v>
      </c>
      <c r="K1794" s="6" t="str">
        <f t="shared" ref="K1794:K1857" si="57">IF(J1794&lt;1,"A~0",IF(J1794&lt;31,"B1~30",IF(J1794&lt;61,"C31~60",IF(J1794&lt;91,"D61~90",IF(J1794&lt;121,"E91~120",IF(J1794&lt;181,"F121~180",IF(J1794&lt;361,"G181~360","H361~")))))))</f>
        <v>A~0</v>
      </c>
      <c r="L1794" t="str">
        <f>IF(J1794&lt;0,"A~0",VLOOKUP(J1794,[1]作法V!$B$1:$C$9,2,TRUE))</f>
        <v>A~0</v>
      </c>
    </row>
    <row r="1795" spans="1:12">
      <c r="A1795">
        <v>1135</v>
      </c>
      <c r="B1795" t="s">
        <v>26</v>
      </c>
      <c r="C1795" s="3">
        <v>38631</v>
      </c>
      <c r="D1795" s="3">
        <v>38786</v>
      </c>
      <c r="E1795" t="s">
        <v>18</v>
      </c>
      <c r="F1795">
        <v>1</v>
      </c>
      <c r="G1795">
        <v>5981</v>
      </c>
      <c r="H1795">
        <v>5981</v>
      </c>
      <c r="I1795" s="4">
        <v>38686</v>
      </c>
      <c r="J1795" s="5">
        <f t="shared" si="56"/>
        <v>-100</v>
      </c>
      <c r="K1795" s="6" t="str">
        <f t="shared" si="57"/>
        <v>A~0</v>
      </c>
      <c r="L1795" t="str">
        <f>IF(J1795&lt;0,"A~0",VLOOKUP(J1795,[1]作法V!$B$1:$C$9,2,TRUE))</f>
        <v>A~0</v>
      </c>
    </row>
    <row r="1796" spans="1:12">
      <c r="A1796">
        <v>1135</v>
      </c>
      <c r="B1796" t="s">
        <v>26</v>
      </c>
      <c r="C1796" s="3">
        <v>38631</v>
      </c>
      <c r="D1796" s="3">
        <v>38786</v>
      </c>
      <c r="E1796" t="s">
        <v>18</v>
      </c>
      <c r="F1796">
        <v>1</v>
      </c>
      <c r="G1796">
        <v>11025</v>
      </c>
      <c r="H1796">
        <v>11025</v>
      </c>
      <c r="I1796" s="4">
        <v>38686</v>
      </c>
      <c r="J1796" s="5">
        <f t="shared" si="56"/>
        <v>-100</v>
      </c>
      <c r="K1796" s="6" t="str">
        <f t="shared" si="57"/>
        <v>A~0</v>
      </c>
      <c r="L1796" t="str">
        <f>IF(J1796&lt;0,"A~0",VLOOKUP(J1796,[1]作法V!$B$1:$C$9,2,TRUE))</f>
        <v>A~0</v>
      </c>
    </row>
    <row r="1797" spans="1:12">
      <c r="A1797">
        <v>1135</v>
      </c>
      <c r="B1797" t="s">
        <v>26</v>
      </c>
      <c r="C1797" s="3">
        <v>38631</v>
      </c>
      <c r="D1797" s="3">
        <v>38786</v>
      </c>
      <c r="E1797" t="s">
        <v>18</v>
      </c>
      <c r="F1797">
        <v>1</v>
      </c>
      <c r="G1797">
        <v>44100</v>
      </c>
      <c r="H1797">
        <v>44100</v>
      </c>
      <c r="I1797" s="4">
        <v>38686</v>
      </c>
      <c r="J1797" s="5">
        <f t="shared" si="56"/>
        <v>-100</v>
      </c>
      <c r="K1797" s="6" t="str">
        <f t="shared" si="57"/>
        <v>A~0</v>
      </c>
      <c r="L1797" t="str">
        <f>IF(J1797&lt;0,"A~0",VLOOKUP(J1797,[1]作法V!$B$1:$C$9,2,TRUE))</f>
        <v>A~0</v>
      </c>
    </row>
    <row r="1798" spans="1:12">
      <c r="A1798">
        <v>1135</v>
      </c>
      <c r="B1798" t="s">
        <v>26</v>
      </c>
      <c r="C1798" s="3">
        <v>38631</v>
      </c>
      <c r="D1798" s="3">
        <v>38786</v>
      </c>
      <c r="E1798" t="s">
        <v>18</v>
      </c>
      <c r="F1798">
        <v>1</v>
      </c>
      <c r="G1798">
        <v>46200</v>
      </c>
      <c r="H1798">
        <v>46200</v>
      </c>
      <c r="I1798" s="4">
        <v>38686</v>
      </c>
      <c r="J1798" s="5">
        <f t="shared" si="56"/>
        <v>-100</v>
      </c>
      <c r="K1798" s="6" t="str">
        <f t="shared" si="57"/>
        <v>A~0</v>
      </c>
      <c r="L1798" t="str">
        <f>IF(J1798&lt;0,"A~0",VLOOKUP(J1798,[1]作法V!$B$1:$C$9,2,TRUE))</f>
        <v>A~0</v>
      </c>
    </row>
    <row r="1799" spans="1:12">
      <c r="A1799">
        <v>1135</v>
      </c>
      <c r="B1799" t="s">
        <v>26</v>
      </c>
      <c r="C1799" s="3">
        <v>38631</v>
      </c>
      <c r="D1799" s="3">
        <v>38786</v>
      </c>
      <c r="E1799" t="s">
        <v>18</v>
      </c>
      <c r="F1799">
        <v>1</v>
      </c>
      <c r="G1799">
        <v>36691</v>
      </c>
      <c r="H1799">
        <v>36691</v>
      </c>
      <c r="I1799" s="4">
        <v>38686</v>
      </c>
      <c r="J1799" s="5">
        <f t="shared" si="56"/>
        <v>-100</v>
      </c>
      <c r="K1799" s="6" t="str">
        <f t="shared" si="57"/>
        <v>A~0</v>
      </c>
      <c r="L1799" t="str">
        <f>IF(J1799&lt;0,"A~0",VLOOKUP(J1799,[1]作法V!$B$1:$C$9,2,TRUE))</f>
        <v>A~0</v>
      </c>
    </row>
    <row r="1800" spans="1:12">
      <c r="A1800">
        <v>1135</v>
      </c>
      <c r="B1800" t="s">
        <v>26</v>
      </c>
      <c r="C1800" s="3">
        <v>38631</v>
      </c>
      <c r="D1800" s="3">
        <v>38786</v>
      </c>
      <c r="E1800" t="s">
        <v>18</v>
      </c>
      <c r="F1800">
        <v>1</v>
      </c>
      <c r="G1800">
        <v>84000</v>
      </c>
      <c r="H1800">
        <v>84000</v>
      </c>
      <c r="I1800" s="4">
        <v>38686</v>
      </c>
      <c r="J1800" s="5">
        <f t="shared" si="56"/>
        <v>-100</v>
      </c>
      <c r="K1800" s="6" t="str">
        <f t="shared" si="57"/>
        <v>A~0</v>
      </c>
      <c r="L1800" t="str">
        <f>IF(J1800&lt;0,"A~0",VLOOKUP(J1800,[1]作法V!$B$1:$C$9,2,TRUE))</f>
        <v>A~0</v>
      </c>
    </row>
    <row r="1801" spans="1:12">
      <c r="A1801">
        <v>1135</v>
      </c>
      <c r="B1801" t="s">
        <v>26</v>
      </c>
      <c r="C1801" s="3">
        <v>38631</v>
      </c>
      <c r="D1801" s="3">
        <v>38786</v>
      </c>
      <c r="E1801" t="s">
        <v>18</v>
      </c>
      <c r="F1801">
        <v>1</v>
      </c>
      <c r="G1801">
        <v>17325</v>
      </c>
      <c r="H1801">
        <v>17325</v>
      </c>
      <c r="I1801" s="4">
        <v>38686</v>
      </c>
      <c r="J1801" s="5">
        <f t="shared" si="56"/>
        <v>-100</v>
      </c>
      <c r="K1801" s="6" t="str">
        <f t="shared" si="57"/>
        <v>A~0</v>
      </c>
      <c r="L1801" t="str">
        <f>IF(J1801&lt;0,"A~0",VLOOKUP(J1801,[1]作法V!$B$1:$C$9,2,TRUE))</f>
        <v>A~0</v>
      </c>
    </row>
    <row r="1802" spans="1:12">
      <c r="A1802">
        <v>1135</v>
      </c>
      <c r="B1802" t="s">
        <v>26</v>
      </c>
      <c r="C1802" s="3">
        <v>38631</v>
      </c>
      <c r="D1802" s="3">
        <v>38786</v>
      </c>
      <c r="E1802" t="s">
        <v>18</v>
      </c>
      <c r="F1802">
        <v>1</v>
      </c>
      <c r="G1802">
        <v>4725</v>
      </c>
      <c r="H1802">
        <v>4725</v>
      </c>
      <c r="I1802" s="4">
        <v>38686</v>
      </c>
      <c r="J1802" s="5">
        <f t="shared" si="56"/>
        <v>-100</v>
      </c>
      <c r="K1802" s="6" t="str">
        <f t="shared" si="57"/>
        <v>A~0</v>
      </c>
      <c r="L1802" t="str">
        <f>IF(J1802&lt;0,"A~0",VLOOKUP(J1802,[1]作法V!$B$1:$C$9,2,TRUE))</f>
        <v>A~0</v>
      </c>
    </row>
    <row r="1803" spans="1:12">
      <c r="A1803">
        <v>1135</v>
      </c>
      <c r="B1803" t="s">
        <v>26</v>
      </c>
      <c r="C1803" s="3">
        <v>38632</v>
      </c>
      <c r="D1803" s="3">
        <v>38786</v>
      </c>
      <c r="E1803" t="s">
        <v>18</v>
      </c>
      <c r="F1803">
        <v>1</v>
      </c>
      <c r="G1803">
        <v>12600</v>
      </c>
      <c r="H1803">
        <v>12600</v>
      </c>
      <c r="I1803" s="4">
        <v>38686</v>
      </c>
      <c r="J1803" s="5">
        <f t="shared" si="56"/>
        <v>-100</v>
      </c>
      <c r="K1803" s="6" t="str">
        <f t="shared" si="57"/>
        <v>A~0</v>
      </c>
      <c r="L1803" t="str">
        <f>IF(J1803&lt;0,"A~0",VLOOKUP(J1803,[1]作法V!$B$1:$C$9,2,TRUE))</f>
        <v>A~0</v>
      </c>
    </row>
    <row r="1804" spans="1:12">
      <c r="A1804">
        <v>1135</v>
      </c>
      <c r="B1804" t="s">
        <v>26</v>
      </c>
      <c r="C1804" s="3">
        <v>38632</v>
      </c>
      <c r="D1804" s="3">
        <v>38786</v>
      </c>
      <c r="E1804" t="s">
        <v>18</v>
      </c>
      <c r="F1804">
        <v>1</v>
      </c>
      <c r="G1804">
        <v>145530</v>
      </c>
      <c r="H1804">
        <v>145530</v>
      </c>
      <c r="I1804" s="4">
        <v>38686</v>
      </c>
      <c r="J1804" s="5">
        <f t="shared" si="56"/>
        <v>-100</v>
      </c>
      <c r="K1804" s="6" t="str">
        <f t="shared" si="57"/>
        <v>A~0</v>
      </c>
      <c r="L1804" t="str">
        <f>IF(J1804&lt;0,"A~0",VLOOKUP(J1804,[1]作法V!$B$1:$C$9,2,TRUE))</f>
        <v>A~0</v>
      </c>
    </row>
    <row r="1805" spans="1:12">
      <c r="A1805">
        <v>1135</v>
      </c>
      <c r="B1805" t="s">
        <v>26</v>
      </c>
      <c r="C1805" s="3">
        <v>38632</v>
      </c>
      <c r="D1805" s="3">
        <v>38786</v>
      </c>
      <c r="E1805" t="s">
        <v>18</v>
      </c>
      <c r="F1805">
        <v>1</v>
      </c>
      <c r="G1805">
        <v>9702</v>
      </c>
      <c r="H1805">
        <v>9702</v>
      </c>
      <c r="I1805" s="4">
        <v>38686</v>
      </c>
      <c r="J1805" s="5">
        <f t="shared" si="56"/>
        <v>-100</v>
      </c>
      <c r="K1805" s="6" t="str">
        <f t="shared" si="57"/>
        <v>A~0</v>
      </c>
      <c r="L1805" t="str">
        <f>IF(J1805&lt;0,"A~0",VLOOKUP(J1805,[1]作法V!$B$1:$C$9,2,TRUE))</f>
        <v>A~0</v>
      </c>
    </row>
    <row r="1806" spans="1:12">
      <c r="A1806">
        <v>1135</v>
      </c>
      <c r="B1806" t="s">
        <v>26</v>
      </c>
      <c r="C1806" s="3">
        <v>38632</v>
      </c>
      <c r="D1806" s="3">
        <v>38786</v>
      </c>
      <c r="E1806" t="s">
        <v>18</v>
      </c>
      <c r="F1806">
        <v>1</v>
      </c>
      <c r="G1806">
        <v>25137</v>
      </c>
      <c r="H1806">
        <v>25137</v>
      </c>
      <c r="I1806" s="4">
        <v>38686</v>
      </c>
      <c r="J1806" s="5">
        <f t="shared" si="56"/>
        <v>-100</v>
      </c>
      <c r="K1806" s="6" t="str">
        <f t="shared" si="57"/>
        <v>A~0</v>
      </c>
      <c r="L1806" t="str">
        <f>IF(J1806&lt;0,"A~0",VLOOKUP(J1806,[1]作法V!$B$1:$C$9,2,TRUE))</f>
        <v>A~0</v>
      </c>
    </row>
    <row r="1807" spans="1:12">
      <c r="A1807">
        <v>1135</v>
      </c>
      <c r="B1807" t="s">
        <v>26</v>
      </c>
      <c r="C1807" s="3">
        <v>38636</v>
      </c>
      <c r="D1807" s="3">
        <v>38758</v>
      </c>
      <c r="E1807" t="s">
        <v>18</v>
      </c>
      <c r="F1807">
        <v>1</v>
      </c>
      <c r="G1807">
        <v>232517</v>
      </c>
      <c r="H1807">
        <v>232517</v>
      </c>
      <c r="I1807" s="4">
        <v>38686</v>
      </c>
      <c r="J1807" s="5">
        <f t="shared" si="56"/>
        <v>-72</v>
      </c>
      <c r="K1807" s="6" t="str">
        <f t="shared" si="57"/>
        <v>A~0</v>
      </c>
      <c r="L1807" t="str">
        <f>IF(J1807&lt;0,"A~0",VLOOKUP(J1807,[1]作法V!$B$1:$C$9,2,TRUE))</f>
        <v>A~0</v>
      </c>
    </row>
    <row r="1808" spans="1:12">
      <c r="A1808">
        <v>1135</v>
      </c>
      <c r="B1808" t="s">
        <v>26</v>
      </c>
      <c r="C1808" s="3">
        <v>38636</v>
      </c>
      <c r="D1808" s="3">
        <v>38758</v>
      </c>
      <c r="E1808" t="s">
        <v>18</v>
      </c>
      <c r="F1808">
        <v>1</v>
      </c>
      <c r="G1808">
        <v>48384</v>
      </c>
      <c r="H1808">
        <v>48384</v>
      </c>
      <c r="I1808" s="4">
        <v>38686</v>
      </c>
      <c r="J1808" s="5">
        <f t="shared" si="56"/>
        <v>-72</v>
      </c>
      <c r="K1808" s="6" t="str">
        <f t="shared" si="57"/>
        <v>A~0</v>
      </c>
      <c r="L1808" t="str">
        <f>IF(J1808&lt;0,"A~0",VLOOKUP(J1808,[1]作法V!$B$1:$C$9,2,TRUE))</f>
        <v>A~0</v>
      </c>
    </row>
    <row r="1809" spans="1:12">
      <c r="A1809">
        <v>1135</v>
      </c>
      <c r="B1809" t="s">
        <v>26</v>
      </c>
      <c r="C1809" s="3">
        <v>38636</v>
      </c>
      <c r="D1809" s="3">
        <v>38786</v>
      </c>
      <c r="E1809" t="s">
        <v>18</v>
      </c>
      <c r="F1809">
        <v>1</v>
      </c>
      <c r="G1809">
        <v>8680</v>
      </c>
      <c r="H1809">
        <v>8680</v>
      </c>
      <c r="I1809" s="4">
        <v>38686</v>
      </c>
      <c r="J1809" s="5">
        <f t="shared" si="56"/>
        <v>-100</v>
      </c>
      <c r="K1809" s="6" t="str">
        <f t="shared" si="57"/>
        <v>A~0</v>
      </c>
      <c r="L1809" t="str">
        <f>IF(J1809&lt;0,"A~0",VLOOKUP(J1809,[1]作法V!$B$1:$C$9,2,TRUE))</f>
        <v>A~0</v>
      </c>
    </row>
    <row r="1810" spans="1:12">
      <c r="A1810">
        <v>1135</v>
      </c>
      <c r="B1810" t="s">
        <v>26</v>
      </c>
      <c r="C1810" s="3">
        <v>38637</v>
      </c>
      <c r="D1810" s="3">
        <v>38786</v>
      </c>
      <c r="E1810" t="s">
        <v>18</v>
      </c>
      <c r="F1810">
        <v>1</v>
      </c>
      <c r="G1810">
        <v>69300</v>
      </c>
      <c r="H1810">
        <v>69300</v>
      </c>
      <c r="I1810" s="4">
        <v>38686</v>
      </c>
      <c r="J1810" s="5">
        <f t="shared" si="56"/>
        <v>-100</v>
      </c>
      <c r="K1810" s="6" t="str">
        <f t="shared" si="57"/>
        <v>A~0</v>
      </c>
      <c r="L1810" t="str">
        <f>IF(J1810&lt;0,"A~0",VLOOKUP(J1810,[1]作法V!$B$1:$C$9,2,TRUE))</f>
        <v>A~0</v>
      </c>
    </row>
    <row r="1811" spans="1:12">
      <c r="A1811">
        <v>1135</v>
      </c>
      <c r="B1811" t="s">
        <v>26</v>
      </c>
      <c r="C1811" s="3">
        <v>38637</v>
      </c>
      <c r="D1811" s="3">
        <v>38786</v>
      </c>
      <c r="E1811" t="s">
        <v>18</v>
      </c>
      <c r="F1811">
        <v>1</v>
      </c>
      <c r="G1811">
        <v>27720</v>
      </c>
      <c r="H1811">
        <v>27720</v>
      </c>
      <c r="I1811" s="4">
        <v>38686</v>
      </c>
      <c r="J1811" s="5">
        <f t="shared" si="56"/>
        <v>-100</v>
      </c>
      <c r="K1811" s="6" t="str">
        <f t="shared" si="57"/>
        <v>A~0</v>
      </c>
      <c r="L1811" t="str">
        <f>IF(J1811&lt;0,"A~0",VLOOKUP(J1811,[1]作法V!$B$1:$C$9,2,TRUE))</f>
        <v>A~0</v>
      </c>
    </row>
    <row r="1812" spans="1:12">
      <c r="A1812">
        <v>1135</v>
      </c>
      <c r="B1812" t="s">
        <v>26</v>
      </c>
      <c r="C1812" s="3">
        <v>38637</v>
      </c>
      <c r="D1812" s="3">
        <v>38786</v>
      </c>
      <c r="E1812" t="s">
        <v>18</v>
      </c>
      <c r="F1812">
        <v>1</v>
      </c>
      <c r="G1812">
        <v>96359</v>
      </c>
      <c r="H1812">
        <v>96359</v>
      </c>
      <c r="I1812" s="4">
        <v>38686</v>
      </c>
      <c r="J1812" s="5">
        <f t="shared" si="56"/>
        <v>-100</v>
      </c>
      <c r="K1812" s="6" t="str">
        <f t="shared" si="57"/>
        <v>A~0</v>
      </c>
      <c r="L1812" t="str">
        <f>IF(J1812&lt;0,"A~0",VLOOKUP(J1812,[1]作法V!$B$1:$C$9,2,TRUE))</f>
        <v>A~0</v>
      </c>
    </row>
    <row r="1813" spans="1:12">
      <c r="A1813">
        <v>1135</v>
      </c>
      <c r="B1813" t="s">
        <v>26</v>
      </c>
      <c r="C1813" s="3">
        <v>38637</v>
      </c>
      <c r="D1813" s="3">
        <v>38786</v>
      </c>
      <c r="E1813" t="s">
        <v>18</v>
      </c>
      <c r="F1813">
        <v>1</v>
      </c>
      <c r="G1813">
        <v>13230</v>
      </c>
      <c r="H1813">
        <v>13230</v>
      </c>
      <c r="I1813" s="4">
        <v>38686</v>
      </c>
      <c r="J1813" s="5">
        <f t="shared" si="56"/>
        <v>-100</v>
      </c>
      <c r="K1813" s="6" t="str">
        <f t="shared" si="57"/>
        <v>A~0</v>
      </c>
      <c r="L1813" t="str">
        <f>IF(J1813&lt;0,"A~0",VLOOKUP(J1813,[1]作法V!$B$1:$C$9,2,TRUE))</f>
        <v>A~0</v>
      </c>
    </row>
    <row r="1814" spans="1:12">
      <c r="A1814">
        <v>1135</v>
      </c>
      <c r="B1814" t="s">
        <v>26</v>
      </c>
      <c r="C1814" s="3">
        <v>38637</v>
      </c>
      <c r="D1814" s="3">
        <v>38786</v>
      </c>
      <c r="E1814" t="s">
        <v>18</v>
      </c>
      <c r="F1814">
        <v>1</v>
      </c>
      <c r="G1814">
        <v>6300</v>
      </c>
      <c r="H1814">
        <v>6300</v>
      </c>
      <c r="I1814" s="4">
        <v>38686</v>
      </c>
      <c r="J1814" s="5">
        <f t="shared" si="56"/>
        <v>-100</v>
      </c>
      <c r="K1814" s="6" t="str">
        <f t="shared" si="57"/>
        <v>A~0</v>
      </c>
      <c r="L1814" t="str">
        <f>IF(J1814&lt;0,"A~0",VLOOKUP(J1814,[1]作法V!$B$1:$C$9,2,TRUE))</f>
        <v>A~0</v>
      </c>
    </row>
    <row r="1815" spans="1:12">
      <c r="A1815">
        <v>1135</v>
      </c>
      <c r="B1815" t="s">
        <v>26</v>
      </c>
      <c r="C1815" s="3">
        <v>38637</v>
      </c>
      <c r="D1815" s="3">
        <v>38758</v>
      </c>
      <c r="E1815" t="s">
        <v>18</v>
      </c>
      <c r="F1815">
        <v>1</v>
      </c>
      <c r="G1815">
        <v>23310</v>
      </c>
      <c r="H1815">
        <v>23310</v>
      </c>
      <c r="I1815" s="4">
        <v>38686</v>
      </c>
      <c r="J1815" s="5">
        <f t="shared" si="56"/>
        <v>-72</v>
      </c>
      <c r="K1815" s="6" t="str">
        <f t="shared" si="57"/>
        <v>A~0</v>
      </c>
      <c r="L1815" t="str">
        <f>IF(J1815&lt;0,"A~0",VLOOKUP(J1815,[1]作法V!$B$1:$C$9,2,TRUE))</f>
        <v>A~0</v>
      </c>
    </row>
    <row r="1816" spans="1:12">
      <c r="A1816">
        <v>1135</v>
      </c>
      <c r="B1816" t="s">
        <v>26</v>
      </c>
      <c r="C1816" s="3">
        <v>38637</v>
      </c>
      <c r="D1816" s="3">
        <v>38758</v>
      </c>
      <c r="E1816" t="s">
        <v>18</v>
      </c>
      <c r="F1816">
        <v>1</v>
      </c>
      <c r="G1816">
        <v>23310</v>
      </c>
      <c r="H1816">
        <v>23310</v>
      </c>
      <c r="I1816" s="4">
        <v>38686</v>
      </c>
      <c r="J1816" s="5">
        <f t="shared" si="56"/>
        <v>-72</v>
      </c>
      <c r="K1816" s="6" t="str">
        <f t="shared" si="57"/>
        <v>A~0</v>
      </c>
      <c r="L1816" t="str">
        <f>IF(J1816&lt;0,"A~0",VLOOKUP(J1816,[1]作法V!$B$1:$C$9,2,TRUE))</f>
        <v>A~0</v>
      </c>
    </row>
    <row r="1817" spans="1:12">
      <c r="A1817">
        <v>1135</v>
      </c>
      <c r="B1817" t="s">
        <v>26</v>
      </c>
      <c r="C1817" s="3">
        <v>38637</v>
      </c>
      <c r="D1817" s="3">
        <v>38758</v>
      </c>
      <c r="E1817" t="s">
        <v>18</v>
      </c>
      <c r="F1817">
        <v>1</v>
      </c>
      <c r="G1817">
        <v>58275</v>
      </c>
      <c r="H1817">
        <v>58275</v>
      </c>
      <c r="I1817" s="4">
        <v>38686</v>
      </c>
      <c r="J1817" s="5">
        <f t="shared" si="56"/>
        <v>-72</v>
      </c>
      <c r="K1817" s="6" t="str">
        <f t="shared" si="57"/>
        <v>A~0</v>
      </c>
      <c r="L1817" t="str">
        <f>IF(J1817&lt;0,"A~0",VLOOKUP(J1817,[1]作法V!$B$1:$C$9,2,TRUE))</f>
        <v>A~0</v>
      </c>
    </row>
    <row r="1818" spans="1:12">
      <c r="A1818">
        <v>1135</v>
      </c>
      <c r="B1818" t="s">
        <v>26</v>
      </c>
      <c r="C1818" s="3">
        <v>38637</v>
      </c>
      <c r="D1818" s="3">
        <v>38758</v>
      </c>
      <c r="E1818" t="s">
        <v>18</v>
      </c>
      <c r="F1818">
        <v>1</v>
      </c>
      <c r="G1818">
        <v>27090</v>
      </c>
      <c r="H1818">
        <v>27090</v>
      </c>
      <c r="I1818" s="4">
        <v>38686</v>
      </c>
      <c r="J1818" s="5">
        <f t="shared" si="56"/>
        <v>-72</v>
      </c>
      <c r="K1818" s="6" t="str">
        <f t="shared" si="57"/>
        <v>A~0</v>
      </c>
      <c r="L1818" t="str">
        <f>IF(J1818&lt;0,"A~0",VLOOKUP(J1818,[1]作法V!$B$1:$C$9,2,TRUE))</f>
        <v>A~0</v>
      </c>
    </row>
    <row r="1819" spans="1:12">
      <c r="A1819">
        <v>1135</v>
      </c>
      <c r="B1819" t="s">
        <v>26</v>
      </c>
      <c r="C1819" s="3">
        <v>38637</v>
      </c>
      <c r="D1819" s="3">
        <v>38758</v>
      </c>
      <c r="E1819" t="s">
        <v>18</v>
      </c>
      <c r="F1819">
        <v>1</v>
      </c>
      <c r="G1819">
        <v>74025</v>
      </c>
      <c r="H1819">
        <v>74025</v>
      </c>
      <c r="I1819" s="4">
        <v>38686</v>
      </c>
      <c r="J1819" s="5">
        <f t="shared" si="56"/>
        <v>-72</v>
      </c>
      <c r="K1819" s="6" t="str">
        <f t="shared" si="57"/>
        <v>A~0</v>
      </c>
      <c r="L1819" t="str">
        <f>IF(J1819&lt;0,"A~0",VLOOKUP(J1819,[1]作法V!$B$1:$C$9,2,TRUE))</f>
        <v>A~0</v>
      </c>
    </row>
    <row r="1820" spans="1:12">
      <c r="A1820">
        <v>1135</v>
      </c>
      <c r="B1820" t="s">
        <v>26</v>
      </c>
      <c r="C1820" s="3">
        <v>38639</v>
      </c>
      <c r="D1820" s="3">
        <v>38758</v>
      </c>
      <c r="E1820" t="s">
        <v>18</v>
      </c>
      <c r="F1820">
        <v>1</v>
      </c>
      <c r="G1820">
        <v>23310</v>
      </c>
      <c r="H1820">
        <v>23310</v>
      </c>
      <c r="I1820" s="4">
        <v>38686</v>
      </c>
      <c r="J1820" s="5">
        <f t="shared" si="56"/>
        <v>-72</v>
      </c>
      <c r="K1820" s="6" t="str">
        <f t="shared" si="57"/>
        <v>A~0</v>
      </c>
      <c r="L1820" t="str">
        <f>IF(J1820&lt;0,"A~0",VLOOKUP(J1820,[1]作法V!$B$1:$C$9,2,TRUE))</f>
        <v>A~0</v>
      </c>
    </row>
    <row r="1821" spans="1:12">
      <c r="A1821">
        <v>1135</v>
      </c>
      <c r="B1821" t="s">
        <v>26</v>
      </c>
      <c r="C1821" s="3">
        <v>38639</v>
      </c>
      <c r="D1821" s="3">
        <v>38786</v>
      </c>
      <c r="E1821" t="s">
        <v>18</v>
      </c>
      <c r="F1821">
        <v>1</v>
      </c>
      <c r="G1821">
        <v>9240</v>
      </c>
      <c r="H1821">
        <v>9240</v>
      </c>
      <c r="I1821" s="4">
        <v>38686</v>
      </c>
      <c r="J1821" s="5">
        <f t="shared" si="56"/>
        <v>-100</v>
      </c>
      <c r="K1821" s="6" t="str">
        <f t="shared" si="57"/>
        <v>A~0</v>
      </c>
      <c r="L1821" t="str">
        <f>IF(J1821&lt;0,"A~0",VLOOKUP(J1821,[1]作法V!$B$1:$C$9,2,TRUE))</f>
        <v>A~0</v>
      </c>
    </row>
    <row r="1822" spans="1:12">
      <c r="A1822">
        <v>1135</v>
      </c>
      <c r="B1822" t="s">
        <v>26</v>
      </c>
      <c r="C1822" s="3">
        <v>38639</v>
      </c>
      <c r="D1822" s="3">
        <v>38786</v>
      </c>
      <c r="E1822" t="s">
        <v>18</v>
      </c>
      <c r="F1822">
        <v>1</v>
      </c>
      <c r="G1822">
        <v>45864</v>
      </c>
      <c r="H1822">
        <v>45864</v>
      </c>
      <c r="I1822" s="4">
        <v>38686</v>
      </c>
      <c r="J1822" s="5">
        <f t="shared" si="56"/>
        <v>-100</v>
      </c>
      <c r="K1822" s="6" t="str">
        <f t="shared" si="57"/>
        <v>A~0</v>
      </c>
      <c r="L1822" t="str">
        <f>IF(J1822&lt;0,"A~0",VLOOKUP(J1822,[1]作法V!$B$1:$C$9,2,TRUE))</f>
        <v>A~0</v>
      </c>
    </row>
    <row r="1823" spans="1:12">
      <c r="A1823">
        <v>1135</v>
      </c>
      <c r="B1823" t="s">
        <v>26</v>
      </c>
      <c r="C1823" s="3">
        <v>38639</v>
      </c>
      <c r="D1823" s="3">
        <v>38786</v>
      </c>
      <c r="E1823" t="s">
        <v>18</v>
      </c>
      <c r="F1823">
        <v>1</v>
      </c>
      <c r="G1823">
        <v>52920</v>
      </c>
      <c r="H1823">
        <v>52920</v>
      </c>
      <c r="I1823" s="4">
        <v>38686</v>
      </c>
      <c r="J1823" s="5">
        <f t="shared" si="56"/>
        <v>-100</v>
      </c>
      <c r="K1823" s="6" t="str">
        <f t="shared" si="57"/>
        <v>A~0</v>
      </c>
      <c r="L1823" t="str">
        <f>IF(J1823&lt;0,"A~0",VLOOKUP(J1823,[1]作法V!$B$1:$C$9,2,TRUE))</f>
        <v>A~0</v>
      </c>
    </row>
    <row r="1824" spans="1:12">
      <c r="A1824">
        <v>1135</v>
      </c>
      <c r="B1824" t="s">
        <v>26</v>
      </c>
      <c r="C1824" s="3">
        <v>38639</v>
      </c>
      <c r="D1824" s="3">
        <v>38786</v>
      </c>
      <c r="E1824" t="s">
        <v>18</v>
      </c>
      <c r="F1824">
        <v>1</v>
      </c>
      <c r="G1824">
        <v>44100</v>
      </c>
      <c r="H1824">
        <v>44100</v>
      </c>
      <c r="I1824" s="4">
        <v>38686</v>
      </c>
      <c r="J1824" s="5">
        <f t="shared" si="56"/>
        <v>-100</v>
      </c>
      <c r="K1824" s="6" t="str">
        <f t="shared" si="57"/>
        <v>A~0</v>
      </c>
      <c r="L1824" t="str">
        <f>IF(J1824&lt;0,"A~0",VLOOKUP(J1824,[1]作法V!$B$1:$C$9,2,TRUE))</f>
        <v>A~0</v>
      </c>
    </row>
    <row r="1825" spans="1:12">
      <c r="A1825">
        <v>1135</v>
      </c>
      <c r="B1825" t="s">
        <v>26</v>
      </c>
      <c r="C1825" s="3">
        <v>38639</v>
      </c>
      <c r="D1825" s="3">
        <v>38786</v>
      </c>
      <c r="E1825" t="s">
        <v>18</v>
      </c>
      <c r="F1825">
        <v>1</v>
      </c>
      <c r="G1825">
        <v>52920</v>
      </c>
      <c r="H1825">
        <v>52920</v>
      </c>
      <c r="I1825" s="4">
        <v>38686</v>
      </c>
      <c r="J1825" s="5">
        <f t="shared" si="56"/>
        <v>-100</v>
      </c>
      <c r="K1825" s="6" t="str">
        <f t="shared" si="57"/>
        <v>A~0</v>
      </c>
      <c r="L1825" t="str">
        <f>IF(J1825&lt;0,"A~0",VLOOKUP(J1825,[1]作法V!$B$1:$C$9,2,TRUE))</f>
        <v>A~0</v>
      </c>
    </row>
    <row r="1826" spans="1:12">
      <c r="A1826">
        <v>1135</v>
      </c>
      <c r="B1826" t="s">
        <v>26</v>
      </c>
      <c r="C1826" s="3">
        <v>38639</v>
      </c>
      <c r="D1826" s="3">
        <v>38786</v>
      </c>
      <c r="E1826" t="s">
        <v>18</v>
      </c>
      <c r="F1826">
        <v>1</v>
      </c>
      <c r="G1826">
        <v>147420</v>
      </c>
      <c r="H1826">
        <v>147420</v>
      </c>
      <c r="I1826" s="4">
        <v>38686</v>
      </c>
      <c r="J1826" s="5">
        <f t="shared" si="56"/>
        <v>-100</v>
      </c>
      <c r="K1826" s="6" t="str">
        <f t="shared" si="57"/>
        <v>A~0</v>
      </c>
      <c r="L1826" t="str">
        <f>IF(J1826&lt;0,"A~0",VLOOKUP(J1826,[1]作法V!$B$1:$C$9,2,TRUE))</f>
        <v>A~0</v>
      </c>
    </row>
    <row r="1827" spans="1:12">
      <c r="A1827">
        <v>1135</v>
      </c>
      <c r="B1827" t="s">
        <v>26</v>
      </c>
      <c r="C1827" s="3">
        <v>38639</v>
      </c>
      <c r="D1827" s="3">
        <v>38786</v>
      </c>
      <c r="E1827" t="s">
        <v>18</v>
      </c>
      <c r="F1827">
        <v>1</v>
      </c>
      <c r="G1827">
        <v>115500</v>
      </c>
      <c r="H1827">
        <v>115500</v>
      </c>
      <c r="I1827" s="4">
        <v>38686</v>
      </c>
      <c r="J1827" s="5">
        <f t="shared" si="56"/>
        <v>-100</v>
      </c>
      <c r="K1827" s="6" t="str">
        <f t="shared" si="57"/>
        <v>A~0</v>
      </c>
      <c r="L1827" t="str">
        <f>IF(J1827&lt;0,"A~0",VLOOKUP(J1827,[1]作法V!$B$1:$C$9,2,TRUE))</f>
        <v>A~0</v>
      </c>
    </row>
    <row r="1828" spans="1:12">
      <c r="A1828">
        <v>1135</v>
      </c>
      <c r="B1828" t="s">
        <v>26</v>
      </c>
      <c r="C1828" s="3">
        <v>38639</v>
      </c>
      <c r="D1828" s="3">
        <v>38786</v>
      </c>
      <c r="E1828" t="s">
        <v>18</v>
      </c>
      <c r="F1828">
        <v>1</v>
      </c>
      <c r="G1828">
        <v>21000</v>
      </c>
      <c r="H1828">
        <v>21000</v>
      </c>
      <c r="I1828" s="4">
        <v>38686</v>
      </c>
      <c r="J1828" s="5">
        <f t="shared" si="56"/>
        <v>-100</v>
      </c>
      <c r="K1828" s="6" t="str">
        <f t="shared" si="57"/>
        <v>A~0</v>
      </c>
      <c r="L1828" t="str">
        <f>IF(J1828&lt;0,"A~0",VLOOKUP(J1828,[1]作法V!$B$1:$C$9,2,TRUE))</f>
        <v>A~0</v>
      </c>
    </row>
    <row r="1829" spans="1:12">
      <c r="A1829">
        <v>1135</v>
      </c>
      <c r="B1829" t="s">
        <v>26</v>
      </c>
      <c r="C1829" s="3">
        <v>38639</v>
      </c>
      <c r="D1829" s="3">
        <v>38786</v>
      </c>
      <c r="E1829" t="s">
        <v>18</v>
      </c>
      <c r="F1829">
        <v>1</v>
      </c>
      <c r="G1829">
        <v>22050</v>
      </c>
      <c r="H1829">
        <v>22050</v>
      </c>
      <c r="I1829" s="4">
        <v>38686</v>
      </c>
      <c r="J1829" s="5">
        <f t="shared" si="56"/>
        <v>-100</v>
      </c>
      <c r="K1829" s="6" t="str">
        <f t="shared" si="57"/>
        <v>A~0</v>
      </c>
      <c r="L1829" t="str">
        <f>IF(J1829&lt;0,"A~0",VLOOKUP(J1829,[1]作法V!$B$1:$C$9,2,TRUE))</f>
        <v>A~0</v>
      </c>
    </row>
    <row r="1830" spans="1:12">
      <c r="A1830">
        <v>1135</v>
      </c>
      <c r="B1830" t="s">
        <v>26</v>
      </c>
      <c r="C1830" s="3">
        <v>38639</v>
      </c>
      <c r="D1830" s="3">
        <v>38786</v>
      </c>
      <c r="E1830" t="s">
        <v>18</v>
      </c>
      <c r="F1830">
        <v>1</v>
      </c>
      <c r="G1830">
        <v>113400</v>
      </c>
      <c r="H1830">
        <v>113400</v>
      </c>
      <c r="I1830" s="4">
        <v>38686</v>
      </c>
      <c r="J1830" s="5">
        <f t="shared" si="56"/>
        <v>-100</v>
      </c>
      <c r="K1830" s="6" t="str">
        <f t="shared" si="57"/>
        <v>A~0</v>
      </c>
      <c r="L1830" t="str">
        <f>IF(J1830&lt;0,"A~0",VLOOKUP(J1830,[1]作法V!$B$1:$C$9,2,TRUE))</f>
        <v>A~0</v>
      </c>
    </row>
    <row r="1831" spans="1:12">
      <c r="A1831">
        <v>1135</v>
      </c>
      <c r="B1831" t="s">
        <v>26</v>
      </c>
      <c r="C1831" s="3">
        <v>38639</v>
      </c>
      <c r="D1831" s="3">
        <v>38786</v>
      </c>
      <c r="E1831" t="s">
        <v>18</v>
      </c>
      <c r="F1831">
        <v>1</v>
      </c>
      <c r="G1831">
        <v>9200</v>
      </c>
      <c r="H1831">
        <v>9200</v>
      </c>
      <c r="I1831" s="4">
        <v>38686</v>
      </c>
      <c r="J1831" s="5">
        <f t="shared" si="56"/>
        <v>-100</v>
      </c>
      <c r="K1831" s="6" t="str">
        <f t="shared" si="57"/>
        <v>A~0</v>
      </c>
      <c r="L1831" t="str">
        <f>IF(J1831&lt;0,"A~0",VLOOKUP(J1831,[1]作法V!$B$1:$C$9,2,TRUE))</f>
        <v>A~0</v>
      </c>
    </row>
    <row r="1832" spans="1:12">
      <c r="A1832">
        <v>1135</v>
      </c>
      <c r="B1832" t="s">
        <v>26</v>
      </c>
      <c r="C1832" s="3">
        <v>38639</v>
      </c>
      <c r="D1832" s="3">
        <v>38786</v>
      </c>
      <c r="E1832" t="s">
        <v>18</v>
      </c>
      <c r="F1832">
        <v>1</v>
      </c>
      <c r="G1832">
        <v>31360</v>
      </c>
      <c r="H1832">
        <v>31360</v>
      </c>
      <c r="I1832" s="4">
        <v>38686</v>
      </c>
      <c r="J1832" s="5">
        <f t="shared" si="56"/>
        <v>-100</v>
      </c>
      <c r="K1832" s="6" t="str">
        <f t="shared" si="57"/>
        <v>A~0</v>
      </c>
      <c r="L1832" t="str">
        <f>IF(J1832&lt;0,"A~0",VLOOKUP(J1832,[1]作法V!$B$1:$C$9,2,TRUE))</f>
        <v>A~0</v>
      </c>
    </row>
    <row r="1833" spans="1:12">
      <c r="A1833">
        <v>1135</v>
      </c>
      <c r="B1833" t="s">
        <v>26</v>
      </c>
      <c r="C1833" s="3">
        <v>38639</v>
      </c>
      <c r="D1833" s="3">
        <v>38786</v>
      </c>
      <c r="E1833" t="s">
        <v>18</v>
      </c>
      <c r="F1833">
        <v>1</v>
      </c>
      <c r="G1833">
        <v>11520</v>
      </c>
      <c r="H1833">
        <v>11520</v>
      </c>
      <c r="I1833" s="4">
        <v>38686</v>
      </c>
      <c r="J1833" s="5">
        <f t="shared" si="56"/>
        <v>-100</v>
      </c>
      <c r="K1833" s="6" t="str">
        <f t="shared" si="57"/>
        <v>A~0</v>
      </c>
      <c r="L1833" t="str">
        <f>IF(J1833&lt;0,"A~0",VLOOKUP(J1833,[1]作法V!$B$1:$C$9,2,TRUE))</f>
        <v>A~0</v>
      </c>
    </row>
    <row r="1834" spans="1:12">
      <c r="A1834">
        <v>1135</v>
      </c>
      <c r="B1834" t="s">
        <v>26</v>
      </c>
      <c r="C1834" s="3">
        <v>38642</v>
      </c>
      <c r="D1834" s="3">
        <v>38758</v>
      </c>
      <c r="E1834" t="s">
        <v>18</v>
      </c>
      <c r="F1834">
        <v>1</v>
      </c>
      <c r="G1834">
        <v>118787</v>
      </c>
      <c r="H1834">
        <v>118787</v>
      </c>
      <c r="I1834" s="4">
        <v>38686</v>
      </c>
      <c r="J1834" s="5">
        <f t="shared" si="56"/>
        <v>-72</v>
      </c>
      <c r="K1834" s="6" t="str">
        <f t="shared" si="57"/>
        <v>A~0</v>
      </c>
      <c r="L1834" t="str">
        <f>IF(J1834&lt;0,"A~0",VLOOKUP(J1834,[1]作法V!$B$1:$C$9,2,TRUE))</f>
        <v>A~0</v>
      </c>
    </row>
    <row r="1835" spans="1:12">
      <c r="A1835">
        <v>1135</v>
      </c>
      <c r="B1835" t="s">
        <v>26</v>
      </c>
      <c r="C1835" s="3">
        <v>38642</v>
      </c>
      <c r="D1835" s="3">
        <v>38758</v>
      </c>
      <c r="E1835" t="s">
        <v>18</v>
      </c>
      <c r="F1835">
        <v>1</v>
      </c>
      <c r="G1835">
        <v>11655</v>
      </c>
      <c r="H1835">
        <v>11655</v>
      </c>
      <c r="I1835" s="4">
        <v>38686</v>
      </c>
      <c r="J1835" s="5">
        <f t="shared" si="56"/>
        <v>-72</v>
      </c>
      <c r="K1835" s="6" t="str">
        <f t="shared" si="57"/>
        <v>A~0</v>
      </c>
      <c r="L1835" t="str">
        <f>IF(J1835&lt;0,"A~0",VLOOKUP(J1835,[1]作法V!$B$1:$C$9,2,TRUE))</f>
        <v>A~0</v>
      </c>
    </row>
    <row r="1836" spans="1:12">
      <c r="A1836">
        <v>1135</v>
      </c>
      <c r="B1836" t="s">
        <v>26</v>
      </c>
      <c r="C1836" s="3">
        <v>38642</v>
      </c>
      <c r="D1836" s="3">
        <v>38758</v>
      </c>
      <c r="E1836" t="s">
        <v>18</v>
      </c>
      <c r="F1836">
        <v>1</v>
      </c>
      <c r="G1836">
        <v>34965</v>
      </c>
      <c r="H1836">
        <v>34965</v>
      </c>
      <c r="I1836" s="4">
        <v>38686</v>
      </c>
      <c r="J1836" s="5">
        <f t="shared" si="56"/>
        <v>-72</v>
      </c>
      <c r="K1836" s="6" t="str">
        <f t="shared" si="57"/>
        <v>A~0</v>
      </c>
      <c r="L1836" t="str">
        <f>IF(J1836&lt;0,"A~0",VLOOKUP(J1836,[1]作法V!$B$1:$C$9,2,TRUE))</f>
        <v>A~0</v>
      </c>
    </row>
    <row r="1837" spans="1:12">
      <c r="A1837">
        <v>1135</v>
      </c>
      <c r="B1837" t="s">
        <v>26</v>
      </c>
      <c r="C1837" s="3">
        <v>38642</v>
      </c>
      <c r="D1837" s="3">
        <v>38786</v>
      </c>
      <c r="E1837" t="s">
        <v>18</v>
      </c>
      <c r="F1837">
        <v>1</v>
      </c>
      <c r="G1837">
        <v>29120</v>
      </c>
      <c r="H1837">
        <v>29120</v>
      </c>
      <c r="I1837" s="4">
        <v>38686</v>
      </c>
      <c r="J1837" s="5">
        <f t="shared" si="56"/>
        <v>-100</v>
      </c>
      <c r="K1837" s="6" t="str">
        <f t="shared" si="57"/>
        <v>A~0</v>
      </c>
      <c r="L1837" t="str">
        <f>IF(J1837&lt;0,"A~0",VLOOKUP(J1837,[1]作法V!$B$1:$C$9,2,TRUE))</f>
        <v>A~0</v>
      </c>
    </row>
    <row r="1838" spans="1:12">
      <c r="A1838">
        <v>1135</v>
      </c>
      <c r="B1838" t="s">
        <v>26</v>
      </c>
      <c r="C1838" s="3">
        <v>38645</v>
      </c>
      <c r="D1838" s="3">
        <v>38786</v>
      </c>
      <c r="E1838" t="s">
        <v>18</v>
      </c>
      <c r="F1838">
        <v>1</v>
      </c>
      <c r="G1838">
        <v>78120</v>
      </c>
      <c r="H1838">
        <v>78120</v>
      </c>
      <c r="I1838" s="4">
        <v>38686</v>
      </c>
      <c r="J1838" s="5">
        <f t="shared" si="56"/>
        <v>-100</v>
      </c>
      <c r="K1838" s="6" t="str">
        <f t="shared" si="57"/>
        <v>A~0</v>
      </c>
      <c r="L1838" t="str">
        <f>IF(J1838&lt;0,"A~0",VLOOKUP(J1838,[1]作法V!$B$1:$C$9,2,TRUE))</f>
        <v>A~0</v>
      </c>
    </row>
    <row r="1839" spans="1:12">
      <c r="A1839">
        <v>1135</v>
      </c>
      <c r="B1839" t="s">
        <v>26</v>
      </c>
      <c r="C1839" s="3">
        <v>38645</v>
      </c>
      <c r="D1839" s="3">
        <v>38786</v>
      </c>
      <c r="E1839" t="s">
        <v>18</v>
      </c>
      <c r="F1839">
        <v>1</v>
      </c>
      <c r="G1839">
        <v>21420</v>
      </c>
      <c r="H1839">
        <v>21420</v>
      </c>
      <c r="I1839" s="4">
        <v>38686</v>
      </c>
      <c r="J1839" s="5">
        <f t="shared" si="56"/>
        <v>-100</v>
      </c>
      <c r="K1839" s="6" t="str">
        <f t="shared" si="57"/>
        <v>A~0</v>
      </c>
      <c r="L1839" t="str">
        <f>IF(J1839&lt;0,"A~0",VLOOKUP(J1839,[1]作法V!$B$1:$C$9,2,TRUE))</f>
        <v>A~0</v>
      </c>
    </row>
    <row r="1840" spans="1:12">
      <c r="A1840">
        <v>1135</v>
      </c>
      <c r="B1840" t="s">
        <v>26</v>
      </c>
      <c r="C1840" s="3">
        <v>38645</v>
      </c>
      <c r="D1840" s="3">
        <v>38786</v>
      </c>
      <c r="E1840" t="s">
        <v>18</v>
      </c>
      <c r="F1840">
        <v>1</v>
      </c>
      <c r="G1840">
        <v>11550</v>
      </c>
      <c r="H1840">
        <v>11550</v>
      </c>
      <c r="I1840" s="4">
        <v>38686</v>
      </c>
      <c r="J1840" s="5">
        <f t="shared" si="56"/>
        <v>-100</v>
      </c>
      <c r="K1840" s="6" t="str">
        <f t="shared" si="57"/>
        <v>A~0</v>
      </c>
      <c r="L1840" t="str">
        <f>IF(J1840&lt;0,"A~0",VLOOKUP(J1840,[1]作法V!$B$1:$C$9,2,TRUE))</f>
        <v>A~0</v>
      </c>
    </row>
    <row r="1841" spans="1:12">
      <c r="A1841">
        <v>1135</v>
      </c>
      <c r="B1841" t="s">
        <v>26</v>
      </c>
      <c r="C1841" s="3">
        <v>38645</v>
      </c>
      <c r="D1841" s="3">
        <v>38786</v>
      </c>
      <c r="E1841" t="s">
        <v>18</v>
      </c>
      <c r="F1841">
        <v>1</v>
      </c>
      <c r="G1841">
        <v>34020</v>
      </c>
      <c r="H1841">
        <v>34020</v>
      </c>
      <c r="I1841" s="4">
        <v>38686</v>
      </c>
      <c r="J1841" s="5">
        <f t="shared" si="56"/>
        <v>-100</v>
      </c>
      <c r="K1841" s="6" t="str">
        <f t="shared" si="57"/>
        <v>A~0</v>
      </c>
      <c r="L1841" t="str">
        <f>IF(J1841&lt;0,"A~0",VLOOKUP(J1841,[1]作法V!$B$1:$C$9,2,TRUE))</f>
        <v>A~0</v>
      </c>
    </row>
    <row r="1842" spans="1:12">
      <c r="A1842">
        <v>1135</v>
      </c>
      <c r="B1842" t="s">
        <v>26</v>
      </c>
      <c r="C1842" s="3">
        <v>38645</v>
      </c>
      <c r="D1842" s="3">
        <v>38786</v>
      </c>
      <c r="E1842" t="s">
        <v>18</v>
      </c>
      <c r="F1842">
        <v>1</v>
      </c>
      <c r="G1842">
        <v>44100</v>
      </c>
      <c r="H1842">
        <v>44100</v>
      </c>
      <c r="I1842" s="4">
        <v>38686</v>
      </c>
      <c r="J1842" s="5">
        <f t="shared" si="56"/>
        <v>-100</v>
      </c>
      <c r="K1842" s="6" t="str">
        <f t="shared" si="57"/>
        <v>A~0</v>
      </c>
      <c r="L1842" t="str">
        <f>IF(J1842&lt;0,"A~0",VLOOKUP(J1842,[1]作法V!$B$1:$C$9,2,TRUE))</f>
        <v>A~0</v>
      </c>
    </row>
    <row r="1843" spans="1:12">
      <c r="A1843">
        <v>1135</v>
      </c>
      <c r="B1843" t="s">
        <v>26</v>
      </c>
      <c r="C1843" s="3">
        <v>38645</v>
      </c>
      <c r="D1843" s="3">
        <v>38786</v>
      </c>
      <c r="E1843" t="s">
        <v>18</v>
      </c>
      <c r="F1843">
        <v>1</v>
      </c>
      <c r="G1843">
        <v>64260</v>
      </c>
      <c r="H1843">
        <v>64260</v>
      </c>
      <c r="I1843" s="4">
        <v>38686</v>
      </c>
      <c r="J1843" s="5">
        <f t="shared" si="56"/>
        <v>-100</v>
      </c>
      <c r="K1843" s="6" t="str">
        <f t="shared" si="57"/>
        <v>A~0</v>
      </c>
      <c r="L1843" t="str">
        <f>IF(J1843&lt;0,"A~0",VLOOKUP(J1843,[1]作法V!$B$1:$C$9,2,TRUE))</f>
        <v>A~0</v>
      </c>
    </row>
    <row r="1844" spans="1:12">
      <c r="A1844">
        <v>1135</v>
      </c>
      <c r="B1844" t="s">
        <v>26</v>
      </c>
      <c r="C1844" s="3">
        <v>38645</v>
      </c>
      <c r="D1844" s="3">
        <v>38758</v>
      </c>
      <c r="E1844" t="s">
        <v>18</v>
      </c>
      <c r="F1844">
        <v>1</v>
      </c>
      <c r="G1844">
        <v>60480</v>
      </c>
      <c r="H1844">
        <v>60480</v>
      </c>
      <c r="I1844" s="4">
        <v>38686</v>
      </c>
      <c r="J1844" s="5">
        <f t="shared" si="56"/>
        <v>-72</v>
      </c>
      <c r="K1844" s="6" t="str">
        <f t="shared" si="57"/>
        <v>A~0</v>
      </c>
      <c r="L1844" t="str">
        <f>IF(J1844&lt;0,"A~0",VLOOKUP(J1844,[1]作法V!$B$1:$C$9,2,TRUE))</f>
        <v>A~0</v>
      </c>
    </row>
    <row r="1845" spans="1:12">
      <c r="A1845">
        <v>1135</v>
      </c>
      <c r="B1845" t="s">
        <v>26</v>
      </c>
      <c r="C1845" s="3">
        <v>38645</v>
      </c>
      <c r="D1845" s="3">
        <v>38758</v>
      </c>
      <c r="E1845" t="s">
        <v>18</v>
      </c>
      <c r="F1845">
        <v>1</v>
      </c>
      <c r="G1845">
        <v>34965</v>
      </c>
      <c r="H1845">
        <v>34965</v>
      </c>
      <c r="I1845" s="4">
        <v>38686</v>
      </c>
      <c r="J1845" s="5">
        <f t="shared" si="56"/>
        <v>-72</v>
      </c>
      <c r="K1845" s="6" t="str">
        <f t="shared" si="57"/>
        <v>A~0</v>
      </c>
      <c r="L1845" t="str">
        <f>IF(J1845&lt;0,"A~0",VLOOKUP(J1845,[1]作法V!$B$1:$C$9,2,TRUE))</f>
        <v>A~0</v>
      </c>
    </row>
    <row r="1846" spans="1:12">
      <c r="A1846">
        <v>1135</v>
      </c>
      <c r="B1846" t="s">
        <v>26</v>
      </c>
      <c r="C1846" s="3">
        <v>38645</v>
      </c>
      <c r="D1846" s="3">
        <v>38786</v>
      </c>
      <c r="E1846" t="s">
        <v>18</v>
      </c>
      <c r="F1846">
        <v>1</v>
      </c>
      <c r="G1846">
        <v>96600</v>
      </c>
      <c r="H1846">
        <v>96600</v>
      </c>
      <c r="I1846" s="4">
        <v>38686</v>
      </c>
      <c r="J1846" s="5">
        <f t="shared" si="56"/>
        <v>-100</v>
      </c>
      <c r="K1846" s="6" t="str">
        <f t="shared" si="57"/>
        <v>A~0</v>
      </c>
      <c r="L1846" t="str">
        <f>IF(J1846&lt;0,"A~0",VLOOKUP(J1846,[1]作法V!$B$1:$C$9,2,TRUE))</f>
        <v>A~0</v>
      </c>
    </row>
    <row r="1847" spans="1:12">
      <c r="A1847">
        <v>1135</v>
      </c>
      <c r="B1847" t="s">
        <v>26</v>
      </c>
      <c r="C1847" s="3">
        <v>38645</v>
      </c>
      <c r="D1847" s="3">
        <v>38786</v>
      </c>
      <c r="E1847" t="s">
        <v>18</v>
      </c>
      <c r="F1847">
        <v>1</v>
      </c>
      <c r="G1847">
        <v>39200</v>
      </c>
      <c r="H1847">
        <v>39200</v>
      </c>
      <c r="I1847" s="4">
        <v>38686</v>
      </c>
      <c r="J1847" s="5">
        <f t="shared" si="56"/>
        <v>-100</v>
      </c>
      <c r="K1847" s="6" t="str">
        <f t="shared" si="57"/>
        <v>A~0</v>
      </c>
      <c r="L1847" t="str">
        <f>IF(J1847&lt;0,"A~0",VLOOKUP(J1847,[1]作法V!$B$1:$C$9,2,TRUE))</f>
        <v>A~0</v>
      </c>
    </row>
    <row r="1848" spans="1:12">
      <c r="A1848">
        <v>1135</v>
      </c>
      <c r="B1848" t="s">
        <v>26</v>
      </c>
      <c r="C1848" s="3">
        <v>38645</v>
      </c>
      <c r="D1848" s="3">
        <v>38786</v>
      </c>
      <c r="E1848" t="s">
        <v>18</v>
      </c>
      <c r="F1848">
        <v>1</v>
      </c>
      <c r="G1848">
        <v>15000</v>
      </c>
      <c r="H1848">
        <v>15000</v>
      </c>
      <c r="I1848" s="4">
        <v>38686</v>
      </c>
      <c r="J1848" s="5">
        <f t="shared" si="56"/>
        <v>-100</v>
      </c>
      <c r="K1848" s="6" t="str">
        <f t="shared" si="57"/>
        <v>A~0</v>
      </c>
      <c r="L1848" t="str">
        <f>IF(J1848&lt;0,"A~0",VLOOKUP(J1848,[1]作法V!$B$1:$C$9,2,TRUE))</f>
        <v>A~0</v>
      </c>
    </row>
    <row r="1849" spans="1:12">
      <c r="A1849">
        <v>1135</v>
      </c>
      <c r="B1849" t="s">
        <v>26</v>
      </c>
      <c r="C1849" s="3">
        <v>38646</v>
      </c>
      <c r="D1849" s="3">
        <v>38786</v>
      </c>
      <c r="E1849" t="s">
        <v>18</v>
      </c>
      <c r="F1849">
        <v>1</v>
      </c>
      <c r="G1849">
        <v>63000</v>
      </c>
      <c r="H1849">
        <v>63000</v>
      </c>
      <c r="I1849" s="4">
        <v>38686</v>
      </c>
      <c r="J1849" s="5">
        <f t="shared" si="56"/>
        <v>-100</v>
      </c>
      <c r="K1849" s="6" t="str">
        <f t="shared" si="57"/>
        <v>A~0</v>
      </c>
      <c r="L1849" t="str">
        <f>IF(J1849&lt;0,"A~0",VLOOKUP(J1849,[1]作法V!$B$1:$C$9,2,TRUE))</f>
        <v>A~0</v>
      </c>
    </row>
    <row r="1850" spans="1:12">
      <c r="A1850">
        <v>1135</v>
      </c>
      <c r="B1850" t="s">
        <v>26</v>
      </c>
      <c r="C1850" s="3">
        <v>38646</v>
      </c>
      <c r="D1850" s="3">
        <v>38786</v>
      </c>
      <c r="E1850" t="s">
        <v>18</v>
      </c>
      <c r="F1850">
        <v>1</v>
      </c>
      <c r="G1850">
        <v>462</v>
      </c>
      <c r="H1850">
        <v>462</v>
      </c>
      <c r="I1850" s="4">
        <v>38686</v>
      </c>
      <c r="J1850" s="5">
        <f t="shared" si="56"/>
        <v>-100</v>
      </c>
      <c r="K1850" s="6" t="str">
        <f t="shared" si="57"/>
        <v>A~0</v>
      </c>
      <c r="L1850" t="str">
        <f>IF(J1850&lt;0,"A~0",VLOOKUP(J1850,[1]作法V!$B$1:$C$9,2,TRUE))</f>
        <v>A~0</v>
      </c>
    </row>
    <row r="1851" spans="1:12">
      <c r="A1851">
        <v>1135</v>
      </c>
      <c r="B1851" t="s">
        <v>26</v>
      </c>
      <c r="C1851" s="3">
        <v>38647</v>
      </c>
      <c r="D1851" s="3">
        <v>38786</v>
      </c>
      <c r="E1851" t="s">
        <v>18</v>
      </c>
      <c r="F1851">
        <v>1</v>
      </c>
      <c r="G1851">
        <v>9360</v>
      </c>
      <c r="H1851">
        <v>9360</v>
      </c>
      <c r="I1851" s="4">
        <v>38686</v>
      </c>
      <c r="J1851" s="5">
        <f t="shared" si="56"/>
        <v>-100</v>
      </c>
      <c r="K1851" s="6" t="str">
        <f t="shared" si="57"/>
        <v>A~0</v>
      </c>
      <c r="L1851" t="str">
        <f>IF(J1851&lt;0,"A~0",VLOOKUP(J1851,[1]作法V!$B$1:$C$9,2,TRUE))</f>
        <v>A~0</v>
      </c>
    </row>
    <row r="1852" spans="1:12">
      <c r="A1852">
        <v>1135</v>
      </c>
      <c r="B1852" t="s">
        <v>26</v>
      </c>
      <c r="C1852" s="3">
        <v>38647</v>
      </c>
      <c r="D1852" s="3">
        <v>38786</v>
      </c>
      <c r="E1852" t="s">
        <v>18</v>
      </c>
      <c r="F1852">
        <v>1</v>
      </c>
      <c r="G1852">
        <v>25200</v>
      </c>
      <c r="H1852">
        <v>25200</v>
      </c>
      <c r="I1852" s="4">
        <v>38686</v>
      </c>
      <c r="J1852" s="5">
        <f t="shared" si="56"/>
        <v>-100</v>
      </c>
      <c r="K1852" s="6" t="str">
        <f t="shared" si="57"/>
        <v>A~0</v>
      </c>
      <c r="L1852" t="str">
        <f>IF(J1852&lt;0,"A~0",VLOOKUP(J1852,[1]作法V!$B$1:$C$9,2,TRUE))</f>
        <v>A~0</v>
      </c>
    </row>
    <row r="1853" spans="1:12">
      <c r="A1853">
        <v>1135</v>
      </c>
      <c r="B1853" t="s">
        <v>26</v>
      </c>
      <c r="C1853" s="3">
        <v>38650</v>
      </c>
      <c r="D1853" s="3">
        <v>38817</v>
      </c>
      <c r="E1853" t="s">
        <v>18</v>
      </c>
      <c r="F1853">
        <v>1</v>
      </c>
      <c r="G1853">
        <v>97500</v>
      </c>
      <c r="H1853">
        <v>97500</v>
      </c>
      <c r="I1853" s="4">
        <v>38686</v>
      </c>
      <c r="J1853" s="5">
        <f t="shared" si="56"/>
        <v>-131</v>
      </c>
      <c r="K1853" s="6" t="str">
        <f t="shared" si="57"/>
        <v>A~0</v>
      </c>
      <c r="L1853" t="str">
        <f>IF(J1853&lt;0,"A~0",VLOOKUP(J1853,[1]作法V!$B$1:$C$9,2,TRUE))</f>
        <v>A~0</v>
      </c>
    </row>
    <row r="1854" spans="1:12">
      <c r="A1854">
        <v>1135</v>
      </c>
      <c r="B1854" t="s">
        <v>26</v>
      </c>
      <c r="C1854" s="3">
        <v>38650</v>
      </c>
      <c r="D1854" s="3">
        <v>38817</v>
      </c>
      <c r="E1854" t="s">
        <v>18</v>
      </c>
      <c r="F1854">
        <v>1</v>
      </c>
      <c r="G1854">
        <v>62370</v>
      </c>
      <c r="H1854">
        <v>62370</v>
      </c>
      <c r="I1854" s="4">
        <v>38686</v>
      </c>
      <c r="J1854" s="5">
        <f t="shared" si="56"/>
        <v>-131</v>
      </c>
      <c r="K1854" s="6" t="str">
        <f t="shared" si="57"/>
        <v>A~0</v>
      </c>
      <c r="L1854" t="str">
        <f>IF(J1854&lt;0,"A~0",VLOOKUP(J1854,[1]作法V!$B$1:$C$9,2,TRUE))</f>
        <v>A~0</v>
      </c>
    </row>
    <row r="1855" spans="1:12">
      <c r="A1855">
        <v>1135</v>
      </c>
      <c r="B1855" t="s">
        <v>26</v>
      </c>
      <c r="C1855" s="3">
        <v>38651</v>
      </c>
      <c r="D1855" s="3">
        <v>38786</v>
      </c>
      <c r="E1855" t="s">
        <v>18</v>
      </c>
      <c r="F1855">
        <v>1</v>
      </c>
      <c r="G1855">
        <v>100544</v>
      </c>
      <c r="H1855">
        <v>100544</v>
      </c>
      <c r="I1855" s="4">
        <v>38686</v>
      </c>
      <c r="J1855" s="5">
        <f t="shared" si="56"/>
        <v>-100</v>
      </c>
      <c r="K1855" s="6" t="str">
        <f t="shared" si="57"/>
        <v>A~0</v>
      </c>
      <c r="L1855" t="str">
        <f>IF(J1855&lt;0,"A~0",VLOOKUP(J1855,[1]作法V!$B$1:$C$9,2,TRUE))</f>
        <v>A~0</v>
      </c>
    </row>
    <row r="1856" spans="1:12">
      <c r="A1856">
        <v>1135</v>
      </c>
      <c r="B1856" t="s">
        <v>26</v>
      </c>
      <c r="C1856" s="3">
        <v>38651</v>
      </c>
      <c r="D1856" s="3">
        <v>38786</v>
      </c>
      <c r="E1856" t="s">
        <v>18</v>
      </c>
      <c r="F1856">
        <v>1</v>
      </c>
      <c r="G1856">
        <v>38588</v>
      </c>
      <c r="H1856">
        <v>38588</v>
      </c>
      <c r="I1856" s="4">
        <v>38686</v>
      </c>
      <c r="J1856" s="5">
        <f t="shared" si="56"/>
        <v>-100</v>
      </c>
      <c r="K1856" s="6" t="str">
        <f t="shared" si="57"/>
        <v>A~0</v>
      </c>
      <c r="L1856" t="str">
        <f>IF(J1856&lt;0,"A~0",VLOOKUP(J1856,[1]作法V!$B$1:$C$9,2,TRUE))</f>
        <v>A~0</v>
      </c>
    </row>
    <row r="1857" spans="1:12">
      <c r="A1857">
        <v>1135</v>
      </c>
      <c r="B1857" t="s">
        <v>26</v>
      </c>
      <c r="C1857" s="3">
        <v>38651</v>
      </c>
      <c r="D1857" s="3">
        <v>38786</v>
      </c>
      <c r="E1857" t="s">
        <v>18</v>
      </c>
      <c r="F1857">
        <v>1</v>
      </c>
      <c r="G1857">
        <v>3229</v>
      </c>
      <c r="H1857">
        <v>3229</v>
      </c>
      <c r="I1857" s="4">
        <v>38686</v>
      </c>
      <c r="J1857" s="5">
        <f t="shared" si="56"/>
        <v>-100</v>
      </c>
      <c r="K1857" s="6" t="str">
        <f t="shared" si="57"/>
        <v>A~0</v>
      </c>
      <c r="L1857" t="str">
        <f>IF(J1857&lt;0,"A~0",VLOOKUP(J1857,[1]作法V!$B$1:$C$9,2,TRUE))</f>
        <v>A~0</v>
      </c>
    </row>
    <row r="1858" spans="1:12">
      <c r="A1858">
        <v>1135</v>
      </c>
      <c r="B1858" t="s">
        <v>26</v>
      </c>
      <c r="C1858" s="3">
        <v>38651</v>
      </c>
      <c r="D1858" s="3">
        <v>38786</v>
      </c>
      <c r="E1858" t="s">
        <v>18</v>
      </c>
      <c r="F1858">
        <v>1</v>
      </c>
      <c r="G1858">
        <v>136710</v>
      </c>
      <c r="H1858">
        <v>136710</v>
      </c>
      <c r="I1858" s="4">
        <v>38686</v>
      </c>
      <c r="J1858" s="5">
        <f t="shared" ref="J1858:J1921" si="58">I1858-D1858</f>
        <v>-100</v>
      </c>
      <c r="K1858" s="6" t="str">
        <f t="shared" ref="K1858:K1921" si="59">IF(J1858&lt;1,"A~0",IF(J1858&lt;31,"B1~30",IF(J1858&lt;61,"C31~60",IF(J1858&lt;91,"D61~90",IF(J1858&lt;121,"E91~120",IF(J1858&lt;181,"F121~180",IF(J1858&lt;361,"G181~360","H361~")))))))</f>
        <v>A~0</v>
      </c>
      <c r="L1858" t="str">
        <f>IF(J1858&lt;0,"A~0",VLOOKUP(J1858,[1]作法V!$B$1:$C$9,2,TRUE))</f>
        <v>A~0</v>
      </c>
    </row>
    <row r="1859" spans="1:12">
      <c r="A1859">
        <v>1135</v>
      </c>
      <c r="B1859" t="s">
        <v>26</v>
      </c>
      <c r="C1859" s="3">
        <v>38651</v>
      </c>
      <c r="D1859" s="3">
        <v>38817</v>
      </c>
      <c r="E1859" t="s">
        <v>18</v>
      </c>
      <c r="F1859">
        <v>1</v>
      </c>
      <c r="G1859">
        <v>2948</v>
      </c>
      <c r="H1859">
        <v>2948</v>
      </c>
      <c r="I1859" s="4">
        <v>38686</v>
      </c>
      <c r="J1859" s="5">
        <f t="shared" si="58"/>
        <v>-131</v>
      </c>
      <c r="K1859" s="6" t="str">
        <f t="shared" si="59"/>
        <v>A~0</v>
      </c>
      <c r="L1859" t="str">
        <f>IF(J1859&lt;0,"A~0",VLOOKUP(J1859,[1]作法V!$B$1:$C$9,2,TRUE))</f>
        <v>A~0</v>
      </c>
    </row>
    <row r="1860" spans="1:12">
      <c r="A1860">
        <v>1135</v>
      </c>
      <c r="B1860" t="s">
        <v>26</v>
      </c>
      <c r="C1860" s="3">
        <v>38651</v>
      </c>
      <c r="D1860" s="3">
        <v>38817</v>
      </c>
      <c r="E1860" t="s">
        <v>18</v>
      </c>
      <c r="F1860">
        <v>1</v>
      </c>
      <c r="G1860">
        <v>98280</v>
      </c>
      <c r="H1860">
        <v>98280</v>
      </c>
      <c r="I1860" s="4">
        <v>38686</v>
      </c>
      <c r="J1860" s="5">
        <f t="shared" si="58"/>
        <v>-131</v>
      </c>
      <c r="K1860" s="6" t="str">
        <f t="shared" si="59"/>
        <v>A~0</v>
      </c>
      <c r="L1860" t="str">
        <f>IF(J1860&lt;0,"A~0",VLOOKUP(J1860,[1]作法V!$B$1:$C$9,2,TRUE))</f>
        <v>A~0</v>
      </c>
    </row>
    <row r="1861" spans="1:12">
      <c r="A1861">
        <v>1135</v>
      </c>
      <c r="B1861" t="s">
        <v>26</v>
      </c>
      <c r="C1861" s="3">
        <v>38651</v>
      </c>
      <c r="D1861" s="3">
        <v>38817</v>
      </c>
      <c r="E1861" t="s">
        <v>18</v>
      </c>
      <c r="F1861">
        <v>1</v>
      </c>
      <c r="G1861">
        <v>118230</v>
      </c>
      <c r="H1861">
        <v>118230</v>
      </c>
      <c r="I1861" s="4">
        <v>38686</v>
      </c>
      <c r="J1861" s="5">
        <f t="shared" si="58"/>
        <v>-131</v>
      </c>
      <c r="K1861" s="6" t="str">
        <f t="shared" si="59"/>
        <v>A~0</v>
      </c>
      <c r="L1861" t="str">
        <f>IF(J1861&lt;0,"A~0",VLOOKUP(J1861,[1]作法V!$B$1:$C$9,2,TRUE))</f>
        <v>A~0</v>
      </c>
    </row>
    <row r="1862" spans="1:12">
      <c r="A1862">
        <v>1135</v>
      </c>
      <c r="B1862" t="s">
        <v>26</v>
      </c>
      <c r="C1862" s="3">
        <v>38651</v>
      </c>
      <c r="D1862" s="3">
        <v>38817</v>
      </c>
      <c r="E1862" t="s">
        <v>18</v>
      </c>
      <c r="F1862">
        <v>1</v>
      </c>
      <c r="G1862">
        <v>61425</v>
      </c>
      <c r="H1862">
        <v>61425</v>
      </c>
      <c r="I1862" s="4">
        <v>38686</v>
      </c>
      <c r="J1862" s="5">
        <f t="shared" si="58"/>
        <v>-131</v>
      </c>
      <c r="K1862" s="6" t="str">
        <f t="shared" si="59"/>
        <v>A~0</v>
      </c>
      <c r="L1862" t="str">
        <f>IF(J1862&lt;0,"A~0",VLOOKUP(J1862,[1]作法V!$B$1:$C$9,2,TRUE))</f>
        <v>A~0</v>
      </c>
    </row>
    <row r="1863" spans="1:12">
      <c r="A1863">
        <v>1135</v>
      </c>
      <c r="B1863" t="s">
        <v>26</v>
      </c>
      <c r="C1863" s="3">
        <v>38651</v>
      </c>
      <c r="D1863" s="3">
        <v>38817</v>
      </c>
      <c r="E1863" t="s">
        <v>18</v>
      </c>
      <c r="F1863">
        <v>1</v>
      </c>
      <c r="G1863">
        <v>84000</v>
      </c>
      <c r="H1863">
        <v>84000</v>
      </c>
      <c r="I1863" s="4">
        <v>38686</v>
      </c>
      <c r="J1863" s="5">
        <f t="shared" si="58"/>
        <v>-131</v>
      </c>
      <c r="K1863" s="6" t="str">
        <f t="shared" si="59"/>
        <v>A~0</v>
      </c>
      <c r="L1863" t="str">
        <f>IF(J1863&lt;0,"A~0",VLOOKUP(J1863,[1]作法V!$B$1:$C$9,2,TRUE))</f>
        <v>A~0</v>
      </c>
    </row>
    <row r="1864" spans="1:12">
      <c r="A1864">
        <v>1135</v>
      </c>
      <c r="B1864" t="s">
        <v>26</v>
      </c>
      <c r="C1864" s="3">
        <v>38651</v>
      </c>
      <c r="D1864" s="3">
        <v>38817</v>
      </c>
      <c r="E1864" t="s">
        <v>18</v>
      </c>
      <c r="F1864">
        <v>1</v>
      </c>
      <c r="G1864">
        <v>9450</v>
      </c>
      <c r="H1864">
        <v>9450</v>
      </c>
      <c r="I1864" s="4">
        <v>38686</v>
      </c>
      <c r="J1864" s="5">
        <f t="shared" si="58"/>
        <v>-131</v>
      </c>
      <c r="K1864" s="6" t="str">
        <f t="shared" si="59"/>
        <v>A~0</v>
      </c>
      <c r="L1864" t="str">
        <f>IF(J1864&lt;0,"A~0",VLOOKUP(J1864,[1]作法V!$B$1:$C$9,2,TRUE))</f>
        <v>A~0</v>
      </c>
    </row>
    <row r="1865" spans="1:12">
      <c r="A1865">
        <v>1135</v>
      </c>
      <c r="B1865" t="s">
        <v>26</v>
      </c>
      <c r="C1865" s="3">
        <v>38651</v>
      </c>
      <c r="D1865" s="3">
        <v>38817</v>
      </c>
      <c r="E1865" t="s">
        <v>18</v>
      </c>
      <c r="F1865">
        <v>1</v>
      </c>
      <c r="G1865">
        <v>42000</v>
      </c>
      <c r="H1865">
        <v>42000</v>
      </c>
      <c r="I1865" s="4">
        <v>38686</v>
      </c>
      <c r="J1865" s="5">
        <f t="shared" si="58"/>
        <v>-131</v>
      </c>
      <c r="K1865" s="6" t="str">
        <f t="shared" si="59"/>
        <v>A~0</v>
      </c>
      <c r="L1865" t="str">
        <f>IF(J1865&lt;0,"A~0",VLOOKUP(J1865,[1]作法V!$B$1:$C$9,2,TRUE))</f>
        <v>A~0</v>
      </c>
    </row>
    <row r="1866" spans="1:12">
      <c r="A1866">
        <v>1135</v>
      </c>
      <c r="B1866" t="s">
        <v>26</v>
      </c>
      <c r="C1866" s="3">
        <v>38651</v>
      </c>
      <c r="D1866" s="3">
        <v>38817</v>
      </c>
      <c r="E1866" t="s">
        <v>18</v>
      </c>
      <c r="F1866">
        <v>1</v>
      </c>
      <c r="G1866">
        <v>29988</v>
      </c>
      <c r="H1866">
        <v>29988</v>
      </c>
      <c r="I1866" s="4">
        <v>38686</v>
      </c>
      <c r="J1866" s="5">
        <f t="shared" si="58"/>
        <v>-131</v>
      </c>
      <c r="K1866" s="6" t="str">
        <f t="shared" si="59"/>
        <v>A~0</v>
      </c>
      <c r="L1866" t="str">
        <f>IF(J1866&lt;0,"A~0",VLOOKUP(J1866,[1]作法V!$B$1:$C$9,2,TRUE))</f>
        <v>A~0</v>
      </c>
    </row>
    <row r="1867" spans="1:12">
      <c r="A1867">
        <v>1135</v>
      </c>
      <c r="B1867" t="s">
        <v>26</v>
      </c>
      <c r="C1867" s="3">
        <v>38651</v>
      </c>
      <c r="D1867" s="3">
        <v>38817</v>
      </c>
      <c r="E1867" t="s">
        <v>18</v>
      </c>
      <c r="F1867">
        <v>1</v>
      </c>
      <c r="G1867">
        <v>315000</v>
      </c>
      <c r="H1867">
        <v>315000</v>
      </c>
      <c r="I1867" s="4">
        <v>38686</v>
      </c>
      <c r="J1867" s="5">
        <f t="shared" si="58"/>
        <v>-131</v>
      </c>
      <c r="K1867" s="6" t="str">
        <f t="shared" si="59"/>
        <v>A~0</v>
      </c>
      <c r="L1867" t="str">
        <f>IF(J1867&lt;0,"A~0",VLOOKUP(J1867,[1]作法V!$B$1:$C$9,2,TRUE))</f>
        <v>A~0</v>
      </c>
    </row>
    <row r="1868" spans="1:12">
      <c r="A1868">
        <v>1135</v>
      </c>
      <c r="B1868" t="s">
        <v>26</v>
      </c>
      <c r="C1868" s="3">
        <v>38651</v>
      </c>
      <c r="D1868" s="3">
        <v>38817</v>
      </c>
      <c r="E1868" t="s">
        <v>18</v>
      </c>
      <c r="F1868">
        <v>1</v>
      </c>
      <c r="G1868">
        <v>6306</v>
      </c>
      <c r="H1868">
        <v>6306</v>
      </c>
      <c r="I1868" s="4">
        <v>38686</v>
      </c>
      <c r="J1868" s="5">
        <f t="shared" si="58"/>
        <v>-131</v>
      </c>
      <c r="K1868" s="6" t="str">
        <f t="shared" si="59"/>
        <v>A~0</v>
      </c>
      <c r="L1868" t="str">
        <f>IF(J1868&lt;0,"A~0",VLOOKUP(J1868,[1]作法V!$B$1:$C$9,2,TRUE))</f>
        <v>A~0</v>
      </c>
    </row>
    <row r="1869" spans="1:12">
      <c r="A1869">
        <v>1135</v>
      </c>
      <c r="B1869" t="s">
        <v>26</v>
      </c>
      <c r="C1869" s="3">
        <v>38651</v>
      </c>
      <c r="D1869" s="3">
        <v>38817</v>
      </c>
      <c r="E1869" t="s">
        <v>18</v>
      </c>
      <c r="F1869">
        <v>1</v>
      </c>
      <c r="G1869">
        <v>10584</v>
      </c>
      <c r="H1869">
        <v>10584</v>
      </c>
      <c r="I1869" s="4">
        <v>38686</v>
      </c>
      <c r="J1869" s="5">
        <f t="shared" si="58"/>
        <v>-131</v>
      </c>
      <c r="K1869" s="6" t="str">
        <f t="shared" si="59"/>
        <v>A~0</v>
      </c>
      <c r="L1869" t="str">
        <f>IF(J1869&lt;0,"A~0",VLOOKUP(J1869,[1]作法V!$B$1:$C$9,2,TRUE))</f>
        <v>A~0</v>
      </c>
    </row>
    <row r="1870" spans="1:12">
      <c r="A1870">
        <v>1135</v>
      </c>
      <c r="B1870" t="s">
        <v>26</v>
      </c>
      <c r="C1870" s="3">
        <v>38651</v>
      </c>
      <c r="D1870" s="3">
        <v>38817</v>
      </c>
      <c r="E1870" t="s">
        <v>18</v>
      </c>
      <c r="F1870">
        <v>1</v>
      </c>
      <c r="G1870">
        <v>88200</v>
      </c>
      <c r="H1870">
        <v>88200</v>
      </c>
      <c r="I1870" s="4">
        <v>38686</v>
      </c>
      <c r="J1870" s="5">
        <f t="shared" si="58"/>
        <v>-131</v>
      </c>
      <c r="K1870" s="6" t="str">
        <f t="shared" si="59"/>
        <v>A~0</v>
      </c>
      <c r="L1870" t="str">
        <f>IF(J1870&lt;0,"A~0",VLOOKUP(J1870,[1]作法V!$B$1:$C$9,2,TRUE))</f>
        <v>A~0</v>
      </c>
    </row>
    <row r="1871" spans="1:12">
      <c r="A1871">
        <v>1135</v>
      </c>
      <c r="B1871" t="s">
        <v>26</v>
      </c>
      <c r="C1871" s="3">
        <v>38651</v>
      </c>
      <c r="D1871" s="3">
        <v>38817</v>
      </c>
      <c r="E1871" t="s">
        <v>18</v>
      </c>
      <c r="F1871">
        <v>1</v>
      </c>
      <c r="G1871">
        <v>31238</v>
      </c>
      <c r="H1871">
        <v>31238</v>
      </c>
      <c r="I1871" s="4">
        <v>38686</v>
      </c>
      <c r="J1871" s="5">
        <f t="shared" si="58"/>
        <v>-131</v>
      </c>
      <c r="K1871" s="6" t="str">
        <f t="shared" si="59"/>
        <v>A~0</v>
      </c>
      <c r="L1871" t="str">
        <f>IF(J1871&lt;0,"A~0",VLOOKUP(J1871,[1]作法V!$B$1:$C$9,2,TRUE))</f>
        <v>A~0</v>
      </c>
    </row>
    <row r="1872" spans="1:12">
      <c r="A1872">
        <v>1135</v>
      </c>
      <c r="B1872" t="s">
        <v>26</v>
      </c>
      <c r="C1872" s="3">
        <v>38651</v>
      </c>
      <c r="D1872" s="3">
        <v>38817</v>
      </c>
      <c r="E1872" t="s">
        <v>18</v>
      </c>
      <c r="F1872">
        <v>1</v>
      </c>
      <c r="G1872">
        <v>17325</v>
      </c>
      <c r="H1872">
        <v>17325</v>
      </c>
      <c r="I1872" s="4">
        <v>38686</v>
      </c>
      <c r="J1872" s="5">
        <f t="shared" si="58"/>
        <v>-131</v>
      </c>
      <c r="K1872" s="6" t="str">
        <f t="shared" si="59"/>
        <v>A~0</v>
      </c>
      <c r="L1872" t="str">
        <f>IF(J1872&lt;0,"A~0",VLOOKUP(J1872,[1]作法V!$B$1:$C$9,2,TRUE))</f>
        <v>A~0</v>
      </c>
    </row>
    <row r="1873" spans="1:12">
      <c r="A1873">
        <v>1135</v>
      </c>
      <c r="B1873" t="s">
        <v>26</v>
      </c>
      <c r="C1873" s="3">
        <v>38651</v>
      </c>
      <c r="D1873" s="3">
        <v>38817</v>
      </c>
      <c r="E1873" t="s">
        <v>18</v>
      </c>
      <c r="F1873">
        <v>1</v>
      </c>
      <c r="G1873">
        <v>2117</v>
      </c>
      <c r="H1873">
        <v>2117</v>
      </c>
      <c r="I1873" s="4">
        <v>38686</v>
      </c>
      <c r="J1873" s="5">
        <f t="shared" si="58"/>
        <v>-131</v>
      </c>
      <c r="K1873" s="6" t="str">
        <f t="shared" si="59"/>
        <v>A~0</v>
      </c>
      <c r="L1873" t="str">
        <f>IF(J1873&lt;0,"A~0",VLOOKUP(J1873,[1]作法V!$B$1:$C$9,2,TRUE))</f>
        <v>A~0</v>
      </c>
    </row>
    <row r="1874" spans="1:12">
      <c r="A1874">
        <v>1135</v>
      </c>
      <c r="B1874" t="s">
        <v>26</v>
      </c>
      <c r="C1874" s="3">
        <v>38651</v>
      </c>
      <c r="D1874" s="3">
        <v>38817</v>
      </c>
      <c r="E1874" t="s">
        <v>18</v>
      </c>
      <c r="F1874">
        <v>1</v>
      </c>
      <c r="G1874">
        <v>7875</v>
      </c>
      <c r="H1874">
        <v>7875</v>
      </c>
      <c r="I1874" s="4">
        <v>38686</v>
      </c>
      <c r="J1874" s="5">
        <f t="shared" si="58"/>
        <v>-131</v>
      </c>
      <c r="K1874" s="6" t="str">
        <f t="shared" si="59"/>
        <v>A~0</v>
      </c>
      <c r="L1874" t="str">
        <f>IF(J1874&lt;0,"A~0",VLOOKUP(J1874,[1]作法V!$B$1:$C$9,2,TRUE))</f>
        <v>A~0</v>
      </c>
    </row>
    <row r="1875" spans="1:12">
      <c r="A1875">
        <v>1135</v>
      </c>
      <c r="B1875" t="s">
        <v>26</v>
      </c>
      <c r="C1875" s="3">
        <v>38656</v>
      </c>
      <c r="D1875" s="3">
        <v>38786</v>
      </c>
      <c r="E1875" t="s">
        <v>18</v>
      </c>
      <c r="F1875">
        <v>1</v>
      </c>
      <c r="G1875">
        <v>63000</v>
      </c>
      <c r="H1875">
        <v>63000</v>
      </c>
      <c r="I1875" s="4">
        <v>38686</v>
      </c>
      <c r="J1875" s="5">
        <f t="shared" si="58"/>
        <v>-100</v>
      </c>
      <c r="K1875" s="6" t="str">
        <f t="shared" si="59"/>
        <v>A~0</v>
      </c>
      <c r="L1875" t="str">
        <f>IF(J1875&lt;0,"A~0",VLOOKUP(J1875,[1]作法V!$B$1:$C$9,2,TRUE))</f>
        <v>A~0</v>
      </c>
    </row>
    <row r="1876" spans="1:12">
      <c r="A1876">
        <v>1135</v>
      </c>
      <c r="B1876" t="s">
        <v>26</v>
      </c>
      <c r="C1876" s="3">
        <v>38656</v>
      </c>
      <c r="D1876" s="3">
        <v>38786</v>
      </c>
      <c r="E1876" t="s">
        <v>18</v>
      </c>
      <c r="F1876">
        <v>1</v>
      </c>
      <c r="G1876">
        <v>34965</v>
      </c>
      <c r="H1876">
        <v>34965</v>
      </c>
      <c r="I1876" s="4">
        <v>38686</v>
      </c>
      <c r="J1876" s="5">
        <f t="shared" si="58"/>
        <v>-100</v>
      </c>
      <c r="K1876" s="6" t="str">
        <f t="shared" si="59"/>
        <v>A~0</v>
      </c>
      <c r="L1876" t="str">
        <f>IF(J1876&lt;0,"A~0",VLOOKUP(J1876,[1]作法V!$B$1:$C$9,2,TRUE))</f>
        <v>A~0</v>
      </c>
    </row>
    <row r="1877" spans="1:12">
      <c r="A1877">
        <v>1135</v>
      </c>
      <c r="B1877" t="s">
        <v>26</v>
      </c>
      <c r="C1877" s="3">
        <v>38656</v>
      </c>
      <c r="D1877" s="3">
        <v>38786</v>
      </c>
      <c r="E1877" t="s">
        <v>18</v>
      </c>
      <c r="F1877">
        <v>1</v>
      </c>
      <c r="G1877">
        <v>3465</v>
      </c>
      <c r="H1877">
        <v>3465</v>
      </c>
      <c r="I1877" s="4">
        <v>38686</v>
      </c>
      <c r="J1877" s="5">
        <f t="shared" si="58"/>
        <v>-100</v>
      </c>
      <c r="K1877" s="6" t="str">
        <f t="shared" si="59"/>
        <v>A~0</v>
      </c>
      <c r="L1877" t="str">
        <f>IF(J1877&lt;0,"A~0",VLOOKUP(J1877,[1]作法V!$B$1:$C$9,2,TRUE))</f>
        <v>A~0</v>
      </c>
    </row>
    <row r="1878" spans="1:12">
      <c r="A1878">
        <v>1135</v>
      </c>
      <c r="B1878" t="s">
        <v>26</v>
      </c>
      <c r="C1878" s="3">
        <v>38656</v>
      </c>
      <c r="D1878" s="3">
        <v>38786</v>
      </c>
      <c r="E1878" t="s">
        <v>18</v>
      </c>
      <c r="F1878">
        <v>1</v>
      </c>
      <c r="G1878">
        <v>42735</v>
      </c>
      <c r="H1878">
        <v>42735</v>
      </c>
      <c r="I1878" s="4">
        <v>38686</v>
      </c>
      <c r="J1878" s="5">
        <f t="shared" si="58"/>
        <v>-100</v>
      </c>
      <c r="K1878" s="6" t="str">
        <f t="shared" si="59"/>
        <v>A~0</v>
      </c>
      <c r="L1878" t="str">
        <f>IF(J1878&lt;0,"A~0",VLOOKUP(J1878,[1]作法V!$B$1:$C$9,2,TRUE))</f>
        <v>A~0</v>
      </c>
    </row>
    <row r="1879" spans="1:12">
      <c r="A1879">
        <v>1135</v>
      </c>
      <c r="B1879" t="s">
        <v>26</v>
      </c>
      <c r="C1879" s="3">
        <v>38657</v>
      </c>
      <c r="D1879" s="3">
        <v>38786</v>
      </c>
      <c r="E1879" t="s">
        <v>18</v>
      </c>
      <c r="F1879">
        <v>1</v>
      </c>
      <c r="G1879">
        <v>81270</v>
      </c>
      <c r="H1879">
        <v>81270</v>
      </c>
      <c r="I1879" s="4">
        <v>38686</v>
      </c>
      <c r="J1879" s="5">
        <f t="shared" si="58"/>
        <v>-100</v>
      </c>
      <c r="K1879" s="6" t="str">
        <f t="shared" si="59"/>
        <v>A~0</v>
      </c>
      <c r="L1879" t="str">
        <f>IF(J1879&lt;0,"A~0",VLOOKUP(J1879,[1]作法V!$B$1:$C$9,2,TRUE))</f>
        <v>A~0</v>
      </c>
    </row>
    <row r="1880" spans="1:12">
      <c r="A1880">
        <v>1135</v>
      </c>
      <c r="B1880" t="s">
        <v>26</v>
      </c>
      <c r="C1880" s="3">
        <v>38657</v>
      </c>
      <c r="D1880" s="3">
        <v>38786</v>
      </c>
      <c r="E1880" t="s">
        <v>18</v>
      </c>
      <c r="F1880">
        <v>1</v>
      </c>
      <c r="G1880">
        <v>15540</v>
      </c>
      <c r="H1880">
        <v>15540</v>
      </c>
      <c r="I1880" s="4">
        <v>38686</v>
      </c>
      <c r="J1880" s="5">
        <f t="shared" si="58"/>
        <v>-100</v>
      </c>
      <c r="K1880" s="6" t="str">
        <f t="shared" si="59"/>
        <v>A~0</v>
      </c>
      <c r="L1880" t="str">
        <f>IF(J1880&lt;0,"A~0",VLOOKUP(J1880,[1]作法V!$B$1:$C$9,2,TRUE))</f>
        <v>A~0</v>
      </c>
    </row>
    <row r="1881" spans="1:12">
      <c r="A1881">
        <v>1135</v>
      </c>
      <c r="B1881" t="s">
        <v>26</v>
      </c>
      <c r="C1881" s="3">
        <v>38657</v>
      </c>
      <c r="D1881" s="3">
        <v>38786</v>
      </c>
      <c r="E1881" t="s">
        <v>18</v>
      </c>
      <c r="F1881">
        <v>1</v>
      </c>
      <c r="G1881">
        <v>75075</v>
      </c>
      <c r="H1881">
        <v>75075</v>
      </c>
      <c r="I1881" s="4">
        <v>38686</v>
      </c>
      <c r="J1881" s="5">
        <f t="shared" si="58"/>
        <v>-100</v>
      </c>
      <c r="K1881" s="6" t="str">
        <f t="shared" si="59"/>
        <v>A~0</v>
      </c>
      <c r="L1881" t="str">
        <f>IF(J1881&lt;0,"A~0",VLOOKUP(J1881,[1]作法V!$B$1:$C$9,2,TRUE))</f>
        <v>A~0</v>
      </c>
    </row>
    <row r="1882" spans="1:12">
      <c r="A1882">
        <v>1135</v>
      </c>
      <c r="B1882" t="s">
        <v>26</v>
      </c>
      <c r="C1882" s="3">
        <v>38659</v>
      </c>
      <c r="D1882" s="3">
        <v>38786</v>
      </c>
      <c r="E1882" t="s">
        <v>18</v>
      </c>
      <c r="F1882">
        <v>1</v>
      </c>
      <c r="G1882">
        <v>120456</v>
      </c>
      <c r="H1882">
        <v>120456</v>
      </c>
      <c r="I1882" s="4">
        <v>38686</v>
      </c>
      <c r="J1882" s="5">
        <f t="shared" si="58"/>
        <v>-100</v>
      </c>
      <c r="K1882" s="6" t="str">
        <f t="shared" si="59"/>
        <v>A~0</v>
      </c>
      <c r="L1882" t="str">
        <f>IF(J1882&lt;0,"A~0",VLOOKUP(J1882,[1]作法V!$B$1:$C$9,2,TRUE))</f>
        <v>A~0</v>
      </c>
    </row>
    <row r="1883" spans="1:12">
      <c r="A1883">
        <v>1135</v>
      </c>
      <c r="B1883" t="s">
        <v>26</v>
      </c>
      <c r="C1883" s="3">
        <v>38659</v>
      </c>
      <c r="D1883" s="3">
        <v>38786</v>
      </c>
      <c r="E1883" t="s">
        <v>18</v>
      </c>
      <c r="F1883">
        <v>1</v>
      </c>
      <c r="G1883">
        <v>50400</v>
      </c>
      <c r="H1883">
        <v>50400</v>
      </c>
      <c r="I1883" s="4">
        <v>38686</v>
      </c>
      <c r="J1883" s="5">
        <f t="shared" si="58"/>
        <v>-100</v>
      </c>
      <c r="K1883" s="6" t="str">
        <f t="shared" si="59"/>
        <v>A~0</v>
      </c>
      <c r="L1883" t="str">
        <f>IF(J1883&lt;0,"A~0",VLOOKUP(J1883,[1]作法V!$B$1:$C$9,2,TRUE))</f>
        <v>A~0</v>
      </c>
    </row>
    <row r="1884" spans="1:12">
      <c r="A1884">
        <v>1135</v>
      </c>
      <c r="B1884" t="s">
        <v>26</v>
      </c>
      <c r="C1884" s="3">
        <v>38659</v>
      </c>
      <c r="D1884" s="3">
        <v>38786</v>
      </c>
      <c r="E1884" t="s">
        <v>18</v>
      </c>
      <c r="F1884">
        <v>1</v>
      </c>
      <c r="G1884">
        <v>74025</v>
      </c>
      <c r="H1884">
        <v>74025</v>
      </c>
      <c r="I1884" s="4">
        <v>38686</v>
      </c>
      <c r="J1884" s="5">
        <f t="shared" si="58"/>
        <v>-100</v>
      </c>
      <c r="K1884" s="6" t="str">
        <f t="shared" si="59"/>
        <v>A~0</v>
      </c>
      <c r="L1884" t="str">
        <f>IF(J1884&lt;0,"A~0",VLOOKUP(J1884,[1]作法V!$B$1:$C$9,2,TRUE))</f>
        <v>A~0</v>
      </c>
    </row>
    <row r="1885" spans="1:12">
      <c r="A1885">
        <v>1135</v>
      </c>
      <c r="B1885" t="s">
        <v>26</v>
      </c>
      <c r="C1885" s="3">
        <v>38659</v>
      </c>
      <c r="D1885" s="3">
        <v>38817</v>
      </c>
      <c r="E1885" t="s">
        <v>18</v>
      </c>
      <c r="F1885">
        <v>1</v>
      </c>
      <c r="G1885">
        <v>6038</v>
      </c>
      <c r="H1885">
        <v>6038</v>
      </c>
      <c r="I1885" s="4">
        <v>38686</v>
      </c>
      <c r="J1885" s="5">
        <f t="shared" si="58"/>
        <v>-131</v>
      </c>
      <c r="K1885" s="6" t="str">
        <f t="shared" si="59"/>
        <v>A~0</v>
      </c>
      <c r="L1885" t="str">
        <f>IF(J1885&lt;0,"A~0",VLOOKUP(J1885,[1]作法V!$B$1:$C$9,2,TRUE))</f>
        <v>A~0</v>
      </c>
    </row>
    <row r="1886" spans="1:12">
      <c r="A1886">
        <v>1135</v>
      </c>
      <c r="B1886" t="s">
        <v>26</v>
      </c>
      <c r="C1886" s="3">
        <v>38659</v>
      </c>
      <c r="D1886" s="3">
        <v>38817</v>
      </c>
      <c r="E1886" t="s">
        <v>18</v>
      </c>
      <c r="F1886">
        <v>1</v>
      </c>
      <c r="G1886">
        <v>9702</v>
      </c>
      <c r="H1886">
        <v>9702</v>
      </c>
      <c r="I1886" s="4">
        <v>38686</v>
      </c>
      <c r="J1886" s="5">
        <f t="shared" si="58"/>
        <v>-131</v>
      </c>
      <c r="K1886" s="6" t="str">
        <f t="shared" si="59"/>
        <v>A~0</v>
      </c>
      <c r="L1886" t="str">
        <f>IF(J1886&lt;0,"A~0",VLOOKUP(J1886,[1]作法V!$B$1:$C$9,2,TRUE))</f>
        <v>A~0</v>
      </c>
    </row>
    <row r="1887" spans="1:12">
      <c r="A1887">
        <v>1135</v>
      </c>
      <c r="B1887" t="s">
        <v>26</v>
      </c>
      <c r="C1887" s="3">
        <v>38659</v>
      </c>
      <c r="D1887" s="3">
        <v>38817</v>
      </c>
      <c r="E1887" t="s">
        <v>18</v>
      </c>
      <c r="F1887">
        <v>1</v>
      </c>
      <c r="G1887">
        <v>15750</v>
      </c>
      <c r="H1887">
        <v>15750</v>
      </c>
      <c r="I1887" s="4">
        <v>38686</v>
      </c>
      <c r="J1887" s="5">
        <f t="shared" si="58"/>
        <v>-131</v>
      </c>
      <c r="K1887" s="6" t="str">
        <f t="shared" si="59"/>
        <v>A~0</v>
      </c>
      <c r="L1887" t="str">
        <f>IF(J1887&lt;0,"A~0",VLOOKUP(J1887,[1]作法V!$B$1:$C$9,2,TRUE))</f>
        <v>A~0</v>
      </c>
    </row>
    <row r="1888" spans="1:12">
      <c r="A1888">
        <v>1135</v>
      </c>
      <c r="B1888" t="s">
        <v>26</v>
      </c>
      <c r="C1888" s="3">
        <v>38659</v>
      </c>
      <c r="D1888" s="3">
        <v>38817</v>
      </c>
      <c r="E1888" t="s">
        <v>18</v>
      </c>
      <c r="F1888">
        <v>1</v>
      </c>
      <c r="G1888">
        <v>15750</v>
      </c>
      <c r="H1888">
        <v>15750</v>
      </c>
      <c r="I1888" s="4">
        <v>38686</v>
      </c>
      <c r="J1888" s="5">
        <f t="shared" si="58"/>
        <v>-131</v>
      </c>
      <c r="K1888" s="6" t="str">
        <f t="shared" si="59"/>
        <v>A~0</v>
      </c>
      <c r="L1888" t="str">
        <f>IF(J1888&lt;0,"A~0",VLOOKUP(J1888,[1]作法V!$B$1:$C$9,2,TRUE))</f>
        <v>A~0</v>
      </c>
    </row>
    <row r="1889" spans="1:12">
      <c r="A1889">
        <v>1135</v>
      </c>
      <c r="B1889" t="s">
        <v>26</v>
      </c>
      <c r="C1889" s="3">
        <v>38659</v>
      </c>
      <c r="D1889" s="3">
        <v>38817</v>
      </c>
      <c r="E1889" t="s">
        <v>18</v>
      </c>
      <c r="F1889">
        <v>1</v>
      </c>
      <c r="G1889">
        <v>7875</v>
      </c>
      <c r="H1889">
        <v>7875</v>
      </c>
      <c r="I1889" s="4">
        <v>38686</v>
      </c>
      <c r="J1889" s="5">
        <f t="shared" si="58"/>
        <v>-131</v>
      </c>
      <c r="K1889" s="6" t="str">
        <f t="shared" si="59"/>
        <v>A~0</v>
      </c>
      <c r="L1889" t="str">
        <f>IF(J1889&lt;0,"A~0",VLOOKUP(J1889,[1]作法V!$B$1:$C$9,2,TRUE))</f>
        <v>A~0</v>
      </c>
    </row>
    <row r="1890" spans="1:12">
      <c r="A1890">
        <v>1135</v>
      </c>
      <c r="B1890" t="s">
        <v>26</v>
      </c>
      <c r="C1890" s="3">
        <v>38659</v>
      </c>
      <c r="D1890" s="3">
        <v>38817</v>
      </c>
      <c r="E1890" t="s">
        <v>18</v>
      </c>
      <c r="F1890">
        <v>1</v>
      </c>
      <c r="G1890">
        <v>13230</v>
      </c>
      <c r="H1890">
        <v>13230</v>
      </c>
      <c r="I1890" s="4">
        <v>38686</v>
      </c>
      <c r="J1890" s="5">
        <f t="shared" si="58"/>
        <v>-131</v>
      </c>
      <c r="K1890" s="6" t="str">
        <f t="shared" si="59"/>
        <v>A~0</v>
      </c>
      <c r="L1890" t="str">
        <f>IF(J1890&lt;0,"A~0",VLOOKUP(J1890,[1]作法V!$B$1:$C$9,2,TRUE))</f>
        <v>A~0</v>
      </c>
    </row>
    <row r="1891" spans="1:12">
      <c r="A1891">
        <v>1135</v>
      </c>
      <c r="B1891" t="s">
        <v>26</v>
      </c>
      <c r="C1891" s="3">
        <v>38659</v>
      </c>
      <c r="D1891" s="3">
        <v>38817</v>
      </c>
      <c r="E1891" t="s">
        <v>18</v>
      </c>
      <c r="F1891">
        <v>1</v>
      </c>
      <c r="G1891">
        <v>63000</v>
      </c>
      <c r="H1891">
        <v>63000</v>
      </c>
      <c r="I1891" s="4">
        <v>38686</v>
      </c>
      <c r="J1891" s="5">
        <f t="shared" si="58"/>
        <v>-131</v>
      </c>
      <c r="K1891" s="6" t="str">
        <f t="shared" si="59"/>
        <v>A~0</v>
      </c>
      <c r="L1891" t="str">
        <f>IF(J1891&lt;0,"A~0",VLOOKUP(J1891,[1]作法V!$B$1:$C$9,2,TRUE))</f>
        <v>A~0</v>
      </c>
    </row>
    <row r="1892" spans="1:12">
      <c r="A1892">
        <v>1135</v>
      </c>
      <c r="B1892" t="s">
        <v>26</v>
      </c>
      <c r="C1892" s="3">
        <v>38659</v>
      </c>
      <c r="D1892" s="3">
        <v>38817</v>
      </c>
      <c r="E1892" t="s">
        <v>18</v>
      </c>
      <c r="F1892">
        <v>1</v>
      </c>
      <c r="G1892">
        <v>13230</v>
      </c>
      <c r="H1892">
        <v>13230</v>
      </c>
      <c r="I1892" s="4">
        <v>38686</v>
      </c>
      <c r="J1892" s="5">
        <f t="shared" si="58"/>
        <v>-131</v>
      </c>
      <c r="K1892" s="6" t="str">
        <f t="shared" si="59"/>
        <v>A~0</v>
      </c>
      <c r="L1892" t="str">
        <f>IF(J1892&lt;0,"A~0",VLOOKUP(J1892,[1]作法V!$B$1:$C$9,2,TRUE))</f>
        <v>A~0</v>
      </c>
    </row>
    <row r="1893" spans="1:12">
      <c r="A1893">
        <v>1135</v>
      </c>
      <c r="B1893" t="s">
        <v>26</v>
      </c>
      <c r="C1893" s="3">
        <v>38659</v>
      </c>
      <c r="D1893" s="3">
        <v>38817</v>
      </c>
      <c r="E1893" t="s">
        <v>18</v>
      </c>
      <c r="F1893">
        <v>1</v>
      </c>
      <c r="G1893">
        <v>4788</v>
      </c>
      <c r="H1893">
        <v>4788</v>
      </c>
      <c r="I1893" s="4">
        <v>38686</v>
      </c>
      <c r="J1893" s="5">
        <f t="shared" si="58"/>
        <v>-131</v>
      </c>
      <c r="K1893" s="6" t="str">
        <f t="shared" si="59"/>
        <v>A~0</v>
      </c>
      <c r="L1893" t="str">
        <f>IF(J1893&lt;0,"A~0",VLOOKUP(J1893,[1]作法V!$B$1:$C$9,2,TRUE))</f>
        <v>A~0</v>
      </c>
    </row>
    <row r="1894" spans="1:12">
      <c r="A1894">
        <v>1135</v>
      </c>
      <c r="B1894" t="s">
        <v>26</v>
      </c>
      <c r="C1894" s="3">
        <v>38659</v>
      </c>
      <c r="D1894" s="3">
        <v>38817</v>
      </c>
      <c r="E1894" t="s">
        <v>18</v>
      </c>
      <c r="F1894">
        <v>1</v>
      </c>
      <c r="G1894">
        <v>33443</v>
      </c>
      <c r="H1894">
        <v>33443</v>
      </c>
      <c r="I1894" s="4">
        <v>38686</v>
      </c>
      <c r="J1894" s="5">
        <f t="shared" si="58"/>
        <v>-131</v>
      </c>
      <c r="K1894" s="6" t="str">
        <f t="shared" si="59"/>
        <v>A~0</v>
      </c>
      <c r="L1894" t="str">
        <f>IF(J1894&lt;0,"A~0",VLOOKUP(J1894,[1]作法V!$B$1:$C$9,2,TRUE))</f>
        <v>A~0</v>
      </c>
    </row>
    <row r="1895" spans="1:12">
      <c r="A1895">
        <v>1135</v>
      </c>
      <c r="B1895" t="s">
        <v>26</v>
      </c>
      <c r="C1895" s="3">
        <v>38660</v>
      </c>
      <c r="D1895" s="3">
        <v>38817</v>
      </c>
      <c r="E1895" t="s">
        <v>18</v>
      </c>
      <c r="F1895">
        <v>1</v>
      </c>
      <c r="G1895">
        <v>97500</v>
      </c>
      <c r="H1895">
        <v>97500</v>
      </c>
      <c r="I1895" s="4">
        <v>38686</v>
      </c>
      <c r="J1895" s="5">
        <f t="shared" si="58"/>
        <v>-131</v>
      </c>
      <c r="K1895" s="6" t="str">
        <f t="shared" si="59"/>
        <v>A~0</v>
      </c>
      <c r="L1895" t="str">
        <f>IF(J1895&lt;0,"A~0",VLOOKUP(J1895,[1]作法V!$B$1:$C$9,2,TRUE))</f>
        <v>A~0</v>
      </c>
    </row>
    <row r="1896" spans="1:12">
      <c r="A1896">
        <v>1135</v>
      </c>
      <c r="B1896" t="s">
        <v>26</v>
      </c>
      <c r="C1896" s="3">
        <v>38660</v>
      </c>
      <c r="D1896" s="3">
        <v>38817</v>
      </c>
      <c r="E1896" t="s">
        <v>18</v>
      </c>
      <c r="F1896">
        <v>1</v>
      </c>
      <c r="G1896">
        <v>7263</v>
      </c>
      <c r="H1896">
        <v>7263</v>
      </c>
      <c r="I1896" s="4">
        <v>38686</v>
      </c>
      <c r="J1896" s="5">
        <f t="shared" si="58"/>
        <v>-131</v>
      </c>
      <c r="K1896" s="6" t="str">
        <f t="shared" si="59"/>
        <v>A~0</v>
      </c>
      <c r="L1896" t="str">
        <f>IF(J1896&lt;0,"A~0",VLOOKUP(J1896,[1]作法V!$B$1:$C$9,2,TRUE))</f>
        <v>A~0</v>
      </c>
    </row>
    <row r="1897" spans="1:12">
      <c r="A1897">
        <v>1135</v>
      </c>
      <c r="B1897" t="s">
        <v>26</v>
      </c>
      <c r="C1897" s="3">
        <v>38660</v>
      </c>
      <c r="D1897" s="3">
        <v>38786</v>
      </c>
      <c r="E1897" t="s">
        <v>18</v>
      </c>
      <c r="F1897">
        <v>1</v>
      </c>
      <c r="G1897">
        <v>67725</v>
      </c>
      <c r="H1897">
        <v>67725</v>
      </c>
      <c r="I1897" s="4">
        <v>38686</v>
      </c>
      <c r="J1897" s="5">
        <f t="shared" si="58"/>
        <v>-100</v>
      </c>
      <c r="K1897" s="6" t="str">
        <f t="shared" si="59"/>
        <v>A~0</v>
      </c>
      <c r="L1897" t="str">
        <f>IF(J1897&lt;0,"A~0",VLOOKUP(J1897,[1]作法V!$B$1:$C$9,2,TRUE))</f>
        <v>A~0</v>
      </c>
    </row>
    <row r="1898" spans="1:12">
      <c r="A1898">
        <v>1135</v>
      </c>
      <c r="B1898" t="s">
        <v>26</v>
      </c>
      <c r="C1898" s="3">
        <v>38660</v>
      </c>
      <c r="D1898" s="3">
        <v>38786</v>
      </c>
      <c r="E1898" t="s">
        <v>18</v>
      </c>
      <c r="F1898">
        <v>1</v>
      </c>
      <c r="G1898">
        <v>6458</v>
      </c>
      <c r="H1898">
        <v>6458</v>
      </c>
      <c r="I1898" s="4">
        <v>38686</v>
      </c>
      <c r="J1898" s="5">
        <f t="shared" si="58"/>
        <v>-100</v>
      </c>
      <c r="K1898" s="6" t="str">
        <f t="shared" si="59"/>
        <v>A~0</v>
      </c>
      <c r="L1898" t="str">
        <f>IF(J1898&lt;0,"A~0",VLOOKUP(J1898,[1]作法V!$B$1:$C$9,2,TRUE))</f>
        <v>A~0</v>
      </c>
    </row>
    <row r="1899" spans="1:12">
      <c r="A1899">
        <v>1135</v>
      </c>
      <c r="B1899" t="s">
        <v>26</v>
      </c>
      <c r="C1899" s="3">
        <v>38660</v>
      </c>
      <c r="D1899" s="3">
        <v>38786</v>
      </c>
      <c r="E1899" t="s">
        <v>18</v>
      </c>
      <c r="F1899">
        <v>1</v>
      </c>
      <c r="G1899">
        <v>91350</v>
      </c>
      <c r="H1899">
        <v>91350</v>
      </c>
      <c r="I1899" s="4">
        <v>38686</v>
      </c>
      <c r="J1899" s="5">
        <f t="shared" si="58"/>
        <v>-100</v>
      </c>
      <c r="K1899" s="6" t="str">
        <f t="shared" si="59"/>
        <v>A~0</v>
      </c>
      <c r="L1899" t="str">
        <f>IF(J1899&lt;0,"A~0",VLOOKUP(J1899,[1]作法V!$B$1:$C$9,2,TRUE))</f>
        <v>A~0</v>
      </c>
    </row>
    <row r="1900" spans="1:12">
      <c r="A1900">
        <v>1135</v>
      </c>
      <c r="B1900" t="s">
        <v>26</v>
      </c>
      <c r="C1900" s="3">
        <v>38660</v>
      </c>
      <c r="D1900" s="3">
        <v>38786</v>
      </c>
      <c r="E1900" t="s">
        <v>18</v>
      </c>
      <c r="F1900">
        <v>1</v>
      </c>
      <c r="G1900">
        <v>6143</v>
      </c>
      <c r="H1900">
        <v>6143</v>
      </c>
      <c r="I1900" s="4">
        <v>38686</v>
      </c>
      <c r="J1900" s="5">
        <f t="shared" si="58"/>
        <v>-100</v>
      </c>
      <c r="K1900" s="6" t="str">
        <f t="shared" si="59"/>
        <v>A~0</v>
      </c>
      <c r="L1900" t="str">
        <f>IF(J1900&lt;0,"A~0",VLOOKUP(J1900,[1]作法V!$B$1:$C$9,2,TRUE))</f>
        <v>A~0</v>
      </c>
    </row>
    <row r="1901" spans="1:12">
      <c r="A1901">
        <v>1135</v>
      </c>
      <c r="B1901" t="s">
        <v>26</v>
      </c>
      <c r="C1901" s="3">
        <v>38663</v>
      </c>
      <c r="D1901" s="3">
        <v>38817</v>
      </c>
      <c r="E1901" t="s">
        <v>18</v>
      </c>
      <c r="F1901">
        <v>1</v>
      </c>
      <c r="G1901">
        <v>97500</v>
      </c>
      <c r="H1901">
        <v>97500</v>
      </c>
      <c r="I1901" s="4">
        <v>38686</v>
      </c>
      <c r="J1901" s="5">
        <f t="shared" si="58"/>
        <v>-131</v>
      </c>
      <c r="K1901" s="6" t="str">
        <f t="shared" si="59"/>
        <v>A~0</v>
      </c>
      <c r="L1901" t="str">
        <f>IF(J1901&lt;0,"A~0",VLOOKUP(J1901,[1]作法V!$B$1:$C$9,2,TRUE))</f>
        <v>A~0</v>
      </c>
    </row>
    <row r="1902" spans="1:12">
      <c r="A1902">
        <v>1135</v>
      </c>
      <c r="B1902" t="s">
        <v>26</v>
      </c>
      <c r="C1902" s="3">
        <v>38663</v>
      </c>
      <c r="D1902" s="3">
        <v>38786</v>
      </c>
      <c r="E1902" t="s">
        <v>18</v>
      </c>
      <c r="F1902">
        <v>1</v>
      </c>
      <c r="G1902">
        <v>24192</v>
      </c>
      <c r="H1902">
        <v>24192</v>
      </c>
      <c r="I1902" s="4">
        <v>38686</v>
      </c>
      <c r="J1902" s="5">
        <f t="shared" si="58"/>
        <v>-100</v>
      </c>
      <c r="K1902" s="6" t="str">
        <f t="shared" si="59"/>
        <v>A~0</v>
      </c>
      <c r="L1902" t="str">
        <f>IF(J1902&lt;0,"A~0",VLOOKUP(J1902,[1]作法V!$B$1:$C$9,2,TRUE))</f>
        <v>A~0</v>
      </c>
    </row>
    <row r="1903" spans="1:12">
      <c r="A1903">
        <v>1135</v>
      </c>
      <c r="B1903" t="s">
        <v>26</v>
      </c>
      <c r="C1903" s="3">
        <v>38663</v>
      </c>
      <c r="D1903" s="3">
        <v>38786</v>
      </c>
      <c r="E1903" t="s">
        <v>18</v>
      </c>
      <c r="F1903">
        <v>1</v>
      </c>
      <c r="G1903">
        <v>36288</v>
      </c>
      <c r="H1903">
        <v>36288</v>
      </c>
      <c r="I1903" s="4">
        <v>38686</v>
      </c>
      <c r="J1903" s="5">
        <f t="shared" si="58"/>
        <v>-100</v>
      </c>
      <c r="K1903" s="6" t="str">
        <f t="shared" si="59"/>
        <v>A~0</v>
      </c>
      <c r="L1903" t="str">
        <f>IF(J1903&lt;0,"A~0",VLOOKUP(J1903,[1]作法V!$B$1:$C$9,2,TRUE))</f>
        <v>A~0</v>
      </c>
    </row>
    <row r="1904" spans="1:12">
      <c r="A1904">
        <v>1135</v>
      </c>
      <c r="B1904" t="s">
        <v>26</v>
      </c>
      <c r="C1904" s="3">
        <v>38665</v>
      </c>
      <c r="D1904" s="3">
        <v>38817</v>
      </c>
      <c r="E1904" t="s">
        <v>18</v>
      </c>
      <c r="F1904">
        <v>1</v>
      </c>
      <c r="G1904">
        <v>300000</v>
      </c>
      <c r="H1904">
        <v>300000</v>
      </c>
      <c r="I1904" s="4">
        <v>38686</v>
      </c>
      <c r="J1904" s="5">
        <f t="shared" si="58"/>
        <v>-131</v>
      </c>
      <c r="K1904" s="6" t="str">
        <f t="shared" si="59"/>
        <v>A~0</v>
      </c>
      <c r="L1904" t="str">
        <f>IF(J1904&lt;0,"A~0",VLOOKUP(J1904,[1]作法V!$B$1:$C$9,2,TRUE))</f>
        <v>A~0</v>
      </c>
    </row>
    <row r="1905" spans="1:12">
      <c r="A1905">
        <v>1135</v>
      </c>
      <c r="B1905" t="s">
        <v>26</v>
      </c>
      <c r="C1905" s="3">
        <v>38665</v>
      </c>
      <c r="D1905" s="3">
        <v>38817</v>
      </c>
      <c r="E1905" t="s">
        <v>18</v>
      </c>
      <c r="F1905">
        <v>1</v>
      </c>
      <c r="G1905">
        <v>42336</v>
      </c>
      <c r="H1905">
        <v>42336</v>
      </c>
      <c r="I1905" s="4">
        <v>38686</v>
      </c>
      <c r="J1905" s="5">
        <f t="shared" si="58"/>
        <v>-131</v>
      </c>
      <c r="K1905" s="6" t="str">
        <f t="shared" si="59"/>
        <v>A~0</v>
      </c>
      <c r="L1905" t="str">
        <f>IF(J1905&lt;0,"A~0",VLOOKUP(J1905,[1]作法V!$B$1:$C$9,2,TRUE))</f>
        <v>A~0</v>
      </c>
    </row>
    <row r="1906" spans="1:12">
      <c r="A1906">
        <v>1135</v>
      </c>
      <c r="B1906" t="s">
        <v>26</v>
      </c>
      <c r="C1906" s="3">
        <v>38665</v>
      </c>
      <c r="D1906" s="3">
        <v>38817</v>
      </c>
      <c r="E1906" t="s">
        <v>18</v>
      </c>
      <c r="F1906">
        <v>1</v>
      </c>
      <c r="G1906">
        <v>22050</v>
      </c>
      <c r="H1906">
        <v>22050</v>
      </c>
      <c r="I1906" s="4">
        <v>38686</v>
      </c>
      <c r="J1906" s="5">
        <f t="shared" si="58"/>
        <v>-131</v>
      </c>
      <c r="K1906" s="6" t="str">
        <f t="shared" si="59"/>
        <v>A~0</v>
      </c>
      <c r="L1906" t="str">
        <f>IF(J1906&lt;0,"A~0",VLOOKUP(J1906,[1]作法V!$B$1:$C$9,2,TRUE))</f>
        <v>A~0</v>
      </c>
    </row>
    <row r="1907" spans="1:12">
      <c r="A1907">
        <v>1135</v>
      </c>
      <c r="B1907" t="s">
        <v>26</v>
      </c>
      <c r="C1907" s="3">
        <v>38665</v>
      </c>
      <c r="D1907" s="3">
        <v>38817</v>
      </c>
      <c r="E1907" t="s">
        <v>18</v>
      </c>
      <c r="F1907">
        <v>1</v>
      </c>
      <c r="G1907">
        <v>26292</v>
      </c>
      <c r="H1907">
        <v>26292</v>
      </c>
      <c r="I1907" s="4">
        <v>38686</v>
      </c>
      <c r="J1907" s="5">
        <f t="shared" si="58"/>
        <v>-131</v>
      </c>
      <c r="K1907" s="6" t="str">
        <f t="shared" si="59"/>
        <v>A~0</v>
      </c>
      <c r="L1907" t="str">
        <f>IF(J1907&lt;0,"A~0",VLOOKUP(J1907,[1]作法V!$B$1:$C$9,2,TRUE))</f>
        <v>A~0</v>
      </c>
    </row>
    <row r="1908" spans="1:12">
      <c r="A1908">
        <v>1135</v>
      </c>
      <c r="B1908" t="s">
        <v>26</v>
      </c>
      <c r="C1908" s="3">
        <v>38665</v>
      </c>
      <c r="D1908" s="3">
        <v>38817</v>
      </c>
      <c r="E1908" t="s">
        <v>18</v>
      </c>
      <c r="F1908">
        <v>1</v>
      </c>
      <c r="G1908">
        <v>31500</v>
      </c>
      <c r="H1908">
        <v>31500</v>
      </c>
      <c r="I1908" s="4">
        <v>38686</v>
      </c>
      <c r="J1908" s="5">
        <f t="shared" si="58"/>
        <v>-131</v>
      </c>
      <c r="K1908" s="6" t="str">
        <f t="shared" si="59"/>
        <v>A~0</v>
      </c>
      <c r="L1908" t="str">
        <f>IF(J1908&lt;0,"A~0",VLOOKUP(J1908,[1]作法V!$B$1:$C$9,2,TRUE))</f>
        <v>A~0</v>
      </c>
    </row>
    <row r="1909" spans="1:12">
      <c r="A1909">
        <v>1135</v>
      </c>
      <c r="B1909" t="s">
        <v>26</v>
      </c>
      <c r="C1909" s="3">
        <v>38665</v>
      </c>
      <c r="D1909" s="3">
        <v>38817</v>
      </c>
      <c r="E1909" t="s">
        <v>18</v>
      </c>
      <c r="F1909">
        <v>1</v>
      </c>
      <c r="G1909">
        <v>17010</v>
      </c>
      <c r="H1909">
        <v>17010</v>
      </c>
      <c r="I1909" s="4">
        <v>38686</v>
      </c>
      <c r="J1909" s="5">
        <f t="shared" si="58"/>
        <v>-131</v>
      </c>
      <c r="K1909" s="6" t="str">
        <f t="shared" si="59"/>
        <v>A~0</v>
      </c>
      <c r="L1909" t="str">
        <f>IF(J1909&lt;0,"A~0",VLOOKUP(J1909,[1]作法V!$B$1:$C$9,2,TRUE))</f>
        <v>A~0</v>
      </c>
    </row>
    <row r="1910" spans="1:12">
      <c r="A1910">
        <v>1135</v>
      </c>
      <c r="B1910" t="s">
        <v>26</v>
      </c>
      <c r="C1910" s="3">
        <v>38665</v>
      </c>
      <c r="D1910" s="3">
        <v>38817</v>
      </c>
      <c r="E1910" t="s">
        <v>18</v>
      </c>
      <c r="F1910">
        <v>1</v>
      </c>
      <c r="G1910">
        <v>362250</v>
      </c>
      <c r="H1910">
        <v>362250</v>
      </c>
      <c r="I1910" s="4">
        <v>38686</v>
      </c>
      <c r="J1910" s="5">
        <f t="shared" si="58"/>
        <v>-131</v>
      </c>
      <c r="K1910" s="6" t="str">
        <f t="shared" si="59"/>
        <v>A~0</v>
      </c>
      <c r="L1910" t="str">
        <f>IF(J1910&lt;0,"A~0",VLOOKUP(J1910,[1]作法V!$B$1:$C$9,2,TRUE))</f>
        <v>A~0</v>
      </c>
    </row>
    <row r="1911" spans="1:12">
      <c r="A1911">
        <v>1135</v>
      </c>
      <c r="B1911" t="s">
        <v>26</v>
      </c>
      <c r="C1911" s="3">
        <v>38665</v>
      </c>
      <c r="D1911" s="3">
        <v>38817</v>
      </c>
      <c r="E1911" t="s">
        <v>18</v>
      </c>
      <c r="F1911">
        <v>1</v>
      </c>
      <c r="G1911">
        <v>9450</v>
      </c>
      <c r="H1911">
        <v>9450</v>
      </c>
      <c r="I1911" s="4">
        <v>38686</v>
      </c>
      <c r="J1911" s="5">
        <f t="shared" si="58"/>
        <v>-131</v>
      </c>
      <c r="K1911" s="6" t="str">
        <f t="shared" si="59"/>
        <v>A~0</v>
      </c>
      <c r="L1911" t="str">
        <f>IF(J1911&lt;0,"A~0",VLOOKUP(J1911,[1]作法V!$B$1:$C$9,2,TRUE))</f>
        <v>A~0</v>
      </c>
    </row>
    <row r="1912" spans="1:12">
      <c r="A1912">
        <v>1135</v>
      </c>
      <c r="B1912" t="s">
        <v>26</v>
      </c>
      <c r="C1912" s="3">
        <v>38665</v>
      </c>
      <c r="D1912" s="3">
        <v>38817</v>
      </c>
      <c r="E1912" t="s">
        <v>18</v>
      </c>
      <c r="F1912">
        <v>1</v>
      </c>
      <c r="G1912">
        <v>4410</v>
      </c>
      <c r="H1912">
        <v>4410</v>
      </c>
      <c r="I1912" s="4">
        <v>38686</v>
      </c>
      <c r="J1912" s="5">
        <f t="shared" si="58"/>
        <v>-131</v>
      </c>
      <c r="K1912" s="6" t="str">
        <f t="shared" si="59"/>
        <v>A~0</v>
      </c>
      <c r="L1912" t="str">
        <f>IF(J1912&lt;0,"A~0",VLOOKUP(J1912,[1]作法V!$B$1:$C$9,2,TRUE))</f>
        <v>A~0</v>
      </c>
    </row>
    <row r="1913" spans="1:12">
      <c r="A1913">
        <v>1135</v>
      </c>
      <c r="B1913" t="s">
        <v>26</v>
      </c>
      <c r="C1913" s="3">
        <v>38665</v>
      </c>
      <c r="D1913" s="3">
        <v>38817</v>
      </c>
      <c r="E1913" t="s">
        <v>18</v>
      </c>
      <c r="F1913">
        <v>1</v>
      </c>
      <c r="G1913">
        <v>7875</v>
      </c>
      <c r="H1913">
        <v>7875</v>
      </c>
      <c r="I1913" s="4">
        <v>38686</v>
      </c>
      <c r="J1913" s="5">
        <f t="shared" si="58"/>
        <v>-131</v>
      </c>
      <c r="K1913" s="6" t="str">
        <f t="shared" si="59"/>
        <v>A~0</v>
      </c>
      <c r="L1913" t="str">
        <f>IF(J1913&lt;0,"A~0",VLOOKUP(J1913,[1]作法V!$B$1:$C$9,2,TRUE))</f>
        <v>A~0</v>
      </c>
    </row>
    <row r="1914" spans="1:12">
      <c r="A1914">
        <v>1135</v>
      </c>
      <c r="B1914" t="s">
        <v>26</v>
      </c>
      <c r="C1914" s="3">
        <v>38665</v>
      </c>
      <c r="D1914" s="3">
        <v>38817</v>
      </c>
      <c r="E1914" t="s">
        <v>18</v>
      </c>
      <c r="F1914">
        <v>1</v>
      </c>
      <c r="G1914">
        <v>10238</v>
      </c>
      <c r="H1914">
        <v>10238</v>
      </c>
      <c r="I1914" s="4">
        <v>38686</v>
      </c>
      <c r="J1914" s="5">
        <f t="shared" si="58"/>
        <v>-131</v>
      </c>
      <c r="K1914" s="6" t="str">
        <f t="shared" si="59"/>
        <v>A~0</v>
      </c>
      <c r="L1914" t="str">
        <f>IF(J1914&lt;0,"A~0",VLOOKUP(J1914,[1]作法V!$B$1:$C$9,2,TRUE))</f>
        <v>A~0</v>
      </c>
    </row>
    <row r="1915" spans="1:12">
      <c r="A1915">
        <v>1135</v>
      </c>
      <c r="B1915" t="s">
        <v>26</v>
      </c>
      <c r="C1915" s="3">
        <v>38665</v>
      </c>
      <c r="D1915" s="3">
        <v>38817</v>
      </c>
      <c r="E1915" t="s">
        <v>18</v>
      </c>
      <c r="F1915">
        <v>1</v>
      </c>
      <c r="G1915">
        <v>92400</v>
      </c>
      <c r="H1915">
        <v>92400</v>
      </c>
      <c r="I1915" s="4">
        <v>38686</v>
      </c>
      <c r="J1915" s="5">
        <f t="shared" si="58"/>
        <v>-131</v>
      </c>
      <c r="K1915" s="6" t="str">
        <f t="shared" si="59"/>
        <v>A~0</v>
      </c>
      <c r="L1915" t="str">
        <f>IF(J1915&lt;0,"A~0",VLOOKUP(J1915,[1]作法V!$B$1:$C$9,2,TRUE))</f>
        <v>A~0</v>
      </c>
    </row>
    <row r="1916" spans="1:12">
      <c r="A1916">
        <v>1135</v>
      </c>
      <c r="B1916" t="s">
        <v>26</v>
      </c>
      <c r="C1916" s="3">
        <v>38665</v>
      </c>
      <c r="D1916" s="3">
        <v>38817</v>
      </c>
      <c r="E1916" t="s">
        <v>18</v>
      </c>
      <c r="F1916">
        <v>1</v>
      </c>
      <c r="G1916">
        <v>31500</v>
      </c>
      <c r="H1916">
        <v>31500</v>
      </c>
      <c r="I1916" s="4">
        <v>38686</v>
      </c>
      <c r="J1916" s="5">
        <f t="shared" si="58"/>
        <v>-131</v>
      </c>
      <c r="K1916" s="6" t="str">
        <f t="shared" si="59"/>
        <v>A~0</v>
      </c>
      <c r="L1916" t="str">
        <f>IF(J1916&lt;0,"A~0",VLOOKUP(J1916,[1]作法V!$B$1:$C$9,2,TRUE))</f>
        <v>A~0</v>
      </c>
    </row>
    <row r="1917" spans="1:12">
      <c r="A1917">
        <v>1135</v>
      </c>
      <c r="B1917" t="s">
        <v>26</v>
      </c>
      <c r="C1917" s="3">
        <v>38665</v>
      </c>
      <c r="D1917" s="3">
        <v>38817</v>
      </c>
      <c r="E1917" t="s">
        <v>18</v>
      </c>
      <c r="F1917">
        <v>1</v>
      </c>
      <c r="G1917">
        <v>21168</v>
      </c>
      <c r="H1917">
        <v>21168</v>
      </c>
      <c r="I1917" s="4">
        <v>38686</v>
      </c>
      <c r="J1917" s="5">
        <f t="shared" si="58"/>
        <v>-131</v>
      </c>
      <c r="K1917" s="6" t="str">
        <f t="shared" si="59"/>
        <v>A~0</v>
      </c>
      <c r="L1917" t="str">
        <f>IF(J1917&lt;0,"A~0",VLOOKUP(J1917,[1]作法V!$B$1:$C$9,2,TRUE))</f>
        <v>A~0</v>
      </c>
    </row>
    <row r="1918" spans="1:12">
      <c r="A1918">
        <v>1135</v>
      </c>
      <c r="B1918" t="s">
        <v>26</v>
      </c>
      <c r="C1918" s="3">
        <v>38665</v>
      </c>
      <c r="D1918" s="3">
        <v>38817</v>
      </c>
      <c r="E1918" t="s">
        <v>18</v>
      </c>
      <c r="F1918">
        <v>1</v>
      </c>
      <c r="G1918">
        <v>31878</v>
      </c>
      <c r="H1918">
        <v>31878</v>
      </c>
      <c r="I1918" s="4">
        <v>38686</v>
      </c>
      <c r="J1918" s="5">
        <f t="shared" si="58"/>
        <v>-131</v>
      </c>
      <c r="K1918" s="6" t="str">
        <f t="shared" si="59"/>
        <v>A~0</v>
      </c>
      <c r="L1918" t="str">
        <f>IF(J1918&lt;0,"A~0",VLOOKUP(J1918,[1]作法V!$B$1:$C$9,2,TRUE))</f>
        <v>A~0</v>
      </c>
    </row>
    <row r="1919" spans="1:12">
      <c r="A1919">
        <v>1135</v>
      </c>
      <c r="B1919" t="s">
        <v>26</v>
      </c>
      <c r="C1919" s="3">
        <v>38672</v>
      </c>
      <c r="D1919" s="3">
        <v>38817</v>
      </c>
      <c r="E1919" t="s">
        <v>18</v>
      </c>
      <c r="F1919">
        <v>1</v>
      </c>
      <c r="G1919">
        <v>11520</v>
      </c>
      <c r="H1919">
        <v>11520</v>
      </c>
      <c r="I1919" s="4">
        <v>38686</v>
      </c>
      <c r="J1919" s="5">
        <f t="shared" si="58"/>
        <v>-131</v>
      </c>
      <c r="K1919" s="6" t="str">
        <f t="shared" si="59"/>
        <v>A~0</v>
      </c>
      <c r="L1919" t="str">
        <f>IF(J1919&lt;0,"A~0",VLOOKUP(J1919,[1]作法V!$B$1:$C$9,2,TRUE))</f>
        <v>A~0</v>
      </c>
    </row>
    <row r="1920" spans="1:12">
      <c r="A1920">
        <v>1135</v>
      </c>
      <c r="B1920" t="s">
        <v>26</v>
      </c>
      <c r="C1920" s="3">
        <v>38672</v>
      </c>
      <c r="D1920" s="3">
        <v>38817</v>
      </c>
      <c r="E1920" t="s">
        <v>18</v>
      </c>
      <c r="F1920">
        <v>1</v>
      </c>
      <c r="G1920">
        <v>71400</v>
      </c>
      <c r="H1920">
        <v>71400</v>
      </c>
      <c r="I1920" s="4">
        <v>38686</v>
      </c>
      <c r="J1920" s="5">
        <f t="shared" si="58"/>
        <v>-131</v>
      </c>
      <c r="K1920" s="6" t="str">
        <f t="shared" si="59"/>
        <v>A~0</v>
      </c>
      <c r="L1920" t="str">
        <f>IF(J1920&lt;0,"A~0",VLOOKUP(J1920,[1]作法V!$B$1:$C$9,2,TRUE))</f>
        <v>A~0</v>
      </c>
    </row>
    <row r="1921" spans="1:12">
      <c r="A1921">
        <v>1135</v>
      </c>
      <c r="B1921" t="s">
        <v>26</v>
      </c>
      <c r="C1921" s="3">
        <v>38672</v>
      </c>
      <c r="D1921" s="3">
        <v>38817</v>
      </c>
      <c r="E1921" t="s">
        <v>18</v>
      </c>
      <c r="F1921">
        <v>1</v>
      </c>
      <c r="G1921">
        <v>55200</v>
      </c>
      <c r="H1921">
        <v>55200</v>
      </c>
      <c r="I1921" s="4">
        <v>38686</v>
      </c>
      <c r="J1921" s="5">
        <f t="shared" si="58"/>
        <v>-131</v>
      </c>
      <c r="K1921" s="6" t="str">
        <f t="shared" si="59"/>
        <v>A~0</v>
      </c>
      <c r="L1921" t="str">
        <f>IF(J1921&lt;0,"A~0",VLOOKUP(J1921,[1]作法V!$B$1:$C$9,2,TRUE))</f>
        <v>A~0</v>
      </c>
    </row>
    <row r="1922" spans="1:12">
      <c r="A1922">
        <v>1135</v>
      </c>
      <c r="B1922" t="s">
        <v>26</v>
      </c>
      <c r="C1922" s="3">
        <v>38672</v>
      </c>
      <c r="D1922" s="3">
        <v>38817</v>
      </c>
      <c r="E1922" t="s">
        <v>18</v>
      </c>
      <c r="F1922">
        <v>1</v>
      </c>
      <c r="G1922">
        <v>675000</v>
      </c>
      <c r="H1922">
        <v>675000</v>
      </c>
      <c r="I1922" s="4">
        <v>38686</v>
      </c>
      <c r="J1922" s="5">
        <f t="shared" ref="J1922:J1985" si="60">I1922-D1922</f>
        <v>-131</v>
      </c>
      <c r="K1922" s="6" t="str">
        <f t="shared" ref="K1922:K1985" si="61">IF(J1922&lt;1,"A~0",IF(J1922&lt;31,"B1~30",IF(J1922&lt;61,"C31~60",IF(J1922&lt;91,"D61~90",IF(J1922&lt;121,"E91~120",IF(J1922&lt;181,"F121~180",IF(J1922&lt;361,"G181~360","H361~")))))))</f>
        <v>A~0</v>
      </c>
      <c r="L1922" t="str">
        <f>IF(J1922&lt;0,"A~0",VLOOKUP(J1922,[1]作法V!$B$1:$C$9,2,TRUE))</f>
        <v>A~0</v>
      </c>
    </row>
    <row r="1923" spans="1:12">
      <c r="A1923">
        <v>1135</v>
      </c>
      <c r="B1923" t="s">
        <v>26</v>
      </c>
      <c r="C1923" s="3">
        <v>38673</v>
      </c>
      <c r="D1923" s="3">
        <v>38786</v>
      </c>
      <c r="E1923" t="s">
        <v>18</v>
      </c>
      <c r="F1923">
        <v>1</v>
      </c>
      <c r="G1923">
        <v>68250</v>
      </c>
      <c r="H1923">
        <v>68250</v>
      </c>
      <c r="I1923" s="4">
        <v>38686</v>
      </c>
      <c r="J1923" s="5">
        <f t="shared" si="60"/>
        <v>-100</v>
      </c>
      <c r="K1923" s="6" t="str">
        <f t="shared" si="61"/>
        <v>A~0</v>
      </c>
      <c r="L1923" t="str">
        <f>IF(J1923&lt;0,"A~0",VLOOKUP(J1923,[1]作法V!$B$1:$C$9,2,TRUE))</f>
        <v>A~0</v>
      </c>
    </row>
    <row r="1924" spans="1:12">
      <c r="A1924">
        <v>1135</v>
      </c>
      <c r="B1924" t="s">
        <v>26</v>
      </c>
      <c r="C1924" s="3">
        <v>38673</v>
      </c>
      <c r="D1924" s="3">
        <v>38786</v>
      </c>
      <c r="E1924" t="s">
        <v>18</v>
      </c>
      <c r="F1924">
        <v>1</v>
      </c>
      <c r="G1924">
        <v>14364</v>
      </c>
      <c r="H1924">
        <v>14364</v>
      </c>
      <c r="I1924" s="4">
        <v>38686</v>
      </c>
      <c r="J1924" s="5">
        <f t="shared" si="60"/>
        <v>-100</v>
      </c>
      <c r="K1924" s="6" t="str">
        <f t="shared" si="61"/>
        <v>A~0</v>
      </c>
      <c r="L1924" t="str">
        <f>IF(J1924&lt;0,"A~0",VLOOKUP(J1924,[1]作法V!$B$1:$C$9,2,TRUE))</f>
        <v>A~0</v>
      </c>
    </row>
    <row r="1925" spans="1:12">
      <c r="A1925">
        <v>1135</v>
      </c>
      <c r="B1925" t="s">
        <v>26</v>
      </c>
      <c r="C1925" s="3">
        <v>38673</v>
      </c>
      <c r="D1925" s="3">
        <v>38786</v>
      </c>
      <c r="E1925" t="s">
        <v>18</v>
      </c>
      <c r="F1925">
        <v>1</v>
      </c>
      <c r="G1925">
        <v>32451</v>
      </c>
      <c r="H1925">
        <v>32451</v>
      </c>
      <c r="I1925" s="4">
        <v>38686</v>
      </c>
      <c r="J1925" s="5">
        <f t="shared" si="60"/>
        <v>-100</v>
      </c>
      <c r="K1925" s="6" t="str">
        <f t="shared" si="61"/>
        <v>A~0</v>
      </c>
      <c r="L1925" t="str">
        <f>IF(J1925&lt;0,"A~0",VLOOKUP(J1925,[1]作法V!$B$1:$C$9,2,TRUE))</f>
        <v>A~0</v>
      </c>
    </row>
    <row r="1926" spans="1:12">
      <c r="A1926">
        <v>1135</v>
      </c>
      <c r="B1926" t="s">
        <v>26</v>
      </c>
      <c r="C1926" s="3">
        <v>38673</v>
      </c>
      <c r="D1926" s="3">
        <v>38786</v>
      </c>
      <c r="E1926" t="s">
        <v>18</v>
      </c>
      <c r="F1926">
        <v>1</v>
      </c>
      <c r="G1926">
        <v>117055</v>
      </c>
      <c r="H1926">
        <v>117055</v>
      </c>
      <c r="I1926" s="4">
        <v>38686</v>
      </c>
      <c r="J1926" s="5">
        <f t="shared" si="60"/>
        <v>-100</v>
      </c>
      <c r="K1926" s="6" t="str">
        <f t="shared" si="61"/>
        <v>A~0</v>
      </c>
      <c r="L1926" t="str">
        <f>IF(J1926&lt;0,"A~0",VLOOKUP(J1926,[1]作法V!$B$1:$C$9,2,TRUE))</f>
        <v>A~0</v>
      </c>
    </row>
    <row r="1927" spans="1:12">
      <c r="A1927">
        <v>1135</v>
      </c>
      <c r="B1927" t="s">
        <v>26</v>
      </c>
      <c r="C1927" s="3">
        <v>38673</v>
      </c>
      <c r="D1927" s="3">
        <v>38786</v>
      </c>
      <c r="E1927" t="s">
        <v>18</v>
      </c>
      <c r="F1927">
        <v>1</v>
      </c>
      <c r="G1927">
        <v>9765</v>
      </c>
      <c r="H1927">
        <v>9765</v>
      </c>
      <c r="I1927" s="4">
        <v>38686</v>
      </c>
      <c r="J1927" s="5">
        <f t="shared" si="60"/>
        <v>-100</v>
      </c>
      <c r="K1927" s="6" t="str">
        <f t="shared" si="61"/>
        <v>A~0</v>
      </c>
      <c r="L1927" t="str">
        <f>IF(J1927&lt;0,"A~0",VLOOKUP(J1927,[1]作法V!$B$1:$C$9,2,TRUE))</f>
        <v>A~0</v>
      </c>
    </row>
    <row r="1928" spans="1:12">
      <c r="A1928">
        <v>1135</v>
      </c>
      <c r="B1928" t="s">
        <v>26</v>
      </c>
      <c r="C1928" s="3">
        <v>38673</v>
      </c>
      <c r="D1928" s="3">
        <v>38817</v>
      </c>
      <c r="E1928" t="s">
        <v>18</v>
      </c>
      <c r="F1928">
        <v>1</v>
      </c>
      <c r="G1928">
        <v>14700</v>
      </c>
      <c r="H1928">
        <v>14700</v>
      </c>
      <c r="I1928" s="4">
        <v>38686</v>
      </c>
      <c r="J1928" s="5">
        <f t="shared" si="60"/>
        <v>-131</v>
      </c>
      <c r="K1928" s="6" t="str">
        <f t="shared" si="61"/>
        <v>A~0</v>
      </c>
      <c r="L1928" t="str">
        <f>IF(J1928&lt;0,"A~0",VLOOKUP(J1928,[1]作法V!$B$1:$C$9,2,TRUE))</f>
        <v>A~0</v>
      </c>
    </row>
    <row r="1929" spans="1:12">
      <c r="A1929">
        <v>1135</v>
      </c>
      <c r="B1929" t="s">
        <v>26</v>
      </c>
      <c r="C1929" s="3">
        <v>38673</v>
      </c>
      <c r="D1929" s="3">
        <v>38817</v>
      </c>
      <c r="E1929" t="s">
        <v>18</v>
      </c>
      <c r="F1929">
        <v>1</v>
      </c>
      <c r="G1929">
        <v>11550</v>
      </c>
      <c r="H1929">
        <v>11550</v>
      </c>
      <c r="I1929" s="4">
        <v>38686</v>
      </c>
      <c r="J1929" s="5">
        <f t="shared" si="60"/>
        <v>-131</v>
      </c>
      <c r="K1929" s="6" t="str">
        <f t="shared" si="61"/>
        <v>A~0</v>
      </c>
      <c r="L1929" t="str">
        <f>IF(J1929&lt;0,"A~0",VLOOKUP(J1929,[1]作法V!$B$1:$C$9,2,TRUE))</f>
        <v>A~0</v>
      </c>
    </row>
    <row r="1930" spans="1:12">
      <c r="A1930">
        <v>1135</v>
      </c>
      <c r="B1930" t="s">
        <v>26</v>
      </c>
      <c r="C1930" s="3">
        <v>38673</v>
      </c>
      <c r="D1930" s="3">
        <v>38817</v>
      </c>
      <c r="E1930" t="s">
        <v>18</v>
      </c>
      <c r="F1930">
        <v>1</v>
      </c>
      <c r="G1930">
        <v>45864</v>
      </c>
      <c r="H1930">
        <v>45864</v>
      </c>
      <c r="I1930" s="4">
        <v>38686</v>
      </c>
      <c r="J1930" s="5">
        <f t="shared" si="60"/>
        <v>-131</v>
      </c>
      <c r="K1930" s="6" t="str">
        <f t="shared" si="61"/>
        <v>A~0</v>
      </c>
      <c r="L1930" t="str">
        <f>IF(J1930&lt;0,"A~0",VLOOKUP(J1930,[1]作法V!$B$1:$C$9,2,TRUE))</f>
        <v>A~0</v>
      </c>
    </row>
    <row r="1931" spans="1:12">
      <c r="A1931">
        <v>1135</v>
      </c>
      <c r="B1931" t="s">
        <v>26</v>
      </c>
      <c r="C1931" s="3">
        <v>38673</v>
      </c>
      <c r="D1931" s="3">
        <v>38817</v>
      </c>
      <c r="E1931" t="s">
        <v>18</v>
      </c>
      <c r="F1931">
        <v>1</v>
      </c>
      <c r="G1931">
        <v>10080</v>
      </c>
      <c r="H1931">
        <v>10080</v>
      </c>
      <c r="I1931" s="4">
        <v>38686</v>
      </c>
      <c r="J1931" s="5">
        <f t="shared" si="60"/>
        <v>-131</v>
      </c>
      <c r="K1931" s="6" t="str">
        <f t="shared" si="61"/>
        <v>A~0</v>
      </c>
      <c r="L1931" t="str">
        <f>IF(J1931&lt;0,"A~0",VLOOKUP(J1931,[1]作法V!$B$1:$C$9,2,TRUE))</f>
        <v>A~0</v>
      </c>
    </row>
    <row r="1932" spans="1:12">
      <c r="A1932">
        <v>1135</v>
      </c>
      <c r="B1932" t="s">
        <v>26</v>
      </c>
      <c r="C1932" s="3">
        <v>38673</v>
      </c>
      <c r="D1932" s="3">
        <v>38817</v>
      </c>
      <c r="E1932" t="s">
        <v>18</v>
      </c>
      <c r="F1932">
        <v>1</v>
      </c>
      <c r="G1932">
        <v>12495</v>
      </c>
      <c r="H1932">
        <v>12495</v>
      </c>
      <c r="I1932" s="4">
        <v>38686</v>
      </c>
      <c r="J1932" s="5">
        <f t="shared" si="60"/>
        <v>-131</v>
      </c>
      <c r="K1932" s="6" t="str">
        <f t="shared" si="61"/>
        <v>A~0</v>
      </c>
      <c r="L1932" t="str">
        <f>IF(J1932&lt;0,"A~0",VLOOKUP(J1932,[1]作法V!$B$1:$C$9,2,TRUE))</f>
        <v>A~0</v>
      </c>
    </row>
    <row r="1933" spans="1:12">
      <c r="A1933">
        <v>1135</v>
      </c>
      <c r="B1933" t="s">
        <v>26</v>
      </c>
      <c r="C1933" s="3">
        <v>38673</v>
      </c>
      <c r="D1933" s="3">
        <v>38817</v>
      </c>
      <c r="E1933" t="s">
        <v>18</v>
      </c>
      <c r="F1933">
        <v>1</v>
      </c>
      <c r="G1933">
        <v>9702</v>
      </c>
      <c r="H1933">
        <v>9702</v>
      </c>
      <c r="I1933" s="4">
        <v>38686</v>
      </c>
      <c r="J1933" s="5">
        <f t="shared" si="60"/>
        <v>-131</v>
      </c>
      <c r="K1933" s="6" t="str">
        <f t="shared" si="61"/>
        <v>A~0</v>
      </c>
      <c r="L1933" t="str">
        <f>IF(J1933&lt;0,"A~0",VLOOKUP(J1933,[1]作法V!$B$1:$C$9,2,TRUE))</f>
        <v>A~0</v>
      </c>
    </row>
    <row r="1934" spans="1:12">
      <c r="A1934">
        <v>1135</v>
      </c>
      <c r="B1934" t="s">
        <v>26</v>
      </c>
      <c r="C1934" s="3">
        <v>38674</v>
      </c>
      <c r="D1934" s="3">
        <v>38817</v>
      </c>
      <c r="E1934" t="s">
        <v>18</v>
      </c>
      <c r="F1934">
        <v>1</v>
      </c>
      <c r="G1934">
        <v>15417</v>
      </c>
      <c r="H1934">
        <v>15417</v>
      </c>
      <c r="I1934" s="4">
        <v>38686</v>
      </c>
      <c r="J1934" s="5">
        <f t="shared" si="60"/>
        <v>-131</v>
      </c>
      <c r="K1934" s="6" t="str">
        <f t="shared" si="61"/>
        <v>A~0</v>
      </c>
      <c r="L1934" t="str">
        <f>IF(J1934&lt;0,"A~0",VLOOKUP(J1934,[1]作法V!$B$1:$C$9,2,TRUE))</f>
        <v>A~0</v>
      </c>
    </row>
    <row r="1935" spans="1:12">
      <c r="A1935">
        <v>1135</v>
      </c>
      <c r="B1935" t="s">
        <v>26</v>
      </c>
      <c r="C1935" s="3">
        <v>38674</v>
      </c>
      <c r="D1935" s="3">
        <v>38817</v>
      </c>
      <c r="E1935" t="s">
        <v>18</v>
      </c>
      <c r="F1935">
        <v>1</v>
      </c>
      <c r="G1935">
        <v>46640</v>
      </c>
      <c r="H1935">
        <v>46640</v>
      </c>
      <c r="I1935" s="4">
        <v>38686</v>
      </c>
      <c r="J1935" s="5">
        <f t="shared" si="60"/>
        <v>-131</v>
      </c>
      <c r="K1935" s="6" t="str">
        <f t="shared" si="61"/>
        <v>A~0</v>
      </c>
      <c r="L1935" t="str">
        <f>IF(J1935&lt;0,"A~0",VLOOKUP(J1935,[1]作法V!$B$1:$C$9,2,TRUE))</f>
        <v>A~0</v>
      </c>
    </row>
    <row r="1936" spans="1:12">
      <c r="A1936">
        <v>1135</v>
      </c>
      <c r="B1936" t="s">
        <v>26</v>
      </c>
      <c r="C1936" s="3">
        <v>38674</v>
      </c>
      <c r="D1936" s="3">
        <v>38817</v>
      </c>
      <c r="E1936" t="s">
        <v>18</v>
      </c>
      <c r="F1936">
        <v>1</v>
      </c>
      <c r="G1936">
        <v>6360</v>
      </c>
      <c r="H1936">
        <v>6360</v>
      </c>
      <c r="I1936" s="4">
        <v>38686</v>
      </c>
      <c r="J1936" s="5">
        <f t="shared" si="60"/>
        <v>-131</v>
      </c>
      <c r="K1936" s="6" t="str">
        <f t="shared" si="61"/>
        <v>A~0</v>
      </c>
      <c r="L1936" t="str">
        <f>IF(J1936&lt;0,"A~0",VLOOKUP(J1936,[1]作法V!$B$1:$C$9,2,TRUE))</f>
        <v>A~0</v>
      </c>
    </row>
    <row r="1937" spans="1:12">
      <c r="A1937">
        <v>1135</v>
      </c>
      <c r="B1937" t="s">
        <v>26</v>
      </c>
      <c r="C1937" s="3">
        <v>38677</v>
      </c>
      <c r="D1937" s="3">
        <v>38817</v>
      </c>
      <c r="E1937" t="s">
        <v>18</v>
      </c>
      <c r="F1937">
        <v>1</v>
      </c>
      <c r="G1937">
        <v>84000</v>
      </c>
      <c r="H1937">
        <v>84000</v>
      </c>
      <c r="I1937" s="4">
        <v>38686</v>
      </c>
      <c r="J1937" s="5">
        <f t="shared" si="60"/>
        <v>-131</v>
      </c>
      <c r="K1937" s="6" t="str">
        <f t="shared" si="61"/>
        <v>A~0</v>
      </c>
      <c r="L1937" t="str">
        <f>IF(J1937&lt;0,"A~0",VLOOKUP(J1937,[1]作法V!$B$1:$C$9,2,TRUE))</f>
        <v>A~0</v>
      </c>
    </row>
    <row r="1938" spans="1:12">
      <c r="A1938">
        <v>1135</v>
      </c>
      <c r="B1938" t="s">
        <v>26</v>
      </c>
      <c r="C1938" s="3">
        <v>38677</v>
      </c>
      <c r="D1938" s="3">
        <v>38817</v>
      </c>
      <c r="E1938" t="s">
        <v>18</v>
      </c>
      <c r="F1938">
        <v>1</v>
      </c>
      <c r="G1938">
        <v>108360</v>
      </c>
      <c r="H1938">
        <v>108360</v>
      </c>
      <c r="I1938" s="4">
        <v>38686</v>
      </c>
      <c r="J1938" s="5">
        <f t="shared" si="60"/>
        <v>-131</v>
      </c>
      <c r="K1938" s="6" t="str">
        <f t="shared" si="61"/>
        <v>A~0</v>
      </c>
      <c r="L1938" t="str">
        <f>IF(J1938&lt;0,"A~0",VLOOKUP(J1938,[1]作法V!$B$1:$C$9,2,TRUE))</f>
        <v>A~0</v>
      </c>
    </row>
    <row r="1939" spans="1:12">
      <c r="A1939">
        <v>1135</v>
      </c>
      <c r="B1939" t="s">
        <v>26</v>
      </c>
      <c r="C1939" s="3">
        <v>38677</v>
      </c>
      <c r="D1939" s="3">
        <v>38817</v>
      </c>
      <c r="E1939" t="s">
        <v>18</v>
      </c>
      <c r="F1939">
        <v>1</v>
      </c>
      <c r="G1939">
        <v>97500</v>
      </c>
      <c r="H1939">
        <v>97500</v>
      </c>
      <c r="I1939" s="4">
        <v>38686</v>
      </c>
      <c r="J1939" s="5">
        <f t="shared" si="60"/>
        <v>-131</v>
      </c>
      <c r="K1939" s="6" t="str">
        <f t="shared" si="61"/>
        <v>A~0</v>
      </c>
      <c r="L1939" t="str">
        <f>IF(J1939&lt;0,"A~0",VLOOKUP(J1939,[1]作法V!$B$1:$C$9,2,TRUE))</f>
        <v>A~0</v>
      </c>
    </row>
    <row r="1940" spans="1:12">
      <c r="A1940">
        <v>1135</v>
      </c>
      <c r="B1940" t="s">
        <v>26</v>
      </c>
      <c r="C1940" s="3">
        <v>38677</v>
      </c>
      <c r="D1940" s="3">
        <v>38817</v>
      </c>
      <c r="E1940" t="s">
        <v>18</v>
      </c>
      <c r="F1940">
        <v>1</v>
      </c>
      <c r="G1940">
        <v>567000</v>
      </c>
      <c r="H1940">
        <v>567000</v>
      </c>
      <c r="I1940" s="4">
        <v>38686</v>
      </c>
      <c r="J1940" s="5">
        <f t="shared" si="60"/>
        <v>-131</v>
      </c>
      <c r="K1940" s="6" t="str">
        <f t="shared" si="61"/>
        <v>A~0</v>
      </c>
      <c r="L1940" t="str">
        <f>IF(J1940&lt;0,"A~0",VLOOKUP(J1940,[1]作法V!$B$1:$C$9,2,TRUE))</f>
        <v>A~0</v>
      </c>
    </row>
    <row r="1941" spans="1:12">
      <c r="A1941">
        <v>1135</v>
      </c>
      <c r="B1941" t="s">
        <v>26</v>
      </c>
      <c r="C1941" s="3">
        <v>38677</v>
      </c>
      <c r="D1941" s="3">
        <v>38817</v>
      </c>
      <c r="E1941" t="s">
        <v>18</v>
      </c>
      <c r="F1941">
        <v>1</v>
      </c>
      <c r="G1941">
        <v>405000</v>
      </c>
      <c r="H1941">
        <v>405000</v>
      </c>
      <c r="I1941" s="4">
        <v>38686</v>
      </c>
      <c r="J1941" s="5">
        <f t="shared" si="60"/>
        <v>-131</v>
      </c>
      <c r="K1941" s="6" t="str">
        <f t="shared" si="61"/>
        <v>A~0</v>
      </c>
      <c r="L1941" t="str">
        <f>IF(J1941&lt;0,"A~0",VLOOKUP(J1941,[1]作法V!$B$1:$C$9,2,TRUE))</f>
        <v>A~0</v>
      </c>
    </row>
    <row r="1942" spans="1:12">
      <c r="A1942">
        <v>1135</v>
      </c>
      <c r="B1942" t="s">
        <v>26</v>
      </c>
      <c r="C1942" s="3">
        <v>38677</v>
      </c>
      <c r="D1942" s="3">
        <v>38817</v>
      </c>
      <c r="E1942" t="s">
        <v>18</v>
      </c>
      <c r="F1942">
        <v>1</v>
      </c>
      <c r="G1942">
        <v>59360</v>
      </c>
      <c r="H1942">
        <v>59360</v>
      </c>
      <c r="I1942" s="4">
        <v>38686</v>
      </c>
      <c r="J1942" s="5">
        <f t="shared" si="60"/>
        <v>-131</v>
      </c>
      <c r="K1942" s="6" t="str">
        <f t="shared" si="61"/>
        <v>A~0</v>
      </c>
      <c r="L1942" t="str">
        <f>IF(J1942&lt;0,"A~0",VLOOKUP(J1942,[1]作法V!$B$1:$C$9,2,TRUE))</f>
        <v>A~0</v>
      </c>
    </row>
    <row r="1943" spans="1:12">
      <c r="A1943">
        <v>1135</v>
      </c>
      <c r="B1943" t="s">
        <v>26</v>
      </c>
      <c r="C1943" s="3">
        <v>38677</v>
      </c>
      <c r="D1943" s="3">
        <v>38786</v>
      </c>
      <c r="E1943" t="s">
        <v>18</v>
      </c>
      <c r="F1943">
        <v>1</v>
      </c>
      <c r="G1943">
        <v>19530</v>
      </c>
      <c r="H1943">
        <v>19530</v>
      </c>
      <c r="I1943" s="4">
        <v>38686</v>
      </c>
      <c r="J1943" s="5">
        <f t="shared" si="60"/>
        <v>-100</v>
      </c>
      <c r="K1943" s="6" t="str">
        <f t="shared" si="61"/>
        <v>A~0</v>
      </c>
      <c r="L1943" t="str">
        <f>IF(J1943&lt;0,"A~0",VLOOKUP(J1943,[1]作法V!$B$1:$C$9,2,TRUE))</f>
        <v>A~0</v>
      </c>
    </row>
    <row r="1944" spans="1:12">
      <c r="A1944">
        <v>1135</v>
      </c>
      <c r="B1944" t="s">
        <v>26</v>
      </c>
      <c r="C1944" s="3">
        <v>38677</v>
      </c>
      <c r="D1944" s="3">
        <v>38786</v>
      </c>
      <c r="E1944" t="s">
        <v>18</v>
      </c>
      <c r="F1944">
        <v>1</v>
      </c>
      <c r="G1944">
        <v>181527</v>
      </c>
      <c r="H1944">
        <v>181527</v>
      </c>
      <c r="I1944" s="4">
        <v>38686</v>
      </c>
      <c r="J1944" s="5">
        <f t="shared" si="60"/>
        <v>-100</v>
      </c>
      <c r="K1944" s="6" t="str">
        <f t="shared" si="61"/>
        <v>A~0</v>
      </c>
      <c r="L1944" t="str">
        <f>IF(J1944&lt;0,"A~0",VLOOKUP(J1944,[1]作法V!$B$1:$C$9,2,TRUE))</f>
        <v>A~0</v>
      </c>
    </row>
    <row r="1945" spans="1:12">
      <c r="A1945">
        <v>1135</v>
      </c>
      <c r="B1945" t="s">
        <v>26</v>
      </c>
      <c r="C1945" s="3">
        <v>38680</v>
      </c>
      <c r="D1945" s="3">
        <v>38817</v>
      </c>
      <c r="E1945" t="s">
        <v>18</v>
      </c>
      <c r="F1945">
        <v>1</v>
      </c>
      <c r="G1945">
        <v>22050</v>
      </c>
      <c r="H1945">
        <v>22050</v>
      </c>
      <c r="I1945" s="4">
        <v>38686</v>
      </c>
      <c r="J1945" s="5">
        <f t="shared" si="60"/>
        <v>-131</v>
      </c>
      <c r="K1945" s="6" t="str">
        <f t="shared" si="61"/>
        <v>A~0</v>
      </c>
      <c r="L1945" t="str">
        <f>IF(J1945&lt;0,"A~0",VLOOKUP(J1945,[1]作法V!$B$1:$C$9,2,TRUE))</f>
        <v>A~0</v>
      </c>
    </row>
    <row r="1946" spans="1:12">
      <c r="A1946">
        <v>1135</v>
      </c>
      <c r="B1946" t="s">
        <v>26</v>
      </c>
      <c r="C1946" s="3">
        <v>38680</v>
      </c>
      <c r="D1946" s="3">
        <v>38817</v>
      </c>
      <c r="E1946" t="s">
        <v>18</v>
      </c>
      <c r="F1946">
        <v>1</v>
      </c>
      <c r="G1946">
        <v>17640</v>
      </c>
      <c r="H1946">
        <v>17640</v>
      </c>
      <c r="I1946" s="4">
        <v>38686</v>
      </c>
      <c r="J1946" s="5">
        <f t="shared" si="60"/>
        <v>-131</v>
      </c>
      <c r="K1946" s="6" t="str">
        <f t="shared" si="61"/>
        <v>A~0</v>
      </c>
      <c r="L1946" t="str">
        <f>IF(J1946&lt;0,"A~0",VLOOKUP(J1946,[1]作法V!$B$1:$C$9,2,TRUE))</f>
        <v>A~0</v>
      </c>
    </row>
    <row r="1947" spans="1:12">
      <c r="A1947">
        <v>1135</v>
      </c>
      <c r="B1947" t="s">
        <v>26</v>
      </c>
      <c r="C1947" s="3">
        <v>38680</v>
      </c>
      <c r="D1947" s="3">
        <v>38817</v>
      </c>
      <c r="E1947" t="s">
        <v>18</v>
      </c>
      <c r="F1947">
        <v>1</v>
      </c>
      <c r="G1947">
        <v>22623</v>
      </c>
      <c r="H1947">
        <v>22623</v>
      </c>
      <c r="I1947" s="4">
        <v>38686</v>
      </c>
      <c r="J1947" s="5">
        <f t="shared" si="60"/>
        <v>-131</v>
      </c>
      <c r="K1947" s="6" t="str">
        <f t="shared" si="61"/>
        <v>A~0</v>
      </c>
      <c r="L1947" t="str">
        <f>IF(J1947&lt;0,"A~0",VLOOKUP(J1947,[1]作法V!$B$1:$C$9,2,TRUE))</f>
        <v>A~0</v>
      </c>
    </row>
    <row r="1948" spans="1:12">
      <c r="A1948">
        <v>1135</v>
      </c>
      <c r="B1948" t="s">
        <v>26</v>
      </c>
      <c r="C1948" s="3">
        <v>38680</v>
      </c>
      <c r="D1948" s="3">
        <v>38817</v>
      </c>
      <c r="E1948" t="s">
        <v>18</v>
      </c>
      <c r="F1948">
        <v>1</v>
      </c>
      <c r="G1948">
        <v>52416</v>
      </c>
      <c r="H1948">
        <v>52416</v>
      </c>
      <c r="I1948" s="4">
        <v>38686</v>
      </c>
      <c r="J1948" s="5">
        <f t="shared" si="60"/>
        <v>-131</v>
      </c>
      <c r="K1948" s="6" t="str">
        <f t="shared" si="61"/>
        <v>A~0</v>
      </c>
      <c r="L1948" t="str">
        <f>IF(J1948&lt;0,"A~0",VLOOKUP(J1948,[1]作法V!$B$1:$C$9,2,TRUE))</f>
        <v>A~0</v>
      </c>
    </row>
    <row r="1949" spans="1:12">
      <c r="A1949">
        <v>1135</v>
      </c>
      <c r="B1949" t="s">
        <v>26</v>
      </c>
      <c r="C1949" s="3">
        <v>38680</v>
      </c>
      <c r="D1949" s="3">
        <v>38817</v>
      </c>
      <c r="E1949" t="s">
        <v>18</v>
      </c>
      <c r="F1949">
        <v>1</v>
      </c>
      <c r="G1949">
        <v>105000</v>
      </c>
      <c r="H1949">
        <v>105000</v>
      </c>
      <c r="I1949" s="4">
        <v>38686</v>
      </c>
      <c r="J1949" s="5">
        <f t="shared" si="60"/>
        <v>-131</v>
      </c>
      <c r="K1949" s="6" t="str">
        <f t="shared" si="61"/>
        <v>A~0</v>
      </c>
      <c r="L1949" t="str">
        <f>IF(J1949&lt;0,"A~0",VLOOKUP(J1949,[1]作法V!$B$1:$C$9,2,TRUE))</f>
        <v>A~0</v>
      </c>
    </row>
    <row r="1950" spans="1:12">
      <c r="A1950">
        <v>1135</v>
      </c>
      <c r="B1950" t="s">
        <v>26</v>
      </c>
      <c r="C1950" s="3">
        <v>38680</v>
      </c>
      <c r="D1950" s="3">
        <v>38817</v>
      </c>
      <c r="E1950" t="s">
        <v>18</v>
      </c>
      <c r="F1950">
        <v>1</v>
      </c>
      <c r="G1950">
        <v>8467</v>
      </c>
      <c r="H1950">
        <v>8467</v>
      </c>
      <c r="I1950" s="4">
        <v>38686</v>
      </c>
      <c r="J1950" s="5">
        <f t="shared" si="60"/>
        <v>-131</v>
      </c>
      <c r="K1950" s="6" t="str">
        <f t="shared" si="61"/>
        <v>A~0</v>
      </c>
      <c r="L1950" t="str">
        <f>IF(J1950&lt;0,"A~0",VLOOKUP(J1950,[1]作法V!$B$1:$C$9,2,TRUE))</f>
        <v>A~0</v>
      </c>
    </row>
    <row r="1951" spans="1:12">
      <c r="A1951">
        <v>1135</v>
      </c>
      <c r="B1951" t="s">
        <v>26</v>
      </c>
      <c r="C1951" s="3">
        <v>38680</v>
      </c>
      <c r="D1951" s="3">
        <v>38817</v>
      </c>
      <c r="E1951" t="s">
        <v>18</v>
      </c>
      <c r="F1951">
        <v>1</v>
      </c>
      <c r="G1951">
        <v>69300</v>
      </c>
      <c r="H1951">
        <v>69300</v>
      </c>
      <c r="I1951" s="4">
        <v>38686</v>
      </c>
      <c r="J1951" s="5">
        <f t="shared" si="60"/>
        <v>-131</v>
      </c>
      <c r="K1951" s="6" t="str">
        <f t="shared" si="61"/>
        <v>A~0</v>
      </c>
      <c r="L1951" t="str">
        <f>IF(J1951&lt;0,"A~0",VLOOKUP(J1951,[1]作法V!$B$1:$C$9,2,TRUE))</f>
        <v>A~0</v>
      </c>
    </row>
    <row r="1952" spans="1:12">
      <c r="A1952">
        <v>1135</v>
      </c>
      <c r="B1952" t="s">
        <v>26</v>
      </c>
      <c r="C1952" s="3">
        <v>38680</v>
      </c>
      <c r="D1952" s="3">
        <v>38817</v>
      </c>
      <c r="E1952" t="s">
        <v>18</v>
      </c>
      <c r="F1952">
        <v>1</v>
      </c>
      <c r="G1952">
        <v>8547</v>
      </c>
      <c r="H1952">
        <v>8547</v>
      </c>
      <c r="I1952" s="4">
        <v>38686</v>
      </c>
      <c r="J1952" s="5">
        <f t="shared" si="60"/>
        <v>-131</v>
      </c>
      <c r="K1952" s="6" t="str">
        <f t="shared" si="61"/>
        <v>A~0</v>
      </c>
      <c r="L1952" t="str">
        <f>IF(J1952&lt;0,"A~0",VLOOKUP(J1952,[1]作法V!$B$1:$C$9,2,TRUE))</f>
        <v>A~0</v>
      </c>
    </row>
    <row r="1953" spans="1:12">
      <c r="A1953">
        <v>1135</v>
      </c>
      <c r="B1953" t="s">
        <v>26</v>
      </c>
      <c r="C1953" s="3">
        <v>38680</v>
      </c>
      <c r="D1953" s="3">
        <v>38817</v>
      </c>
      <c r="E1953" t="s">
        <v>18</v>
      </c>
      <c r="F1953">
        <v>1</v>
      </c>
      <c r="G1953">
        <v>64033</v>
      </c>
      <c r="H1953">
        <v>64033</v>
      </c>
      <c r="I1953" s="4">
        <v>38686</v>
      </c>
      <c r="J1953" s="5">
        <f t="shared" si="60"/>
        <v>-131</v>
      </c>
      <c r="K1953" s="6" t="str">
        <f t="shared" si="61"/>
        <v>A~0</v>
      </c>
      <c r="L1953" t="str">
        <f>IF(J1953&lt;0,"A~0",VLOOKUP(J1953,[1]作法V!$B$1:$C$9,2,TRUE))</f>
        <v>A~0</v>
      </c>
    </row>
    <row r="1954" spans="1:12">
      <c r="A1954">
        <v>1135</v>
      </c>
      <c r="B1954" t="s">
        <v>26</v>
      </c>
      <c r="C1954" s="3">
        <v>38680</v>
      </c>
      <c r="D1954" s="3">
        <v>38817</v>
      </c>
      <c r="E1954" t="s">
        <v>18</v>
      </c>
      <c r="F1954">
        <v>1</v>
      </c>
      <c r="G1954">
        <v>15750</v>
      </c>
      <c r="H1954">
        <v>15750</v>
      </c>
      <c r="I1954" s="4">
        <v>38686</v>
      </c>
      <c r="J1954" s="5">
        <f t="shared" si="60"/>
        <v>-131</v>
      </c>
      <c r="K1954" s="6" t="str">
        <f t="shared" si="61"/>
        <v>A~0</v>
      </c>
      <c r="L1954" t="str">
        <f>IF(J1954&lt;0,"A~0",VLOOKUP(J1954,[1]作法V!$B$1:$C$9,2,TRUE))</f>
        <v>A~0</v>
      </c>
    </row>
    <row r="1955" spans="1:12">
      <c r="A1955">
        <v>1135</v>
      </c>
      <c r="B1955" t="s">
        <v>26</v>
      </c>
      <c r="C1955" s="3">
        <v>38680</v>
      </c>
      <c r="D1955" s="3">
        <v>38817</v>
      </c>
      <c r="E1955" t="s">
        <v>18</v>
      </c>
      <c r="F1955">
        <v>1</v>
      </c>
      <c r="G1955">
        <v>10395</v>
      </c>
      <c r="H1955">
        <v>10395</v>
      </c>
      <c r="I1955" s="4">
        <v>38686</v>
      </c>
      <c r="J1955" s="5">
        <f t="shared" si="60"/>
        <v>-131</v>
      </c>
      <c r="K1955" s="6" t="str">
        <f t="shared" si="61"/>
        <v>A~0</v>
      </c>
      <c r="L1955" t="str">
        <f>IF(J1955&lt;0,"A~0",VLOOKUP(J1955,[1]作法V!$B$1:$C$9,2,TRUE))</f>
        <v>A~0</v>
      </c>
    </row>
    <row r="1956" spans="1:12">
      <c r="A1956">
        <v>1135</v>
      </c>
      <c r="B1956" t="s">
        <v>26</v>
      </c>
      <c r="C1956" s="3">
        <v>38680</v>
      </c>
      <c r="D1956" s="3">
        <v>38817</v>
      </c>
      <c r="E1956" t="s">
        <v>18</v>
      </c>
      <c r="F1956">
        <v>1</v>
      </c>
      <c r="G1956">
        <v>71925</v>
      </c>
      <c r="H1956">
        <v>71925</v>
      </c>
      <c r="I1956" s="4">
        <v>38686</v>
      </c>
      <c r="J1956" s="5">
        <f t="shared" si="60"/>
        <v>-131</v>
      </c>
      <c r="K1956" s="6" t="str">
        <f t="shared" si="61"/>
        <v>A~0</v>
      </c>
      <c r="L1956" t="str">
        <f>IF(J1956&lt;0,"A~0",VLOOKUP(J1956,[1]作法V!$B$1:$C$9,2,TRUE))</f>
        <v>A~0</v>
      </c>
    </row>
    <row r="1957" spans="1:12">
      <c r="A1957">
        <v>1135</v>
      </c>
      <c r="B1957" t="s">
        <v>26</v>
      </c>
      <c r="C1957" s="3">
        <v>38680</v>
      </c>
      <c r="D1957" s="3">
        <v>38817</v>
      </c>
      <c r="E1957" t="s">
        <v>18</v>
      </c>
      <c r="F1957">
        <v>1</v>
      </c>
      <c r="G1957">
        <v>31500</v>
      </c>
      <c r="H1957">
        <v>31500</v>
      </c>
      <c r="I1957" s="4">
        <v>38686</v>
      </c>
      <c r="J1957" s="5">
        <f t="shared" si="60"/>
        <v>-131</v>
      </c>
      <c r="K1957" s="6" t="str">
        <f t="shared" si="61"/>
        <v>A~0</v>
      </c>
      <c r="L1957" t="str">
        <f>IF(J1957&lt;0,"A~0",VLOOKUP(J1957,[1]作法V!$B$1:$C$9,2,TRUE))</f>
        <v>A~0</v>
      </c>
    </row>
    <row r="1958" spans="1:12">
      <c r="A1958">
        <v>1135</v>
      </c>
      <c r="B1958" t="s">
        <v>26</v>
      </c>
      <c r="C1958" s="3">
        <v>38680</v>
      </c>
      <c r="D1958" s="3">
        <v>38817</v>
      </c>
      <c r="E1958" t="s">
        <v>18</v>
      </c>
      <c r="F1958">
        <v>1</v>
      </c>
      <c r="G1958">
        <v>105000</v>
      </c>
      <c r="H1958">
        <v>105000</v>
      </c>
      <c r="I1958" s="4">
        <v>38686</v>
      </c>
      <c r="J1958" s="5">
        <f t="shared" si="60"/>
        <v>-131</v>
      </c>
      <c r="K1958" s="6" t="str">
        <f t="shared" si="61"/>
        <v>A~0</v>
      </c>
      <c r="L1958" t="str">
        <f>IF(J1958&lt;0,"A~0",VLOOKUP(J1958,[1]作法V!$B$1:$C$9,2,TRUE))</f>
        <v>A~0</v>
      </c>
    </row>
    <row r="1959" spans="1:12">
      <c r="A1959">
        <v>1135</v>
      </c>
      <c r="B1959" t="s">
        <v>26</v>
      </c>
      <c r="C1959" s="3">
        <v>38680</v>
      </c>
      <c r="D1959" s="3">
        <v>38817</v>
      </c>
      <c r="E1959" t="s">
        <v>18</v>
      </c>
      <c r="F1959">
        <v>1</v>
      </c>
      <c r="G1959">
        <v>6825</v>
      </c>
      <c r="H1959">
        <v>6825</v>
      </c>
      <c r="I1959" s="4">
        <v>38686</v>
      </c>
      <c r="J1959" s="5">
        <f t="shared" si="60"/>
        <v>-131</v>
      </c>
      <c r="K1959" s="6" t="str">
        <f t="shared" si="61"/>
        <v>A~0</v>
      </c>
      <c r="L1959" t="str">
        <f>IF(J1959&lt;0,"A~0",VLOOKUP(J1959,[1]作法V!$B$1:$C$9,2,TRUE))</f>
        <v>A~0</v>
      </c>
    </row>
    <row r="1960" spans="1:12">
      <c r="A1960">
        <v>1135</v>
      </c>
      <c r="B1960" t="s">
        <v>26</v>
      </c>
      <c r="C1960" s="3">
        <v>38684</v>
      </c>
      <c r="D1960" s="3">
        <v>38847</v>
      </c>
      <c r="E1960" t="s">
        <v>18</v>
      </c>
      <c r="F1960">
        <v>1</v>
      </c>
      <c r="G1960">
        <v>27000</v>
      </c>
      <c r="H1960">
        <v>27000</v>
      </c>
      <c r="I1960" s="4">
        <v>38686</v>
      </c>
      <c r="J1960" s="5">
        <f t="shared" si="60"/>
        <v>-161</v>
      </c>
      <c r="K1960" s="6" t="str">
        <f t="shared" si="61"/>
        <v>A~0</v>
      </c>
      <c r="L1960" t="str">
        <f>IF(J1960&lt;0,"A~0",VLOOKUP(J1960,[1]作法V!$B$1:$C$9,2,TRUE))</f>
        <v>A~0</v>
      </c>
    </row>
    <row r="1961" spans="1:12">
      <c r="A1961">
        <v>1135</v>
      </c>
      <c r="B1961" t="s">
        <v>26</v>
      </c>
      <c r="C1961" s="3">
        <v>38684</v>
      </c>
      <c r="D1961" s="3">
        <v>38817</v>
      </c>
      <c r="E1961" t="s">
        <v>18</v>
      </c>
      <c r="F1961">
        <v>1</v>
      </c>
      <c r="G1961">
        <v>45150</v>
      </c>
      <c r="H1961">
        <v>45150</v>
      </c>
      <c r="I1961" s="4">
        <v>38686</v>
      </c>
      <c r="J1961" s="5">
        <f t="shared" si="60"/>
        <v>-131</v>
      </c>
      <c r="K1961" s="6" t="str">
        <f t="shared" si="61"/>
        <v>A~0</v>
      </c>
      <c r="L1961" t="str">
        <f>IF(J1961&lt;0,"A~0",VLOOKUP(J1961,[1]作法V!$B$1:$C$9,2,TRUE))</f>
        <v>A~0</v>
      </c>
    </row>
    <row r="1962" spans="1:12">
      <c r="A1962">
        <v>1135</v>
      </c>
      <c r="B1962" t="s">
        <v>26</v>
      </c>
      <c r="C1962" s="3">
        <v>38684</v>
      </c>
      <c r="D1962" s="3">
        <v>38817</v>
      </c>
      <c r="E1962" t="s">
        <v>18</v>
      </c>
      <c r="F1962">
        <v>1</v>
      </c>
      <c r="G1962">
        <v>148050</v>
      </c>
      <c r="H1962">
        <v>148050</v>
      </c>
      <c r="I1962" s="4">
        <v>38686</v>
      </c>
      <c r="J1962" s="5">
        <f t="shared" si="60"/>
        <v>-131</v>
      </c>
      <c r="K1962" s="6" t="str">
        <f t="shared" si="61"/>
        <v>A~0</v>
      </c>
      <c r="L1962" t="str">
        <f>IF(J1962&lt;0,"A~0",VLOOKUP(J1962,[1]作法V!$B$1:$C$9,2,TRUE))</f>
        <v>A~0</v>
      </c>
    </row>
    <row r="1963" spans="1:12">
      <c r="A1963">
        <v>1135</v>
      </c>
      <c r="B1963" t="s">
        <v>26</v>
      </c>
      <c r="C1963" s="3">
        <v>38684</v>
      </c>
      <c r="D1963" s="3">
        <v>38817</v>
      </c>
      <c r="E1963" t="s">
        <v>18</v>
      </c>
      <c r="F1963">
        <v>1</v>
      </c>
      <c r="G1963">
        <v>34480</v>
      </c>
      <c r="H1963">
        <v>34480</v>
      </c>
      <c r="I1963" s="4">
        <v>38686</v>
      </c>
      <c r="J1963" s="5">
        <f t="shared" si="60"/>
        <v>-131</v>
      </c>
      <c r="K1963" s="6" t="str">
        <f t="shared" si="61"/>
        <v>A~0</v>
      </c>
      <c r="L1963" t="str">
        <f>IF(J1963&lt;0,"A~0",VLOOKUP(J1963,[1]作法V!$B$1:$C$9,2,TRUE))</f>
        <v>A~0</v>
      </c>
    </row>
    <row r="1964" spans="1:12">
      <c r="A1964">
        <v>1135</v>
      </c>
      <c r="B1964" t="s">
        <v>26</v>
      </c>
      <c r="C1964" s="3">
        <v>38684</v>
      </c>
      <c r="D1964" s="3">
        <v>38817</v>
      </c>
      <c r="E1964" t="s">
        <v>18</v>
      </c>
      <c r="F1964">
        <v>1</v>
      </c>
      <c r="G1964">
        <v>119217</v>
      </c>
      <c r="H1964">
        <v>119217</v>
      </c>
      <c r="I1964" s="4">
        <v>38686</v>
      </c>
      <c r="J1964" s="5">
        <f t="shared" si="60"/>
        <v>-131</v>
      </c>
      <c r="K1964" s="6" t="str">
        <f t="shared" si="61"/>
        <v>A~0</v>
      </c>
      <c r="L1964" t="str">
        <f>IF(J1964&lt;0,"A~0",VLOOKUP(J1964,[1]作法V!$B$1:$C$9,2,TRUE))</f>
        <v>A~0</v>
      </c>
    </row>
    <row r="1965" spans="1:12">
      <c r="A1965">
        <v>1135</v>
      </c>
      <c r="B1965" t="s">
        <v>26</v>
      </c>
      <c r="C1965" s="3">
        <v>38684</v>
      </c>
      <c r="D1965" s="3">
        <v>38817</v>
      </c>
      <c r="E1965" t="s">
        <v>18</v>
      </c>
      <c r="F1965">
        <v>1</v>
      </c>
      <c r="G1965">
        <v>16144</v>
      </c>
      <c r="H1965">
        <v>16144</v>
      </c>
      <c r="I1965" s="4">
        <v>38686</v>
      </c>
      <c r="J1965" s="5">
        <f t="shared" si="60"/>
        <v>-131</v>
      </c>
      <c r="K1965" s="6" t="str">
        <f t="shared" si="61"/>
        <v>A~0</v>
      </c>
      <c r="L1965" t="str">
        <f>IF(J1965&lt;0,"A~0",VLOOKUP(J1965,[1]作法V!$B$1:$C$9,2,TRUE))</f>
        <v>A~0</v>
      </c>
    </row>
    <row r="1966" spans="1:12">
      <c r="A1966">
        <v>1135</v>
      </c>
      <c r="B1966" t="s">
        <v>26</v>
      </c>
      <c r="C1966" s="3">
        <v>38684</v>
      </c>
      <c r="D1966" s="3">
        <v>38847</v>
      </c>
      <c r="E1966" t="s">
        <v>18</v>
      </c>
      <c r="F1966">
        <v>1</v>
      </c>
      <c r="G1966">
        <v>1575</v>
      </c>
      <c r="H1966">
        <v>1575</v>
      </c>
      <c r="I1966" s="4">
        <v>38686</v>
      </c>
      <c r="J1966" s="5">
        <f t="shared" si="60"/>
        <v>-161</v>
      </c>
      <c r="K1966" s="6" t="str">
        <f t="shared" si="61"/>
        <v>A~0</v>
      </c>
      <c r="L1966" t="str">
        <f>IF(J1966&lt;0,"A~0",VLOOKUP(J1966,[1]作法V!$B$1:$C$9,2,TRUE))</f>
        <v>A~0</v>
      </c>
    </row>
    <row r="1967" spans="1:12">
      <c r="A1967">
        <v>1135</v>
      </c>
      <c r="B1967" t="s">
        <v>26</v>
      </c>
      <c r="C1967" s="3">
        <v>38684</v>
      </c>
      <c r="D1967" s="3">
        <v>38847</v>
      </c>
      <c r="E1967" t="s">
        <v>18</v>
      </c>
      <c r="F1967">
        <v>1</v>
      </c>
      <c r="G1967">
        <v>41160</v>
      </c>
      <c r="H1967">
        <v>41160</v>
      </c>
      <c r="I1967" s="4">
        <v>38686</v>
      </c>
      <c r="J1967" s="5">
        <f t="shared" si="60"/>
        <v>-161</v>
      </c>
      <c r="K1967" s="6" t="str">
        <f t="shared" si="61"/>
        <v>A~0</v>
      </c>
      <c r="L1967" t="str">
        <f>IF(J1967&lt;0,"A~0",VLOOKUP(J1967,[1]作法V!$B$1:$C$9,2,TRUE))</f>
        <v>A~0</v>
      </c>
    </row>
    <row r="1968" spans="1:12">
      <c r="A1968">
        <v>1135</v>
      </c>
      <c r="B1968" t="s">
        <v>26</v>
      </c>
      <c r="C1968" s="3">
        <v>38684</v>
      </c>
      <c r="D1968" s="3">
        <v>38847</v>
      </c>
      <c r="E1968" t="s">
        <v>18</v>
      </c>
      <c r="F1968">
        <v>1</v>
      </c>
      <c r="G1968">
        <v>17325</v>
      </c>
      <c r="H1968">
        <v>17325</v>
      </c>
      <c r="I1968" s="4">
        <v>38686</v>
      </c>
      <c r="J1968" s="5">
        <f t="shared" si="60"/>
        <v>-161</v>
      </c>
      <c r="K1968" s="6" t="str">
        <f t="shared" si="61"/>
        <v>A~0</v>
      </c>
      <c r="L1968" t="str">
        <f>IF(J1968&lt;0,"A~0",VLOOKUP(J1968,[1]作法V!$B$1:$C$9,2,TRUE))</f>
        <v>A~0</v>
      </c>
    </row>
    <row r="1969" spans="1:12">
      <c r="A1969">
        <v>1135</v>
      </c>
      <c r="B1969" t="s">
        <v>26</v>
      </c>
      <c r="C1969" s="3">
        <v>38684</v>
      </c>
      <c r="D1969" s="3">
        <v>38847</v>
      </c>
      <c r="E1969" t="s">
        <v>18</v>
      </c>
      <c r="F1969">
        <v>1</v>
      </c>
      <c r="G1969">
        <v>51975</v>
      </c>
      <c r="H1969">
        <v>51975</v>
      </c>
      <c r="I1969" s="4">
        <v>38686</v>
      </c>
      <c r="J1969" s="5">
        <f t="shared" si="60"/>
        <v>-161</v>
      </c>
      <c r="K1969" s="6" t="str">
        <f t="shared" si="61"/>
        <v>A~0</v>
      </c>
      <c r="L1969" t="str">
        <f>IF(J1969&lt;0,"A~0",VLOOKUP(J1969,[1]作法V!$B$1:$C$9,2,TRUE))</f>
        <v>A~0</v>
      </c>
    </row>
    <row r="1970" spans="1:12">
      <c r="A1970">
        <v>1135</v>
      </c>
      <c r="B1970" t="s">
        <v>26</v>
      </c>
      <c r="C1970" s="3">
        <v>38684</v>
      </c>
      <c r="D1970" s="3">
        <v>38847</v>
      </c>
      <c r="E1970" t="s">
        <v>18</v>
      </c>
      <c r="F1970">
        <v>1</v>
      </c>
      <c r="G1970">
        <v>21840</v>
      </c>
      <c r="H1970">
        <v>21840</v>
      </c>
      <c r="I1970" s="4">
        <v>38686</v>
      </c>
      <c r="J1970" s="5">
        <f t="shared" si="60"/>
        <v>-161</v>
      </c>
      <c r="K1970" s="6" t="str">
        <f t="shared" si="61"/>
        <v>A~0</v>
      </c>
      <c r="L1970" t="str">
        <f>IF(J1970&lt;0,"A~0",VLOOKUP(J1970,[1]作法V!$B$1:$C$9,2,TRUE))</f>
        <v>A~0</v>
      </c>
    </row>
    <row r="1971" spans="1:12">
      <c r="A1971">
        <v>1135</v>
      </c>
      <c r="B1971" t="s">
        <v>26</v>
      </c>
      <c r="C1971" s="3">
        <v>38686</v>
      </c>
      <c r="D1971" s="3">
        <v>38847</v>
      </c>
      <c r="E1971" t="s">
        <v>18</v>
      </c>
      <c r="F1971">
        <v>1</v>
      </c>
      <c r="G1971">
        <v>23720</v>
      </c>
      <c r="H1971">
        <v>23720</v>
      </c>
      <c r="I1971" s="4">
        <v>38686</v>
      </c>
      <c r="J1971" s="5">
        <f t="shared" si="60"/>
        <v>-161</v>
      </c>
      <c r="K1971" s="6" t="str">
        <f t="shared" si="61"/>
        <v>A~0</v>
      </c>
      <c r="L1971" t="str">
        <f>IF(J1971&lt;0,"A~0",VLOOKUP(J1971,[1]作法V!$B$1:$C$9,2,TRUE))</f>
        <v>A~0</v>
      </c>
    </row>
    <row r="1972" spans="1:12">
      <c r="A1972">
        <v>1135</v>
      </c>
      <c r="B1972" t="s">
        <v>26</v>
      </c>
      <c r="C1972" s="3">
        <v>38686</v>
      </c>
      <c r="D1972" s="3">
        <v>38847</v>
      </c>
      <c r="E1972" t="s">
        <v>18</v>
      </c>
      <c r="F1972">
        <v>1</v>
      </c>
      <c r="G1972">
        <v>13650</v>
      </c>
      <c r="H1972">
        <v>13650</v>
      </c>
      <c r="I1972" s="4">
        <v>38686</v>
      </c>
      <c r="J1972" s="5">
        <f t="shared" si="60"/>
        <v>-161</v>
      </c>
      <c r="K1972" s="6" t="str">
        <f t="shared" si="61"/>
        <v>A~0</v>
      </c>
      <c r="L1972" t="str">
        <f>IF(J1972&lt;0,"A~0",VLOOKUP(J1972,[1]作法V!$B$1:$C$9,2,TRUE))</f>
        <v>A~0</v>
      </c>
    </row>
    <row r="1973" spans="1:12">
      <c r="A1973">
        <v>1135</v>
      </c>
      <c r="B1973" t="s">
        <v>26</v>
      </c>
      <c r="C1973" s="3">
        <v>38686</v>
      </c>
      <c r="D1973" s="3">
        <v>38847</v>
      </c>
      <c r="E1973" t="s">
        <v>18</v>
      </c>
      <c r="F1973">
        <v>1</v>
      </c>
      <c r="G1973">
        <v>38808</v>
      </c>
      <c r="H1973">
        <v>38808</v>
      </c>
      <c r="I1973" s="4">
        <v>38686</v>
      </c>
      <c r="J1973" s="5">
        <f t="shared" si="60"/>
        <v>-161</v>
      </c>
      <c r="K1973" s="6" t="str">
        <f t="shared" si="61"/>
        <v>A~0</v>
      </c>
      <c r="L1973" t="str">
        <f>IF(J1973&lt;0,"A~0",VLOOKUP(J1973,[1]作法V!$B$1:$C$9,2,TRUE))</f>
        <v>A~0</v>
      </c>
    </row>
    <row r="1974" spans="1:12">
      <c r="A1974">
        <v>1135</v>
      </c>
      <c r="B1974" t="s">
        <v>26</v>
      </c>
      <c r="C1974" s="3">
        <v>38686</v>
      </c>
      <c r="D1974" s="3">
        <v>38847</v>
      </c>
      <c r="E1974" t="s">
        <v>18</v>
      </c>
      <c r="F1974">
        <v>1</v>
      </c>
      <c r="G1974">
        <v>27300</v>
      </c>
      <c r="H1974">
        <v>27300</v>
      </c>
      <c r="I1974" s="4">
        <v>38686</v>
      </c>
      <c r="J1974" s="5">
        <f t="shared" si="60"/>
        <v>-161</v>
      </c>
      <c r="K1974" s="6" t="str">
        <f t="shared" si="61"/>
        <v>A~0</v>
      </c>
      <c r="L1974" t="str">
        <f>IF(J1974&lt;0,"A~0",VLOOKUP(J1974,[1]作法V!$B$1:$C$9,2,TRUE))</f>
        <v>A~0</v>
      </c>
    </row>
    <row r="1975" spans="1:12">
      <c r="A1975">
        <v>1135</v>
      </c>
      <c r="B1975" t="s">
        <v>26</v>
      </c>
      <c r="C1975" s="3">
        <v>38686</v>
      </c>
      <c r="D1975" s="3">
        <v>38847</v>
      </c>
      <c r="E1975" t="s">
        <v>18</v>
      </c>
      <c r="F1975">
        <v>1</v>
      </c>
      <c r="G1975">
        <v>3150</v>
      </c>
      <c r="H1975">
        <v>3150</v>
      </c>
      <c r="I1975" s="4">
        <v>38686</v>
      </c>
      <c r="J1975" s="5">
        <f t="shared" si="60"/>
        <v>-161</v>
      </c>
      <c r="K1975" s="6" t="str">
        <f t="shared" si="61"/>
        <v>A~0</v>
      </c>
      <c r="L1975" t="str">
        <f>IF(J1975&lt;0,"A~0",VLOOKUP(J1975,[1]作法V!$B$1:$C$9,2,TRUE))</f>
        <v>A~0</v>
      </c>
    </row>
    <row r="1976" spans="1:12">
      <c r="A1976">
        <v>1135</v>
      </c>
      <c r="B1976" t="s">
        <v>26</v>
      </c>
      <c r="C1976" s="3">
        <v>38686</v>
      </c>
      <c r="D1976" s="3">
        <v>38847</v>
      </c>
      <c r="E1976" t="s">
        <v>18</v>
      </c>
      <c r="F1976">
        <v>1</v>
      </c>
      <c r="G1976">
        <v>52920</v>
      </c>
      <c r="H1976">
        <v>52920</v>
      </c>
      <c r="I1976" s="4">
        <v>38686</v>
      </c>
      <c r="J1976" s="5">
        <f t="shared" si="60"/>
        <v>-161</v>
      </c>
      <c r="K1976" s="6" t="str">
        <f t="shared" si="61"/>
        <v>A~0</v>
      </c>
      <c r="L1976" t="str">
        <f>IF(J1976&lt;0,"A~0",VLOOKUP(J1976,[1]作法V!$B$1:$C$9,2,TRUE))</f>
        <v>A~0</v>
      </c>
    </row>
    <row r="1977" spans="1:12">
      <c r="A1977">
        <v>1135</v>
      </c>
      <c r="B1977" t="s">
        <v>26</v>
      </c>
      <c r="C1977" s="3">
        <v>38686</v>
      </c>
      <c r="D1977" s="3">
        <v>38847</v>
      </c>
      <c r="E1977" t="s">
        <v>18</v>
      </c>
      <c r="F1977">
        <v>1</v>
      </c>
      <c r="G1977">
        <v>44100</v>
      </c>
      <c r="H1977">
        <v>44100</v>
      </c>
      <c r="I1977" s="4">
        <v>38686</v>
      </c>
      <c r="J1977" s="5">
        <f t="shared" si="60"/>
        <v>-161</v>
      </c>
      <c r="K1977" s="6" t="str">
        <f t="shared" si="61"/>
        <v>A~0</v>
      </c>
      <c r="L1977" t="str">
        <f>IF(J1977&lt;0,"A~0",VLOOKUP(J1977,[1]作法V!$B$1:$C$9,2,TRUE))</f>
        <v>A~0</v>
      </c>
    </row>
    <row r="1978" spans="1:12">
      <c r="A1978">
        <v>1135</v>
      </c>
      <c r="B1978" t="s">
        <v>26</v>
      </c>
      <c r="C1978" s="3">
        <v>38686</v>
      </c>
      <c r="D1978" s="3">
        <v>38847</v>
      </c>
      <c r="E1978" t="s">
        <v>18</v>
      </c>
      <c r="F1978">
        <v>1</v>
      </c>
      <c r="G1978">
        <v>330750</v>
      </c>
      <c r="H1978">
        <v>330750</v>
      </c>
      <c r="I1978" s="4">
        <v>38686</v>
      </c>
      <c r="J1978" s="5">
        <f t="shared" si="60"/>
        <v>-161</v>
      </c>
      <c r="K1978" s="6" t="str">
        <f t="shared" si="61"/>
        <v>A~0</v>
      </c>
      <c r="L1978" t="str">
        <f>IF(J1978&lt;0,"A~0",VLOOKUP(J1978,[1]作法V!$B$1:$C$9,2,TRUE))</f>
        <v>A~0</v>
      </c>
    </row>
    <row r="1979" spans="1:12">
      <c r="A1979">
        <v>1135</v>
      </c>
      <c r="B1979" t="s">
        <v>26</v>
      </c>
      <c r="C1979" s="3">
        <v>38686</v>
      </c>
      <c r="D1979" s="3">
        <v>38847</v>
      </c>
      <c r="E1979" t="s">
        <v>18</v>
      </c>
      <c r="F1979">
        <v>1</v>
      </c>
      <c r="G1979">
        <v>78750</v>
      </c>
      <c r="H1979">
        <v>78750</v>
      </c>
      <c r="I1979" s="4">
        <v>38686</v>
      </c>
      <c r="J1979" s="5">
        <f t="shared" si="60"/>
        <v>-161</v>
      </c>
      <c r="K1979" s="6" t="str">
        <f t="shared" si="61"/>
        <v>A~0</v>
      </c>
      <c r="L1979" t="str">
        <f>IF(J1979&lt;0,"A~0",VLOOKUP(J1979,[1]作法V!$B$1:$C$9,2,TRUE))</f>
        <v>A~0</v>
      </c>
    </row>
    <row r="1980" spans="1:12">
      <c r="A1980">
        <v>1135</v>
      </c>
      <c r="B1980" t="s">
        <v>26</v>
      </c>
      <c r="C1980" s="3">
        <v>38686</v>
      </c>
      <c r="D1980" s="3">
        <v>38847</v>
      </c>
      <c r="E1980" t="s">
        <v>18</v>
      </c>
      <c r="F1980">
        <v>1</v>
      </c>
      <c r="G1980">
        <v>22050</v>
      </c>
      <c r="H1980">
        <v>22050</v>
      </c>
      <c r="I1980" s="4">
        <v>38686</v>
      </c>
      <c r="J1980" s="5">
        <f t="shared" si="60"/>
        <v>-161</v>
      </c>
      <c r="K1980" s="6" t="str">
        <f t="shared" si="61"/>
        <v>A~0</v>
      </c>
      <c r="L1980" t="str">
        <f>IF(J1980&lt;0,"A~0",VLOOKUP(J1980,[1]作法V!$B$1:$C$9,2,TRUE))</f>
        <v>A~0</v>
      </c>
    </row>
    <row r="1981" spans="1:12">
      <c r="A1981">
        <v>1135</v>
      </c>
      <c r="B1981" t="s">
        <v>26</v>
      </c>
      <c r="C1981" s="3">
        <v>38686</v>
      </c>
      <c r="D1981" s="3">
        <v>38847</v>
      </c>
      <c r="E1981" t="s">
        <v>18</v>
      </c>
      <c r="F1981">
        <v>1</v>
      </c>
      <c r="G1981">
        <v>3024</v>
      </c>
      <c r="H1981">
        <v>3024</v>
      </c>
      <c r="I1981" s="4">
        <v>38686</v>
      </c>
      <c r="J1981" s="5">
        <f t="shared" si="60"/>
        <v>-161</v>
      </c>
      <c r="K1981" s="6" t="str">
        <f t="shared" si="61"/>
        <v>A~0</v>
      </c>
      <c r="L1981" t="str">
        <f>IF(J1981&lt;0,"A~0",VLOOKUP(J1981,[1]作法V!$B$1:$C$9,2,TRUE))</f>
        <v>A~0</v>
      </c>
    </row>
    <row r="1982" spans="1:12">
      <c r="A1982">
        <v>1135</v>
      </c>
      <c r="B1982" t="s">
        <v>26</v>
      </c>
      <c r="C1982" s="3">
        <v>38686</v>
      </c>
      <c r="D1982" s="3">
        <v>38847</v>
      </c>
      <c r="E1982" t="s">
        <v>18</v>
      </c>
      <c r="F1982">
        <v>1</v>
      </c>
      <c r="G1982">
        <v>19110</v>
      </c>
      <c r="H1982">
        <v>19110</v>
      </c>
      <c r="I1982" s="4">
        <v>38686</v>
      </c>
      <c r="J1982" s="5">
        <f t="shared" si="60"/>
        <v>-161</v>
      </c>
      <c r="K1982" s="6" t="str">
        <f t="shared" si="61"/>
        <v>A~0</v>
      </c>
      <c r="L1982" t="str">
        <f>IF(J1982&lt;0,"A~0",VLOOKUP(J1982,[1]作法V!$B$1:$C$9,2,TRUE))</f>
        <v>A~0</v>
      </c>
    </row>
    <row r="1983" spans="1:12">
      <c r="A1983">
        <v>1144</v>
      </c>
      <c r="B1983" t="s">
        <v>27</v>
      </c>
      <c r="C1983" s="3">
        <v>38537</v>
      </c>
      <c r="D1983" s="3">
        <v>38686</v>
      </c>
      <c r="E1983" t="s">
        <v>17</v>
      </c>
      <c r="F1983">
        <v>31.31</v>
      </c>
      <c r="G1983">
        <v>45.86</v>
      </c>
      <c r="H1983">
        <v>1436</v>
      </c>
      <c r="I1983" s="4">
        <v>38686</v>
      </c>
      <c r="J1983" s="5">
        <f t="shared" si="60"/>
        <v>0</v>
      </c>
      <c r="K1983" s="6" t="str">
        <f t="shared" si="61"/>
        <v>A~0</v>
      </c>
      <c r="L1983" t="str">
        <f>IF(J1983&lt;0,"A~0",VLOOKUP(J1983,[1]作法V!$B$1:$C$9,2,TRUE))</f>
        <v>A~0</v>
      </c>
    </row>
    <row r="1984" spans="1:12">
      <c r="A1984">
        <v>1144</v>
      </c>
      <c r="B1984" t="s">
        <v>27</v>
      </c>
      <c r="C1984" s="3">
        <v>38541</v>
      </c>
      <c r="D1984" s="3">
        <v>38686</v>
      </c>
      <c r="E1984" t="s">
        <v>17</v>
      </c>
      <c r="F1984">
        <v>31.31</v>
      </c>
      <c r="G1984">
        <v>198</v>
      </c>
      <c r="H1984">
        <v>6199</v>
      </c>
      <c r="I1984" s="4">
        <v>38686</v>
      </c>
      <c r="J1984" s="5">
        <f t="shared" si="60"/>
        <v>0</v>
      </c>
      <c r="K1984" s="6" t="str">
        <f t="shared" si="61"/>
        <v>A~0</v>
      </c>
      <c r="L1984" t="str">
        <f>IF(J1984&lt;0,"A~0",VLOOKUP(J1984,[1]作法V!$B$1:$C$9,2,TRUE))</f>
        <v>A~0</v>
      </c>
    </row>
    <row r="1985" spans="1:12">
      <c r="A1985">
        <v>1144</v>
      </c>
      <c r="B1985" t="s">
        <v>27</v>
      </c>
      <c r="C1985" s="3">
        <v>38541</v>
      </c>
      <c r="D1985" s="3">
        <v>38686</v>
      </c>
      <c r="E1985" t="s">
        <v>17</v>
      </c>
      <c r="F1985">
        <v>31.31</v>
      </c>
      <c r="G1985">
        <v>550</v>
      </c>
      <c r="H1985">
        <v>17221</v>
      </c>
      <c r="I1985" s="4">
        <v>38686</v>
      </c>
      <c r="J1985" s="5">
        <f t="shared" si="60"/>
        <v>0</v>
      </c>
      <c r="K1985" s="6" t="str">
        <f t="shared" si="61"/>
        <v>A~0</v>
      </c>
      <c r="L1985" t="str">
        <f>IF(J1985&lt;0,"A~0",VLOOKUP(J1985,[1]作法V!$B$1:$C$9,2,TRUE))</f>
        <v>A~0</v>
      </c>
    </row>
    <row r="1986" spans="1:12">
      <c r="A1986">
        <v>1144</v>
      </c>
      <c r="B1986" t="s">
        <v>27</v>
      </c>
      <c r="C1986" s="3">
        <v>38546</v>
      </c>
      <c r="D1986" s="3">
        <v>38686</v>
      </c>
      <c r="E1986" t="s">
        <v>17</v>
      </c>
      <c r="F1986">
        <v>31.95</v>
      </c>
      <c r="G1986">
        <v>1740</v>
      </c>
      <c r="H1986">
        <v>55593</v>
      </c>
      <c r="I1986" s="4">
        <v>38686</v>
      </c>
      <c r="J1986" s="5">
        <f t="shared" ref="J1986:J2049" si="62">I1986-D1986</f>
        <v>0</v>
      </c>
      <c r="K1986" s="6" t="str">
        <f t="shared" ref="K1986:K2049" si="63">IF(J1986&lt;1,"A~0",IF(J1986&lt;31,"B1~30",IF(J1986&lt;61,"C31~60",IF(J1986&lt;91,"D61~90",IF(J1986&lt;121,"E91~120",IF(J1986&lt;181,"F121~180",IF(J1986&lt;361,"G181~360","H361~")))))))</f>
        <v>A~0</v>
      </c>
      <c r="L1986" t="str">
        <f>IF(J1986&lt;0,"A~0",VLOOKUP(J1986,[1]作法V!$B$1:$C$9,2,TRUE))</f>
        <v>A~0</v>
      </c>
    </row>
    <row r="1987" spans="1:12">
      <c r="A1987">
        <v>1144</v>
      </c>
      <c r="B1987" t="s">
        <v>27</v>
      </c>
      <c r="C1987" s="3">
        <v>38548</v>
      </c>
      <c r="D1987" s="3">
        <v>38686</v>
      </c>
      <c r="E1987" t="s">
        <v>17</v>
      </c>
      <c r="F1987">
        <v>31.95</v>
      </c>
      <c r="G1987">
        <v>420</v>
      </c>
      <c r="H1987">
        <v>13419</v>
      </c>
      <c r="I1987" s="4">
        <v>38686</v>
      </c>
      <c r="J1987" s="5">
        <f t="shared" si="62"/>
        <v>0</v>
      </c>
      <c r="K1987" s="6" t="str">
        <f t="shared" si="63"/>
        <v>A~0</v>
      </c>
      <c r="L1987" t="str">
        <f>IF(J1987&lt;0,"A~0",VLOOKUP(J1987,[1]作法V!$B$1:$C$9,2,TRUE))</f>
        <v>A~0</v>
      </c>
    </row>
    <row r="1988" spans="1:12">
      <c r="A1988">
        <v>1144</v>
      </c>
      <c r="B1988" t="s">
        <v>27</v>
      </c>
      <c r="C1988" s="3">
        <v>38562</v>
      </c>
      <c r="D1988" s="3">
        <v>38716</v>
      </c>
      <c r="E1988" t="s">
        <v>17</v>
      </c>
      <c r="F1988">
        <v>31.89</v>
      </c>
      <c r="G1988">
        <v>240</v>
      </c>
      <c r="H1988">
        <v>7654</v>
      </c>
      <c r="I1988" s="4">
        <v>38686</v>
      </c>
      <c r="J1988" s="5">
        <f t="shared" si="62"/>
        <v>-30</v>
      </c>
      <c r="K1988" s="6" t="str">
        <f t="shared" si="63"/>
        <v>A~0</v>
      </c>
      <c r="L1988" t="str">
        <f>IF(J1988&lt;0,"A~0",VLOOKUP(J1988,[1]作法V!$B$1:$C$9,2,TRUE))</f>
        <v>A~0</v>
      </c>
    </row>
    <row r="1989" spans="1:12">
      <c r="A1989">
        <v>1144</v>
      </c>
      <c r="B1989" t="s">
        <v>27</v>
      </c>
      <c r="C1989" s="3">
        <v>38567</v>
      </c>
      <c r="D1989" s="3">
        <v>38716</v>
      </c>
      <c r="E1989" t="s">
        <v>17</v>
      </c>
      <c r="F1989">
        <v>31.684999999999999</v>
      </c>
      <c r="G1989">
        <v>1100</v>
      </c>
      <c r="H1989">
        <v>34854</v>
      </c>
      <c r="I1989" s="4">
        <v>38686</v>
      </c>
      <c r="J1989" s="5">
        <f t="shared" si="62"/>
        <v>-30</v>
      </c>
      <c r="K1989" s="6" t="str">
        <f t="shared" si="63"/>
        <v>A~0</v>
      </c>
      <c r="L1989" t="str">
        <f>IF(J1989&lt;0,"A~0",VLOOKUP(J1989,[1]作法V!$B$1:$C$9,2,TRUE))</f>
        <v>A~0</v>
      </c>
    </row>
    <row r="1990" spans="1:12">
      <c r="A1990">
        <v>1144</v>
      </c>
      <c r="B1990" t="s">
        <v>27</v>
      </c>
      <c r="C1990" s="3">
        <v>38567</v>
      </c>
      <c r="D1990" s="3">
        <v>38716</v>
      </c>
      <c r="E1990" t="s">
        <v>17</v>
      </c>
      <c r="F1990">
        <v>31.684999999999999</v>
      </c>
      <c r="G1990">
        <v>990</v>
      </c>
      <c r="H1990">
        <v>31368</v>
      </c>
      <c r="I1990" s="4">
        <v>38686</v>
      </c>
      <c r="J1990" s="5">
        <f t="shared" si="62"/>
        <v>-30</v>
      </c>
      <c r="K1990" s="6" t="str">
        <f t="shared" si="63"/>
        <v>A~0</v>
      </c>
      <c r="L1990" t="str">
        <f>IF(J1990&lt;0,"A~0",VLOOKUP(J1990,[1]作法V!$B$1:$C$9,2,TRUE))</f>
        <v>A~0</v>
      </c>
    </row>
    <row r="1991" spans="1:12">
      <c r="A1991">
        <v>1144</v>
      </c>
      <c r="B1991" t="s">
        <v>27</v>
      </c>
      <c r="C1991" s="3">
        <v>38567</v>
      </c>
      <c r="D1991" s="3">
        <v>38716</v>
      </c>
      <c r="E1991" t="s">
        <v>17</v>
      </c>
      <c r="F1991">
        <v>31.684999999999999</v>
      </c>
      <c r="G1991">
        <v>714.89</v>
      </c>
      <c r="H1991">
        <v>22651</v>
      </c>
      <c r="I1991" s="4">
        <v>38686</v>
      </c>
      <c r="J1991" s="5">
        <f t="shared" si="62"/>
        <v>-30</v>
      </c>
      <c r="K1991" s="6" t="str">
        <f t="shared" si="63"/>
        <v>A~0</v>
      </c>
      <c r="L1991" t="str">
        <f>IF(J1991&lt;0,"A~0",VLOOKUP(J1991,[1]作法V!$B$1:$C$9,2,TRUE))</f>
        <v>A~0</v>
      </c>
    </row>
    <row r="1992" spans="1:12">
      <c r="A1992">
        <v>1144</v>
      </c>
      <c r="B1992" t="s">
        <v>27</v>
      </c>
      <c r="C1992" s="3">
        <v>38567</v>
      </c>
      <c r="D1992" s="3">
        <v>38716</v>
      </c>
      <c r="E1992" t="s">
        <v>17</v>
      </c>
      <c r="F1992">
        <v>31.684999999999999</v>
      </c>
      <c r="G1992">
        <v>1346</v>
      </c>
      <c r="H1992">
        <v>42648</v>
      </c>
      <c r="I1992" s="4">
        <v>38686</v>
      </c>
      <c r="J1992" s="5">
        <f t="shared" si="62"/>
        <v>-30</v>
      </c>
      <c r="K1992" s="6" t="str">
        <f t="shared" si="63"/>
        <v>A~0</v>
      </c>
      <c r="L1992" t="str">
        <f>IF(J1992&lt;0,"A~0",VLOOKUP(J1992,[1]作法V!$B$1:$C$9,2,TRUE))</f>
        <v>A~0</v>
      </c>
    </row>
    <row r="1993" spans="1:12">
      <c r="A1993">
        <v>1144</v>
      </c>
      <c r="B1993" t="s">
        <v>27</v>
      </c>
      <c r="C1993" s="3">
        <v>38572</v>
      </c>
      <c r="D1993" s="3">
        <v>38716</v>
      </c>
      <c r="E1993" t="s">
        <v>17</v>
      </c>
      <c r="F1993">
        <v>31.684999999999999</v>
      </c>
      <c r="G1993">
        <v>1000</v>
      </c>
      <c r="H1993">
        <v>31685</v>
      </c>
      <c r="I1993" s="4">
        <v>38686</v>
      </c>
      <c r="J1993" s="5">
        <f t="shared" si="62"/>
        <v>-30</v>
      </c>
      <c r="K1993" s="6" t="str">
        <f t="shared" si="63"/>
        <v>A~0</v>
      </c>
      <c r="L1993" t="str">
        <f>IF(J1993&lt;0,"A~0",VLOOKUP(J1993,[1]作法V!$B$1:$C$9,2,TRUE))</f>
        <v>A~0</v>
      </c>
    </row>
    <row r="1994" spans="1:12">
      <c r="A1994">
        <v>1144</v>
      </c>
      <c r="B1994" t="s">
        <v>27</v>
      </c>
      <c r="C1994" s="3">
        <v>38573</v>
      </c>
      <c r="D1994" s="3">
        <v>38716</v>
      </c>
      <c r="E1994" t="s">
        <v>17</v>
      </c>
      <c r="F1994">
        <v>31.684999999999999</v>
      </c>
      <c r="G1994">
        <v>198</v>
      </c>
      <c r="H1994">
        <v>6274</v>
      </c>
      <c r="I1994" s="4">
        <v>38686</v>
      </c>
      <c r="J1994" s="5">
        <f t="shared" si="62"/>
        <v>-30</v>
      </c>
      <c r="K1994" s="6" t="str">
        <f t="shared" si="63"/>
        <v>A~0</v>
      </c>
      <c r="L1994" t="str">
        <f>IF(J1994&lt;0,"A~0",VLOOKUP(J1994,[1]作法V!$B$1:$C$9,2,TRUE))</f>
        <v>A~0</v>
      </c>
    </row>
    <row r="1995" spans="1:12">
      <c r="A1995">
        <v>1144</v>
      </c>
      <c r="B1995" t="s">
        <v>27</v>
      </c>
      <c r="C1995" s="3">
        <v>38573</v>
      </c>
      <c r="D1995" s="3">
        <v>38716</v>
      </c>
      <c r="E1995" t="s">
        <v>17</v>
      </c>
      <c r="F1995">
        <v>31.684999999999999</v>
      </c>
      <c r="G1995">
        <v>2580</v>
      </c>
      <c r="H1995">
        <v>81747</v>
      </c>
      <c r="I1995" s="4">
        <v>38686</v>
      </c>
      <c r="J1995" s="5">
        <f t="shared" si="62"/>
        <v>-30</v>
      </c>
      <c r="K1995" s="6" t="str">
        <f t="shared" si="63"/>
        <v>A~0</v>
      </c>
      <c r="L1995" t="str">
        <f>IF(J1995&lt;0,"A~0",VLOOKUP(J1995,[1]作法V!$B$1:$C$9,2,TRUE))</f>
        <v>A~0</v>
      </c>
    </row>
    <row r="1996" spans="1:12">
      <c r="A1996">
        <v>1144</v>
      </c>
      <c r="B1996" t="s">
        <v>27</v>
      </c>
      <c r="C1996" s="3">
        <v>38573</v>
      </c>
      <c r="D1996" s="3">
        <v>38716</v>
      </c>
      <c r="E1996" t="s">
        <v>17</v>
      </c>
      <c r="F1996">
        <v>31.684999999999999</v>
      </c>
      <c r="G1996">
        <v>6525</v>
      </c>
      <c r="H1996">
        <v>206745</v>
      </c>
      <c r="I1996" s="4">
        <v>38686</v>
      </c>
      <c r="J1996" s="5">
        <f t="shared" si="62"/>
        <v>-30</v>
      </c>
      <c r="K1996" s="6" t="str">
        <f t="shared" si="63"/>
        <v>A~0</v>
      </c>
      <c r="L1996" t="str">
        <f>IF(J1996&lt;0,"A~0",VLOOKUP(J1996,[1]作法V!$B$1:$C$9,2,TRUE))</f>
        <v>A~0</v>
      </c>
    </row>
    <row r="1997" spans="1:12">
      <c r="A1997">
        <v>1144</v>
      </c>
      <c r="B1997" t="s">
        <v>27</v>
      </c>
      <c r="C1997" s="3">
        <v>38573</v>
      </c>
      <c r="D1997" s="3">
        <v>38716</v>
      </c>
      <c r="E1997" t="s">
        <v>17</v>
      </c>
      <c r="F1997">
        <v>31.684999999999999</v>
      </c>
      <c r="G1997">
        <v>2580</v>
      </c>
      <c r="H1997">
        <v>81747</v>
      </c>
      <c r="I1997" s="4">
        <v>38686</v>
      </c>
      <c r="J1997" s="5">
        <f t="shared" si="62"/>
        <v>-30</v>
      </c>
      <c r="K1997" s="6" t="str">
        <f t="shared" si="63"/>
        <v>A~0</v>
      </c>
      <c r="L1997" t="str">
        <f>IF(J1997&lt;0,"A~0",VLOOKUP(J1997,[1]作法V!$B$1:$C$9,2,TRUE))</f>
        <v>A~0</v>
      </c>
    </row>
    <row r="1998" spans="1:12">
      <c r="A1998">
        <v>1144</v>
      </c>
      <c r="B1998" t="s">
        <v>27</v>
      </c>
      <c r="C1998" s="3">
        <v>38573</v>
      </c>
      <c r="D1998" s="3">
        <v>38716</v>
      </c>
      <c r="E1998" t="s">
        <v>17</v>
      </c>
      <c r="F1998">
        <v>31.684999999999999</v>
      </c>
      <c r="G1998">
        <v>860</v>
      </c>
      <c r="H1998">
        <v>27249</v>
      </c>
      <c r="I1998" s="4">
        <v>38686</v>
      </c>
      <c r="J1998" s="5">
        <f t="shared" si="62"/>
        <v>-30</v>
      </c>
      <c r="K1998" s="6" t="str">
        <f t="shared" si="63"/>
        <v>A~0</v>
      </c>
      <c r="L1998" t="str">
        <f>IF(J1998&lt;0,"A~0",VLOOKUP(J1998,[1]作法V!$B$1:$C$9,2,TRUE))</f>
        <v>A~0</v>
      </c>
    </row>
    <row r="1999" spans="1:12">
      <c r="A1999">
        <v>1144</v>
      </c>
      <c r="B1999" t="s">
        <v>27</v>
      </c>
      <c r="C1999" s="3">
        <v>38575</v>
      </c>
      <c r="D1999" s="3">
        <v>38716</v>
      </c>
      <c r="E1999" t="s">
        <v>17</v>
      </c>
      <c r="F1999">
        <v>31.875</v>
      </c>
      <c r="G1999">
        <v>13050</v>
      </c>
      <c r="H1999">
        <v>415969</v>
      </c>
      <c r="I1999" s="4">
        <v>38686</v>
      </c>
      <c r="J1999" s="5">
        <f t="shared" si="62"/>
        <v>-30</v>
      </c>
      <c r="K1999" s="6" t="str">
        <f t="shared" si="63"/>
        <v>A~0</v>
      </c>
      <c r="L1999" t="str">
        <f>IF(J1999&lt;0,"A~0",VLOOKUP(J1999,[1]作法V!$B$1:$C$9,2,TRUE))</f>
        <v>A~0</v>
      </c>
    </row>
    <row r="2000" spans="1:12">
      <c r="A2000">
        <v>1144</v>
      </c>
      <c r="B2000" t="s">
        <v>27</v>
      </c>
      <c r="C2000" s="3">
        <v>38579</v>
      </c>
      <c r="D2000" s="3">
        <v>38716</v>
      </c>
      <c r="E2000" t="s">
        <v>17</v>
      </c>
      <c r="F2000">
        <v>31.875</v>
      </c>
      <c r="G2000">
        <v>18705</v>
      </c>
      <c r="H2000">
        <v>596222</v>
      </c>
      <c r="I2000" s="4">
        <v>38686</v>
      </c>
      <c r="J2000" s="5">
        <f t="shared" si="62"/>
        <v>-30</v>
      </c>
      <c r="K2000" s="6" t="str">
        <f t="shared" si="63"/>
        <v>A~0</v>
      </c>
      <c r="L2000" t="str">
        <f>IF(J2000&lt;0,"A~0",VLOOKUP(J2000,[1]作法V!$B$1:$C$9,2,TRUE))</f>
        <v>A~0</v>
      </c>
    </row>
    <row r="2001" spans="1:12">
      <c r="A2001">
        <v>1144</v>
      </c>
      <c r="B2001" t="s">
        <v>27</v>
      </c>
      <c r="C2001" s="3">
        <v>38583</v>
      </c>
      <c r="D2001" s="3">
        <v>38716</v>
      </c>
      <c r="E2001" t="s">
        <v>17</v>
      </c>
      <c r="F2001">
        <v>31.875</v>
      </c>
      <c r="G2001">
        <v>1000</v>
      </c>
      <c r="H2001">
        <v>31875</v>
      </c>
      <c r="I2001" s="4">
        <v>38686</v>
      </c>
      <c r="J2001" s="5">
        <f t="shared" si="62"/>
        <v>-30</v>
      </c>
      <c r="K2001" s="6" t="str">
        <f t="shared" si="63"/>
        <v>A~0</v>
      </c>
      <c r="L2001" t="str">
        <f>IF(J2001&lt;0,"A~0",VLOOKUP(J2001,[1]作法V!$B$1:$C$9,2,TRUE))</f>
        <v>A~0</v>
      </c>
    </row>
    <row r="2002" spans="1:12">
      <c r="A2002">
        <v>1144</v>
      </c>
      <c r="B2002" t="s">
        <v>27</v>
      </c>
      <c r="C2002" s="3">
        <v>38583</v>
      </c>
      <c r="D2002" s="3">
        <v>38716</v>
      </c>
      <c r="E2002" t="s">
        <v>17</v>
      </c>
      <c r="F2002">
        <v>31.875</v>
      </c>
      <c r="G2002">
        <v>2000</v>
      </c>
      <c r="H2002">
        <v>63750</v>
      </c>
      <c r="I2002" s="4">
        <v>38686</v>
      </c>
      <c r="J2002" s="5">
        <f t="shared" si="62"/>
        <v>-30</v>
      </c>
      <c r="K2002" s="6" t="str">
        <f t="shared" si="63"/>
        <v>A~0</v>
      </c>
      <c r="L2002" t="str">
        <f>IF(J2002&lt;0,"A~0",VLOOKUP(J2002,[1]作法V!$B$1:$C$9,2,TRUE))</f>
        <v>A~0</v>
      </c>
    </row>
    <row r="2003" spans="1:12">
      <c r="A2003">
        <v>1144</v>
      </c>
      <c r="B2003" t="s">
        <v>27</v>
      </c>
      <c r="C2003" s="3">
        <v>38586</v>
      </c>
      <c r="D2003" s="3">
        <v>38716</v>
      </c>
      <c r="E2003" t="s">
        <v>17</v>
      </c>
      <c r="F2003">
        <v>31.905000000000001</v>
      </c>
      <c r="G2003">
        <v>420</v>
      </c>
      <c r="H2003">
        <v>13400</v>
      </c>
      <c r="I2003" s="4">
        <v>38686</v>
      </c>
      <c r="J2003" s="5">
        <f t="shared" si="62"/>
        <v>-30</v>
      </c>
      <c r="K2003" s="6" t="str">
        <f t="shared" si="63"/>
        <v>A~0</v>
      </c>
      <c r="L2003" t="str">
        <f>IF(J2003&lt;0,"A~0",VLOOKUP(J2003,[1]作法V!$B$1:$C$9,2,TRUE))</f>
        <v>A~0</v>
      </c>
    </row>
    <row r="2004" spans="1:12">
      <c r="A2004">
        <v>1144</v>
      </c>
      <c r="B2004" t="s">
        <v>27</v>
      </c>
      <c r="C2004" s="3">
        <v>38588</v>
      </c>
      <c r="D2004" s="3">
        <v>38716</v>
      </c>
      <c r="E2004" t="s">
        <v>17</v>
      </c>
      <c r="F2004">
        <v>31.905000000000001</v>
      </c>
      <c r="G2004">
        <v>550</v>
      </c>
      <c r="H2004">
        <v>17548</v>
      </c>
      <c r="I2004" s="4">
        <v>38686</v>
      </c>
      <c r="J2004" s="5">
        <f t="shared" si="62"/>
        <v>-30</v>
      </c>
      <c r="K2004" s="6" t="str">
        <f t="shared" si="63"/>
        <v>A~0</v>
      </c>
      <c r="L2004" t="str">
        <f>IF(J2004&lt;0,"A~0",VLOOKUP(J2004,[1]作法V!$B$1:$C$9,2,TRUE))</f>
        <v>A~0</v>
      </c>
    </row>
    <row r="2005" spans="1:12">
      <c r="A2005">
        <v>1144</v>
      </c>
      <c r="B2005" t="s">
        <v>27</v>
      </c>
      <c r="C2005" s="3">
        <v>38590</v>
      </c>
      <c r="D2005" s="3">
        <v>38747</v>
      </c>
      <c r="E2005" t="s">
        <v>17</v>
      </c>
      <c r="F2005">
        <v>31.905000000000001</v>
      </c>
      <c r="G2005">
        <v>64.989999999999995</v>
      </c>
      <c r="H2005">
        <v>2074</v>
      </c>
      <c r="I2005" s="4">
        <v>38686</v>
      </c>
      <c r="J2005" s="5">
        <f t="shared" si="62"/>
        <v>-61</v>
      </c>
      <c r="K2005" s="6" t="str">
        <f t="shared" si="63"/>
        <v>A~0</v>
      </c>
      <c r="L2005" t="str">
        <f>IF(J2005&lt;0,"A~0",VLOOKUP(J2005,[1]作法V!$B$1:$C$9,2,TRUE))</f>
        <v>A~0</v>
      </c>
    </row>
    <row r="2006" spans="1:12">
      <c r="A2006">
        <v>1144</v>
      </c>
      <c r="B2006" t="s">
        <v>27</v>
      </c>
      <c r="C2006" s="3">
        <v>38590</v>
      </c>
      <c r="D2006" s="3">
        <v>38747</v>
      </c>
      <c r="E2006" t="s">
        <v>17</v>
      </c>
      <c r="F2006">
        <v>31.905000000000001</v>
      </c>
      <c r="G2006">
        <v>649.9</v>
      </c>
      <c r="H2006">
        <v>20735</v>
      </c>
      <c r="I2006" s="4">
        <v>38686</v>
      </c>
      <c r="J2006" s="5">
        <f t="shared" si="62"/>
        <v>-61</v>
      </c>
      <c r="K2006" s="6" t="str">
        <f t="shared" si="63"/>
        <v>A~0</v>
      </c>
      <c r="L2006" t="str">
        <f>IF(J2006&lt;0,"A~0",VLOOKUP(J2006,[1]作法V!$B$1:$C$9,2,TRUE))</f>
        <v>A~0</v>
      </c>
    </row>
    <row r="2007" spans="1:12">
      <c r="A2007">
        <v>1144</v>
      </c>
      <c r="B2007" t="s">
        <v>27</v>
      </c>
      <c r="C2007" s="3">
        <v>38614</v>
      </c>
      <c r="D2007" s="3">
        <v>38747</v>
      </c>
      <c r="E2007" t="s">
        <v>17</v>
      </c>
      <c r="F2007">
        <v>32.365000000000002</v>
      </c>
      <c r="G2007">
        <v>1949.7</v>
      </c>
      <c r="H2007">
        <v>63102</v>
      </c>
      <c r="I2007" s="4">
        <v>38686</v>
      </c>
      <c r="J2007" s="5">
        <f t="shared" si="62"/>
        <v>-61</v>
      </c>
      <c r="K2007" s="6" t="str">
        <f t="shared" si="63"/>
        <v>A~0</v>
      </c>
      <c r="L2007" t="str">
        <f>IF(J2007&lt;0,"A~0",VLOOKUP(J2007,[1]作法V!$B$1:$C$9,2,TRUE))</f>
        <v>A~0</v>
      </c>
    </row>
    <row r="2008" spans="1:12">
      <c r="A2008">
        <v>1144</v>
      </c>
      <c r="B2008" t="s">
        <v>27</v>
      </c>
      <c r="C2008" s="3">
        <v>38615</v>
      </c>
      <c r="D2008" s="3">
        <v>38747</v>
      </c>
      <c r="E2008" t="s">
        <v>17</v>
      </c>
      <c r="F2008">
        <v>32.365000000000002</v>
      </c>
      <c r="G2008">
        <v>1100</v>
      </c>
      <c r="H2008">
        <v>35602</v>
      </c>
      <c r="I2008" s="4">
        <v>38686</v>
      </c>
      <c r="J2008" s="5">
        <f t="shared" si="62"/>
        <v>-61</v>
      </c>
      <c r="K2008" s="6" t="str">
        <f t="shared" si="63"/>
        <v>A~0</v>
      </c>
      <c r="L2008" t="str">
        <f>IF(J2008&lt;0,"A~0",VLOOKUP(J2008,[1]作法V!$B$1:$C$9,2,TRUE))</f>
        <v>A~0</v>
      </c>
    </row>
    <row r="2009" spans="1:12">
      <c r="A2009">
        <v>1144</v>
      </c>
      <c r="B2009" t="s">
        <v>27</v>
      </c>
      <c r="C2009" s="3">
        <v>38618</v>
      </c>
      <c r="D2009" s="3">
        <v>38747</v>
      </c>
      <c r="E2009" t="s">
        <v>17</v>
      </c>
      <c r="F2009">
        <v>32.799999999999997</v>
      </c>
      <c r="G2009">
        <v>5655</v>
      </c>
      <c r="H2009">
        <v>185484</v>
      </c>
      <c r="I2009" s="4">
        <v>38686</v>
      </c>
      <c r="J2009" s="5">
        <f t="shared" si="62"/>
        <v>-61</v>
      </c>
      <c r="K2009" s="6" t="str">
        <f t="shared" si="63"/>
        <v>A~0</v>
      </c>
      <c r="L2009" t="str">
        <f>IF(J2009&lt;0,"A~0",VLOOKUP(J2009,[1]作法V!$B$1:$C$9,2,TRUE))</f>
        <v>A~0</v>
      </c>
    </row>
    <row r="2010" spans="1:12">
      <c r="A2010">
        <v>1144</v>
      </c>
      <c r="B2010" t="s">
        <v>27</v>
      </c>
      <c r="C2010" s="3">
        <v>38618</v>
      </c>
      <c r="D2010" s="3">
        <v>38747</v>
      </c>
      <c r="E2010" t="s">
        <v>17</v>
      </c>
      <c r="F2010">
        <v>32.799999999999997</v>
      </c>
      <c r="G2010">
        <v>1305</v>
      </c>
      <c r="H2010">
        <v>42804</v>
      </c>
      <c r="I2010" s="4">
        <v>38686</v>
      </c>
      <c r="J2010" s="5">
        <f t="shared" si="62"/>
        <v>-61</v>
      </c>
      <c r="K2010" s="6" t="str">
        <f t="shared" si="63"/>
        <v>A~0</v>
      </c>
      <c r="L2010" t="str">
        <f>IF(J2010&lt;0,"A~0",VLOOKUP(J2010,[1]作法V!$B$1:$C$9,2,TRUE))</f>
        <v>A~0</v>
      </c>
    </row>
    <row r="2011" spans="1:12">
      <c r="A2011">
        <v>1144</v>
      </c>
      <c r="B2011" t="s">
        <v>27</v>
      </c>
      <c r="C2011" s="3">
        <v>38623</v>
      </c>
      <c r="D2011" s="3">
        <v>38776</v>
      </c>
      <c r="E2011" t="s">
        <v>17</v>
      </c>
      <c r="F2011">
        <v>32.799999999999997</v>
      </c>
      <c r="G2011">
        <v>1320</v>
      </c>
      <c r="H2011">
        <v>43296</v>
      </c>
      <c r="I2011" s="4">
        <v>38686</v>
      </c>
      <c r="J2011" s="5">
        <f t="shared" si="62"/>
        <v>-90</v>
      </c>
      <c r="K2011" s="6" t="str">
        <f t="shared" si="63"/>
        <v>A~0</v>
      </c>
      <c r="L2011" t="str">
        <f>IF(J2011&lt;0,"A~0",VLOOKUP(J2011,[1]作法V!$B$1:$C$9,2,TRUE))</f>
        <v>A~0</v>
      </c>
    </row>
    <row r="2012" spans="1:12">
      <c r="A2012">
        <v>1144</v>
      </c>
      <c r="B2012" t="s">
        <v>27</v>
      </c>
      <c r="C2012" s="3">
        <v>38625</v>
      </c>
      <c r="D2012" s="3">
        <v>38776</v>
      </c>
      <c r="E2012" t="s">
        <v>17</v>
      </c>
      <c r="F2012">
        <v>32.799999999999997</v>
      </c>
      <c r="G2012">
        <v>870</v>
      </c>
      <c r="H2012">
        <v>28536</v>
      </c>
      <c r="I2012" s="4">
        <v>38686</v>
      </c>
      <c r="J2012" s="5">
        <f t="shared" si="62"/>
        <v>-90</v>
      </c>
      <c r="K2012" s="6" t="str">
        <f t="shared" si="63"/>
        <v>A~0</v>
      </c>
      <c r="L2012" t="str">
        <f>IF(J2012&lt;0,"A~0",VLOOKUP(J2012,[1]作法V!$B$1:$C$9,2,TRUE))</f>
        <v>A~0</v>
      </c>
    </row>
    <row r="2013" spans="1:12">
      <c r="A2013">
        <v>1144</v>
      </c>
      <c r="B2013" t="s">
        <v>27</v>
      </c>
      <c r="C2013" s="3">
        <v>38625</v>
      </c>
      <c r="D2013" s="3">
        <v>38776</v>
      </c>
      <c r="E2013" t="s">
        <v>17</v>
      </c>
      <c r="F2013">
        <v>32.799999999999997</v>
      </c>
      <c r="G2013">
        <v>2175</v>
      </c>
      <c r="H2013">
        <v>71340</v>
      </c>
      <c r="I2013" s="4">
        <v>38686</v>
      </c>
      <c r="J2013" s="5">
        <f t="shared" si="62"/>
        <v>-90</v>
      </c>
      <c r="K2013" s="6" t="str">
        <f t="shared" si="63"/>
        <v>A~0</v>
      </c>
      <c r="L2013" t="str">
        <f>IF(J2013&lt;0,"A~0",VLOOKUP(J2013,[1]作法V!$B$1:$C$9,2,TRUE))</f>
        <v>A~0</v>
      </c>
    </row>
    <row r="2014" spans="1:12">
      <c r="A2014">
        <v>1144</v>
      </c>
      <c r="B2014" t="s">
        <v>27</v>
      </c>
      <c r="C2014" s="3">
        <v>38632</v>
      </c>
      <c r="D2014" s="3">
        <v>38776</v>
      </c>
      <c r="E2014" t="s">
        <v>17</v>
      </c>
      <c r="F2014">
        <v>33.15</v>
      </c>
      <c r="G2014">
        <v>7830</v>
      </c>
      <c r="H2014">
        <v>259565</v>
      </c>
      <c r="I2014" s="4">
        <v>38686</v>
      </c>
      <c r="J2014" s="5">
        <f t="shared" si="62"/>
        <v>-90</v>
      </c>
      <c r="K2014" s="6" t="str">
        <f t="shared" si="63"/>
        <v>A~0</v>
      </c>
      <c r="L2014" t="str">
        <f>IF(J2014&lt;0,"A~0",VLOOKUP(J2014,[1]作法V!$B$1:$C$9,2,TRUE))</f>
        <v>A~0</v>
      </c>
    </row>
    <row r="2015" spans="1:12">
      <c r="A2015">
        <v>1144</v>
      </c>
      <c r="B2015" t="s">
        <v>27</v>
      </c>
      <c r="C2015" s="3">
        <v>38636</v>
      </c>
      <c r="D2015" s="3">
        <v>38776</v>
      </c>
      <c r="E2015" t="s">
        <v>17</v>
      </c>
      <c r="F2015">
        <v>33.195</v>
      </c>
      <c r="G2015">
        <v>980</v>
      </c>
      <c r="H2015">
        <v>32531</v>
      </c>
      <c r="I2015" s="4">
        <v>38686</v>
      </c>
      <c r="J2015" s="5">
        <f t="shared" si="62"/>
        <v>-90</v>
      </c>
      <c r="K2015" s="6" t="str">
        <f t="shared" si="63"/>
        <v>A~0</v>
      </c>
      <c r="L2015" t="str">
        <f>IF(J2015&lt;0,"A~0",VLOOKUP(J2015,[1]作法V!$B$1:$C$9,2,TRUE))</f>
        <v>A~0</v>
      </c>
    </row>
    <row r="2016" spans="1:12">
      <c r="A2016">
        <v>1144</v>
      </c>
      <c r="B2016" t="s">
        <v>27</v>
      </c>
      <c r="C2016" s="3">
        <v>38638</v>
      </c>
      <c r="D2016" s="3">
        <v>38776</v>
      </c>
      <c r="E2016" t="s">
        <v>17</v>
      </c>
      <c r="F2016">
        <v>33.195</v>
      </c>
      <c r="G2016">
        <v>2175</v>
      </c>
      <c r="H2016">
        <v>72199</v>
      </c>
      <c r="I2016" s="4">
        <v>38686</v>
      </c>
      <c r="J2016" s="5">
        <f t="shared" si="62"/>
        <v>-90</v>
      </c>
      <c r="K2016" s="6" t="str">
        <f t="shared" si="63"/>
        <v>A~0</v>
      </c>
      <c r="L2016" t="str">
        <f>IF(J2016&lt;0,"A~0",VLOOKUP(J2016,[1]作法V!$B$1:$C$9,2,TRUE))</f>
        <v>A~0</v>
      </c>
    </row>
    <row r="2017" spans="1:12">
      <c r="A2017">
        <v>1144</v>
      </c>
      <c r="B2017" t="s">
        <v>27</v>
      </c>
      <c r="C2017" s="3">
        <v>38638</v>
      </c>
      <c r="D2017" s="3">
        <v>38776</v>
      </c>
      <c r="E2017" t="s">
        <v>17</v>
      </c>
      <c r="F2017">
        <v>33.195</v>
      </c>
      <c r="G2017">
        <v>1044</v>
      </c>
      <c r="H2017">
        <v>34656</v>
      </c>
      <c r="I2017" s="4">
        <v>38686</v>
      </c>
      <c r="J2017" s="5">
        <f t="shared" si="62"/>
        <v>-90</v>
      </c>
      <c r="K2017" s="6" t="str">
        <f t="shared" si="63"/>
        <v>A~0</v>
      </c>
      <c r="L2017" t="str">
        <f>IF(J2017&lt;0,"A~0",VLOOKUP(J2017,[1]作法V!$B$1:$C$9,2,TRUE))</f>
        <v>A~0</v>
      </c>
    </row>
    <row r="2018" spans="1:12">
      <c r="A2018">
        <v>1144</v>
      </c>
      <c r="B2018" t="s">
        <v>27</v>
      </c>
      <c r="C2018" s="3">
        <v>38638</v>
      </c>
      <c r="D2018" s="3">
        <v>38776</v>
      </c>
      <c r="E2018" t="s">
        <v>17</v>
      </c>
      <c r="F2018">
        <v>33.195</v>
      </c>
      <c r="G2018">
        <v>550</v>
      </c>
      <c r="H2018">
        <v>18257</v>
      </c>
      <c r="I2018" s="4">
        <v>38686</v>
      </c>
      <c r="J2018" s="5">
        <f t="shared" si="62"/>
        <v>-90</v>
      </c>
      <c r="K2018" s="6" t="str">
        <f t="shared" si="63"/>
        <v>A~0</v>
      </c>
      <c r="L2018" t="str">
        <f>IF(J2018&lt;0,"A~0",VLOOKUP(J2018,[1]作法V!$B$1:$C$9,2,TRUE))</f>
        <v>A~0</v>
      </c>
    </row>
    <row r="2019" spans="1:12">
      <c r="A2019">
        <v>1144</v>
      </c>
      <c r="B2019" t="s">
        <v>27</v>
      </c>
      <c r="C2019" s="3">
        <v>38638</v>
      </c>
      <c r="D2019" s="3">
        <v>38776</v>
      </c>
      <c r="E2019" t="s">
        <v>17</v>
      </c>
      <c r="F2019">
        <v>33.195</v>
      </c>
      <c r="G2019">
        <v>16182</v>
      </c>
      <c r="H2019">
        <v>537161</v>
      </c>
      <c r="I2019" s="4">
        <v>38686</v>
      </c>
      <c r="J2019" s="5">
        <f t="shared" si="62"/>
        <v>-90</v>
      </c>
      <c r="K2019" s="6" t="str">
        <f t="shared" si="63"/>
        <v>A~0</v>
      </c>
      <c r="L2019" t="str">
        <f>IF(J2019&lt;0,"A~0",VLOOKUP(J2019,[1]作法V!$B$1:$C$9,2,TRUE))</f>
        <v>A~0</v>
      </c>
    </row>
    <row r="2020" spans="1:12">
      <c r="A2020">
        <v>1144</v>
      </c>
      <c r="B2020" t="s">
        <v>27</v>
      </c>
      <c r="C2020" s="3">
        <v>38642</v>
      </c>
      <c r="D2020" s="3">
        <v>38776</v>
      </c>
      <c r="E2020" t="s">
        <v>17</v>
      </c>
      <c r="F2020">
        <v>33.195</v>
      </c>
      <c r="G2020">
        <v>1960</v>
      </c>
      <c r="H2020">
        <v>65062</v>
      </c>
      <c r="I2020" s="4">
        <v>38686</v>
      </c>
      <c r="J2020" s="5">
        <f t="shared" si="62"/>
        <v>-90</v>
      </c>
      <c r="K2020" s="6" t="str">
        <f t="shared" si="63"/>
        <v>A~0</v>
      </c>
      <c r="L2020" t="str">
        <f>IF(J2020&lt;0,"A~0",VLOOKUP(J2020,[1]作法V!$B$1:$C$9,2,TRUE))</f>
        <v>A~0</v>
      </c>
    </row>
    <row r="2021" spans="1:12">
      <c r="A2021">
        <v>1144</v>
      </c>
      <c r="B2021" t="s">
        <v>27</v>
      </c>
      <c r="C2021" s="3">
        <v>38646</v>
      </c>
      <c r="D2021" s="3">
        <v>38776</v>
      </c>
      <c r="E2021" t="s">
        <v>17</v>
      </c>
      <c r="F2021">
        <v>33.4</v>
      </c>
      <c r="G2021">
        <v>1044</v>
      </c>
      <c r="H2021">
        <v>34870</v>
      </c>
      <c r="I2021" s="4">
        <v>38686</v>
      </c>
      <c r="J2021" s="5">
        <f t="shared" si="62"/>
        <v>-90</v>
      </c>
      <c r="K2021" s="6" t="str">
        <f t="shared" si="63"/>
        <v>A~0</v>
      </c>
      <c r="L2021" t="str">
        <f>IF(J2021&lt;0,"A~0",VLOOKUP(J2021,[1]作法V!$B$1:$C$9,2,TRUE))</f>
        <v>A~0</v>
      </c>
    </row>
    <row r="2022" spans="1:12">
      <c r="A2022">
        <v>1144</v>
      </c>
      <c r="B2022" t="s">
        <v>27</v>
      </c>
      <c r="C2022" s="3">
        <v>38651</v>
      </c>
      <c r="D2022" s="3">
        <v>38806</v>
      </c>
      <c r="E2022" t="s">
        <v>17</v>
      </c>
      <c r="F2022">
        <v>33.4</v>
      </c>
      <c r="G2022">
        <v>1720</v>
      </c>
      <c r="H2022">
        <v>57448</v>
      </c>
      <c r="I2022" s="4">
        <v>38686</v>
      </c>
      <c r="J2022" s="5">
        <f t="shared" si="62"/>
        <v>-120</v>
      </c>
      <c r="K2022" s="6" t="str">
        <f t="shared" si="63"/>
        <v>A~0</v>
      </c>
      <c r="L2022" t="str">
        <f>IF(J2022&lt;0,"A~0",VLOOKUP(J2022,[1]作法V!$B$1:$C$9,2,TRUE))</f>
        <v>A~0</v>
      </c>
    </row>
    <row r="2023" spans="1:12">
      <c r="A2023">
        <v>1144</v>
      </c>
      <c r="B2023" t="s">
        <v>27</v>
      </c>
      <c r="C2023" s="3">
        <v>38656</v>
      </c>
      <c r="D2023" s="3">
        <v>38806</v>
      </c>
      <c r="E2023" t="s">
        <v>17</v>
      </c>
      <c r="F2023">
        <v>33.4</v>
      </c>
      <c r="G2023">
        <v>2580</v>
      </c>
      <c r="H2023">
        <v>86172</v>
      </c>
      <c r="I2023" s="4">
        <v>38686</v>
      </c>
      <c r="J2023" s="5">
        <f t="shared" si="62"/>
        <v>-120</v>
      </c>
      <c r="K2023" s="6" t="str">
        <f t="shared" si="63"/>
        <v>A~0</v>
      </c>
      <c r="L2023" t="str">
        <f>IF(J2023&lt;0,"A~0",VLOOKUP(J2023,[1]作法V!$B$1:$C$9,2,TRUE))</f>
        <v>A~0</v>
      </c>
    </row>
    <row r="2024" spans="1:12">
      <c r="A2024">
        <v>1144</v>
      </c>
      <c r="B2024" t="s">
        <v>27</v>
      </c>
      <c r="C2024" s="3">
        <v>38658</v>
      </c>
      <c r="D2024" s="3">
        <v>38806</v>
      </c>
      <c r="E2024" t="s">
        <v>17</v>
      </c>
      <c r="F2024">
        <v>33.715000000000003</v>
      </c>
      <c r="G2024">
        <v>7830</v>
      </c>
      <c r="H2024">
        <v>263988</v>
      </c>
      <c r="I2024" s="4">
        <v>38686</v>
      </c>
      <c r="J2024" s="5">
        <f t="shared" si="62"/>
        <v>-120</v>
      </c>
      <c r="K2024" s="6" t="str">
        <f t="shared" si="63"/>
        <v>A~0</v>
      </c>
      <c r="L2024" t="str">
        <f>IF(J2024&lt;0,"A~0",VLOOKUP(J2024,[1]作法V!$B$1:$C$9,2,TRUE))</f>
        <v>A~0</v>
      </c>
    </row>
    <row r="2025" spans="1:12">
      <c r="A2025">
        <v>1144</v>
      </c>
      <c r="B2025" t="s">
        <v>27</v>
      </c>
      <c r="C2025" s="3">
        <v>38658</v>
      </c>
      <c r="D2025" s="3">
        <v>38806</v>
      </c>
      <c r="E2025" t="s">
        <v>17</v>
      </c>
      <c r="F2025">
        <v>33.715000000000003</v>
      </c>
      <c r="G2025">
        <v>1100</v>
      </c>
      <c r="H2025">
        <v>37087</v>
      </c>
      <c r="I2025" s="4">
        <v>38686</v>
      </c>
      <c r="J2025" s="5">
        <f t="shared" si="62"/>
        <v>-120</v>
      </c>
      <c r="K2025" s="6" t="str">
        <f t="shared" si="63"/>
        <v>A~0</v>
      </c>
      <c r="L2025" t="str">
        <f>IF(J2025&lt;0,"A~0",VLOOKUP(J2025,[1]作法V!$B$1:$C$9,2,TRUE))</f>
        <v>A~0</v>
      </c>
    </row>
    <row r="2026" spans="1:12">
      <c r="A2026">
        <v>1144</v>
      </c>
      <c r="B2026" t="s">
        <v>27</v>
      </c>
      <c r="C2026" s="3">
        <v>38667</v>
      </c>
      <c r="D2026" s="3">
        <v>38806</v>
      </c>
      <c r="E2026" t="s">
        <v>17</v>
      </c>
      <c r="F2026">
        <v>33.634999999999998</v>
      </c>
      <c r="G2026">
        <v>9918</v>
      </c>
      <c r="H2026">
        <v>333592</v>
      </c>
      <c r="I2026" s="4">
        <v>38686</v>
      </c>
      <c r="J2026" s="5">
        <f t="shared" si="62"/>
        <v>-120</v>
      </c>
      <c r="K2026" s="6" t="str">
        <f t="shared" si="63"/>
        <v>A~0</v>
      </c>
      <c r="L2026" t="str">
        <f>IF(J2026&lt;0,"A~0",VLOOKUP(J2026,[1]作法V!$B$1:$C$9,2,TRUE))</f>
        <v>A~0</v>
      </c>
    </row>
    <row r="2027" spans="1:12">
      <c r="A2027">
        <v>1144</v>
      </c>
      <c r="B2027" t="s">
        <v>27</v>
      </c>
      <c r="C2027" s="3">
        <v>38670</v>
      </c>
      <c r="D2027" s="3">
        <v>38806</v>
      </c>
      <c r="E2027" t="s">
        <v>17</v>
      </c>
      <c r="F2027">
        <v>33.634999999999998</v>
      </c>
      <c r="G2027">
        <v>1299.8</v>
      </c>
      <c r="H2027">
        <v>43719</v>
      </c>
      <c r="I2027" s="4">
        <v>38686</v>
      </c>
      <c r="J2027" s="5">
        <f t="shared" si="62"/>
        <v>-120</v>
      </c>
      <c r="K2027" s="6" t="str">
        <f t="shared" si="63"/>
        <v>A~0</v>
      </c>
      <c r="L2027" t="str">
        <f>IF(J2027&lt;0,"A~0",VLOOKUP(J2027,[1]作法V!$B$1:$C$9,2,TRUE))</f>
        <v>A~0</v>
      </c>
    </row>
    <row r="2028" spans="1:12">
      <c r="A2028">
        <v>1144</v>
      </c>
      <c r="B2028" t="s">
        <v>27</v>
      </c>
      <c r="C2028" s="3">
        <v>38672</v>
      </c>
      <c r="D2028" s="3">
        <v>38806</v>
      </c>
      <c r="E2028" t="s">
        <v>17</v>
      </c>
      <c r="F2028">
        <v>33.634999999999998</v>
      </c>
      <c r="G2028">
        <v>2400</v>
      </c>
      <c r="H2028">
        <v>80724</v>
      </c>
      <c r="I2028" s="4">
        <v>38686</v>
      </c>
      <c r="J2028" s="5">
        <f t="shared" si="62"/>
        <v>-120</v>
      </c>
      <c r="K2028" s="6" t="str">
        <f t="shared" si="63"/>
        <v>A~0</v>
      </c>
      <c r="L2028" t="str">
        <f>IF(J2028&lt;0,"A~0",VLOOKUP(J2028,[1]作法V!$B$1:$C$9,2,TRUE))</f>
        <v>A~0</v>
      </c>
    </row>
    <row r="2029" spans="1:12">
      <c r="A2029">
        <v>1144</v>
      </c>
      <c r="B2029" t="s">
        <v>27</v>
      </c>
      <c r="C2029" s="3">
        <v>38679</v>
      </c>
      <c r="D2029" s="3">
        <v>38806</v>
      </c>
      <c r="E2029" t="s">
        <v>17</v>
      </c>
      <c r="F2029">
        <v>33.409999999999997</v>
      </c>
      <c r="G2029">
        <v>550</v>
      </c>
      <c r="H2029">
        <v>18376</v>
      </c>
      <c r="I2029" s="4">
        <v>38686</v>
      </c>
      <c r="J2029" s="5">
        <f t="shared" si="62"/>
        <v>-120</v>
      </c>
      <c r="K2029" s="6" t="str">
        <f t="shared" si="63"/>
        <v>A~0</v>
      </c>
      <c r="L2029" t="str">
        <f>IF(J2029&lt;0,"A~0",VLOOKUP(J2029,[1]作法V!$B$1:$C$9,2,TRUE))</f>
        <v>A~0</v>
      </c>
    </row>
    <row r="2030" spans="1:12">
      <c r="A2030">
        <v>1144</v>
      </c>
      <c r="B2030" t="s">
        <v>27</v>
      </c>
      <c r="C2030" s="3">
        <v>38679</v>
      </c>
      <c r="D2030" s="3">
        <v>38806</v>
      </c>
      <c r="E2030" t="s">
        <v>17</v>
      </c>
      <c r="F2030">
        <v>33.409999999999997</v>
      </c>
      <c r="G2030">
        <v>3000</v>
      </c>
      <c r="H2030">
        <v>100230</v>
      </c>
      <c r="I2030" s="4">
        <v>38686</v>
      </c>
      <c r="J2030" s="5">
        <f t="shared" si="62"/>
        <v>-120</v>
      </c>
      <c r="K2030" s="6" t="str">
        <f t="shared" si="63"/>
        <v>A~0</v>
      </c>
      <c r="L2030" t="str">
        <f>IF(J2030&lt;0,"A~0",VLOOKUP(J2030,[1]作法V!$B$1:$C$9,2,TRUE))</f>
        <v>A~0</v>
      </c>
    </row>
    <row r="2031" spans="1:12">
      <c r="A2031">
        <v>1144</v>
      </c>
      <c r="B2031" t="s">
        <v>27</v>
      </c>
      <c r="C2031" s="3">
        <v>38679</v>
      </c>
      <c r="D2031" s="3">
        <v>38806</v>
      </c>
      <c r="E2031" t="s">
        <v>17</v>
      </c>
      <c r="F2031">
        <v>33.409999999999997</v>
      </c>
      <c r="G2031">
        <v>1100</v>
      </c>
      <c r="H2031">
        <v>36751</v>
      </c>
      <c r="I2031" s="4">
        <v>38686</v>
      </c>
      <c r="J2031" s="5">
        <f t="shared" si="62"/>
        <v>-120</v>
      </c>
      <c r="K2031" s="6" t="str">
        <f t="shared" si="63"/>
        <v>A~0</v>
      </c>
      <c r="L2031" t="str">
        <f>IF(J2031&lt;0,"A~0",VLOOKUP(J2031,[1]作法V!$B$1:$C$9,2,TRUE))</f>
        <v>A~0</v>
      </c>
    </row>
    <row r="2032" spans="1:12">
      <c r="A2032">
        <v>1144</v>
      </c>
      <c r="B2032" t="s">
        <v>27</v>
      </c>
      <c r="C2032" s="3">
        <v>38679</v>
      </c>
      <c r="D2032" s="3">
        <v>38806</v>
      </c>
      <c r="E2032" t="s">
        <v>17</v>
      </c>
      <c r="F2032">
        <v>33.409999999999997</v>
      </c>
      <c r="G2032">
        <v>825</v>
      </c>
      <c r="H2032">
        <v>27563</v>
      </c>
      <c r="I2032" s="4">
        <v>38686</v>
      </c>
      <c r="J2032" s="5">
        <f t="shared" si="62"/>
        <v>-120</v>
      </c>
      <c r="K2032" s="6" t="str">
        <f t="shared" si="63"/>
        <v>A~0</v>
      </c>
      <c r="L2032" t="str">
        <f>IF(J2032&lt;0,"A~0",VLOOKUP(J2032,[1]作法V!$B$1:$C$9,2,TRUE))</f>
        <v>A~0</v>
      </c>
    </row>
    <row r="2033" spans="1:12">
      <c r="A2033">
        <v>1144</v>
      </c>
      <c r="B2033" t="s">
        <v>27</v>
      </c>
      <c r="C2033" s="3">
        <v>38679</v>
      </c>
      <c r="D2033" s="3">
        <v>38806</v>
      </c>
      <c r="E2033" t="s">
        <v>17</v>
      </c>
      <c r="F2033">
        <v>33.409999999999997</v>
      </c>
      <c r="G2033">
        <v>550</v>
      </c>
      <c r="H2033">
        <v>18376</v>
      </c>
      <c r="I2033" s="4">
        <v>38686</v>
      </c>
      <c r="J2033" s="5">
        <f t="shared" si="62"/>
        <v>-120</v>
      </c>
      <c r="K2033" s="6" t="str">
        <f t="shared" si="63"/>
        <v>A~0</v>
      </c>
      <c r="L2033" t="str">
        <f>IF(J2033&lt;0,"A~0",VLOOKUP(J2033,[1]作法V!$B$1:$C$9,2,TRUE))</f>
        <v>A~0</v>
      </c>
    </row>
    <row r="2034" spans="1:12">
      <c r="A2034">
        <v>1144</v>
      </c>
      <c r="B2034" t="s">
        <v>27</v>
      </c>
      <c r="C2034" s="3">
        <v>38679</v>
      </c>
      <c r="D2034" s="3">
        <v>38806</v>
      </c>
      <c r="E2034" t="s">
        <v>17</v>
      </c>
      <c r="F2034">
        <v>33.409999999999997</v>
      </c>
      <c r="G2034">
        <v>516.78</v>
      </c>
      <c r="H2034">
        <v>17266</v>
      </c>
      <c r="I2034" s="4">
        <v>38686</v>
      </c>
      <c r="J2034" s="5">
        <f t="shared" si="62"/>
        <v>-120</v>
      </c>
      <c r="K2034" s="6" t="str">
        <f t="shared" si="63"/>
        <v>A~0</v>
      </c>
      <c r="L2034" t="str">
        <f>IF(J2034&lt;0,"A~0",VLOOKUP(J2034,[1]作法V!$B$1:$C$9,2,TRUE))</f>
        <v>A~0</v>
      </c>
    </row>
    <row r="2035" spans="1:12">
      <c r="A2035">
        <v>1144</v>
      </c>
      <c r="B2035" t="s">
        <v>27</v>
      </c>
      <c r="C2035" s="3">
        <v>38679</v>
      </c>
      <c r="D2035" s="3">
        <v>38806</v>
      </c>
      <c r="E2035" t="s">
        <v>17</v>
      </c>
      <c r="F2035">
        <v>33.409999999999997</v>
      </c>
      <c r="G2035">
        <v>165</v>
      </c>
      <c r="H2035">
        <v>5513</v>
      </c>
      <c r="I2035" s="4">
        <v>38686</v>
      </c>
      <c r="J2035" s="5">
        <f t="shared" si="62"/>
        <v>-120</v>
      </c>
      <c r="K2035" s="6" t="str">
        <f t="shared" si="63"/>
        <v>A~0</v>
      </c>
      <c r="L2035" t="str">
        <f>IF(J2035&lt;0,"A~0",VLOOKUP(J2035,[1]作法V!$B$1:$C$9,2,TRUE))</f>
        <v>A~0</v>
      </c>
    </row>
    <row r="2036" spans="1:12">
      <c r="A2036">
        <v>1144</v>
      </c>
      <c r="B2036" t="s">
        <v>27</v>
      </c>
      <c r="C2036" s="3">
        <v>38679</v>
      </c>
      <c r="D2036" s="3">
        <v>38806</v>
      </c>
      <c r="E2036" t="s">
        <v>17</v>
      </c>
      <c r="F2036">
        <v>33.409999999999997</v>
      </c>
      <c r="G2036">
        <v>550</v>
      </c>
      <c r="H2036">
        <v>18376</v>
      </c>
      <c r="I2036" s="4">
        <v>38686</v>
      </c>
      <c r="J2036" s="5">
        <f t="shared" si="62"/>
        <v>-120</v>
      </c>
      <c r="K2036" s="6" t="str">
        <f t="shared" si="63"/>
        <v>A~0</v>
      </c>
      <c r="L2036" t="str">
        <f>IF(J2036&lt;0,"A~0",VLOOKUP(J2036,[1]作法V!$B$1:$C$9,2,TRUE))</f>
        <v>A~0</v>
      </c>
    </row>
    <row r="2037" spans="1:12">
      <c r="A2037">
        <v>1144</v>
      </c>
      <c r="B2037" t="s">
        <v>27</v>
      </c>
      <c r="C2037" s="3">
        <v>38681</v>
      </c>
      <c r="D2037" s="3">
        <v>38837</v>
      </c>
      <c r="E2037" t="s">
        <v>17</v>
      </c>
      <c r="F2037">
        <v>33.409999999999997</v>
      </c>
      <c r="G2037">
        <v>2610</v>
      </c>
      <c r="H2037">
        <v>87200</v>
      </c>
      <c r="I2037" s="4">
        <v>38686</v>
      </c>
      <c r="J2037" s="5">
        <f t="shared" si="62"/>
        <v>-151</v>
      </c>
      <c r="K2037" s="6" t="str">
        <f t="shared" si="63"/>
        <v>A~0</v>
      </c>
      <c r="L2037" t="str">
        <f>IF(J2037&lt;0,"A~0",VLOOKUP(J2037,[1]作法V!$B$1:$C$9,2,TRUE))</f>
        <v>A~0</v>
      </c>
    </row>
    <row r="2038" spans="1:12">
      <c r="A2038">
        <v>1144</v>
      </c>
      <c r="B2038" t="s">
        <v>27</v>
      </c>
      <c r="C2038" s="3">
        <v>38684</v>
      </c>
      <c r="D2038" s="3">
        <v>38837</v>
      </c>
      <c r="E2038" t="s">
        <v>17</v>
      </c>
      <c r="F2038">
        <v>33.409999999999997</v>
      </c>
      <c r="G2038">
        <v>3659.22</v>
      </c>
      <c r="H2038">
        <v>122255</v>
      </c>
      <c r="I2038" s="4">
        <v>38686</v>
      </c>
      <c r="J2038" s="5">
        <f t="shared" si="62"/>
        <v>-151</v>
      </c>
      <c r="K2038" s="6" t="str">
        <f t="shared" si="63"/>
        <v>A~0</v>
      </c>
      <c r="L2038" t="str">
        <f>IF(J2038&lt;0,"A~0",VLOOKUP(J2038,[1]作法V!$B$1:$C$9,2,TRUE))</f>
        <v>A~0</v>
      </c>
    </row>
    <row r="2039" spans="1:12">
      <c r="A2039">
        <v>1149</v>
      </c>
      <c r="B2039" t="s">
        <v>28</v>
      </c>
      <c r="C2039" s="3">
        <v>38594</v>
      </c>
      <c r="D2039" s="3">
        <v>38727</v>
      </c>
      <c r="E2039" t="s">
        <v>18</v>
      </c>
      <c r="F2039">
        <v>1</v>
      </c>
      <c r="G2039">
        <v>91752</v>
      </c>
      <c r="H2039">
        <v>91752</v>
      </c>
      <c r="I2039" s="4">
        <v>38686</v>
      </c>
      <c r="J2039" s="5">
        <f t="shared" si="62"/>
        <v>-41</v>
      </c>
      <c r="K2039" s="6" t="str">
        <f t="shared" si="63"/>
        <v>A~0</v>
      </c>
      <c r="L2039" t="str">
        <f>IF(J2039&lt;0,"A~0",VLOOKUP(J2039,[1]作法V!$B$1:$C$9,2,TRUE))</f>
        <v>A~0</v>
      </c>
    </row>
    <row r="2040" spans="1:12">
      <c r="A2040">
        <v>1149</v>
      </c>
      <c r="B2040" t="s">
        <v>28</v>
      </c>
      <c r="C2040" s="3">
        <v>38594</v>
      </c>
      <c r="D2040" s="3">
        <v>38727</v>
      </c>
      <c r="E2040" t="s">
        <v>18</v>
      </c>
      <c r="F2040">
        <v>1</v>
      </c>
      <c r="G2040">
        <v>125840</v>
      </c>
      <c r="H2040">
        <v>125840</v>
      </c>
      <c r="I2040" s="4">
        <v>38686</v>
      </c>
      <c r="J2040" s="5">
        <f t="shared" si="62"/>
        <v>-41</v>
      </c>
      <c r="K2040" s="6" t="str">
        <f t="shared" si="63"/>
        <v>A~0</v>
      </c>
      <c r="L2040" t="str">
        <f>IF(J2040&lt;0,"A~0",VLOOKUP(J2040,[1]作法V!$B$1:$C$9,2,TRUE))</f>
        <v>A~0</v>
      </c>
    </row>
    <row r="2041" spans="1:12">
      <c r="A2041">
        <v>1149</v>
      </c>
      <c r="B2041" t="s">
        <v>28</v>
      </c>
      <c r="C2041" s="3">
        <v>38611</v>
      </c>
      <c r="D2041" s="3">
        <v>38727</v>
      </c>
      <c r="E2041" t="s">
        <v>18</v>
      </c>
      <c r="F2041">
        <v>1</v>
      </c>
      <c r="G2041">
        <v>665250</v>
      </c>
      <c r="H2041">
        <v>665250</v>
      </c>
      <c r="I2041" s="4">
        <v>38686</v>
      </c>
      <c r="J2041" s="5">
        <f t="shared" si="62"/>
        <v>-41</v>
      </c>
      <c r="K2041" s="6" t="str">
        <f t="shared" si="63"/>
        <v>A~0</v>
      </c>
      <c r="L2041" t="str">
        <f>IF(J2041&lt;0,"A~0",VLOOKUP(J2041,[1]作法V!$B$1:$C$9,2,TRUE))</f>
        <v>A~0</v>
      </c>
    </row>
    <row r="2042" spans="1:12">
      <c r="A2042">
        <v>1149</v>
      </c>
      <c r="B2042" t="s">
        <v>28</v>
      </c>
      <c r="C2042" s="3">
        <v>38611</v>
      </c>
      <c r="D2042" s="3">
        <v>38727</v>
      </c>
      <c r="E2042" t="s">
        <v>18</v>
      </c>
      <c r="F2042">
        <v>1</v>
      </c>
      <c r="G2042">
        <v>33350</v>
      </c>
      <c r="H2042">
        <v>33350</v>
      </c>
      <c r="I2042" s="4">
        <v>38686</v>
      </c>
      <c r="J2042" s="5">
        <f t="shared" si="62"/>
        <v>-41</v>
      </c>
      <c r="K2042" s="6" t="str">
        <f t="shared" si="63"/>
        <v>A~0</v>
      </c>
      <c r="L2042" t="str">
        <f>IF(J2042&lt;0,"A~0",VLOOKUP(J2042,[1]作法V!$B$1:$C$9,2,TRUE))</f>
        <v>A~0</v>
      </c>
    </row>
    <row r="2043" spans="1:12">
      <c r="A2043">
        <v>1149</v>
      </c>
      <c r="B2043" t="s">
        <v>28</v>
      </c>
      <c r="C2043" s="3">
        <v>38611</v>
      </c>
      <c r="D2043" s="3">
        <v>38727</v>
      </c>
      <c r="E2043" t="s">
        <v>18</v>
      </c>
      <c r="F2043">
        <v>1</v>
      </c>
      <c r="G2043">
        <v>449749</v>
      </c>
      <c r="H2043">
        <v>449749</v>
      </c>
      <c r="I2043" s="4">
        <v>38686</v>
      </c>
      <c r="J2043" s="5">
        <f t="shared" si="62"/>
        <v>-41</v>
      </c>
      <c r="K2043" s="6" t="str">
        <f t="shared" si="63"/>
        <v>A~0</v>
      </c>
      <c r="L2043" t="str">
        <f>IF(J2043&lt;0,"A~0",VLOOKUP(J2043,[1]作法V!$B$1:$C$9,2,TRUE))</f>
        <v>A~0</v>
      </c>
    </row>
    <row r="2044" spans="1:12">
      <c r="A2044">
        <v>1149</v>
      </c>
      <c r="B2044" t="s">
        <v>28</v>
      </c>
      <c r="C2044" s="3">
        <v>38611</v>
      </c>
      <c r="D2044" s="3">
        <v>38727</v>
      </c>
      <c r="E2044" t="s">
        <v>18</v>
      </c>
      <c r="F2044">
        <v>1</v>
      </c>
      <c r="G2044">
        <v>39600</v>
      </c>
      <c r="H2044">
        <v>39600</v>
      </c>
      <c r="I2044" s="4">
        <v>38686</v>
      </c>
      <c r="J2044" s="5">
        <f t="shared" si="62"/>
        <v>-41</v>
      </c>
      <c r="K2044" s="6" t="str">
        <f t="shared" si="63"/>
        <v>A~0</v>
      </c>
      <c r="L2044" t="str">
        <f>IF(J2044&lt;0,"A~0",VLOOKUP(J2044,[1]作法V!$B$1:$C$9,2,TRUE))</f>
        <v>A~0</v>
      </c>
    </row>
    <row r="2045" spans="1:12">
      <c r="A2045">
        <v>1149</v>
      </c>
      <c r="B2045" t="s">
        <v>28</v>
      </c>
      <c r="C2045" s="3">
        <v>38616</v>
      </c>
      <c r="D2045" s="3">
        <v>38727</v>
      </c>
      <c r="E2045" t="s">
        <v>18</v>
      </c>
      <c r="F2045">
        <v>1</v>
      </c>
      <c r="G2045">
        <v>43822</v>
      </c>
      <c r="H2045">
        <v>43822</v>
      </c>
      <c r="I2045" s="4">
        <v>38686</v>
      </c>
      <c r="J2045" s="5">
        <f t="shared" si="62"/>
        <v>-41</v>
      </c>
      <c r="K2045" s="6" t="str">
        <f t="shared" si="63"/>
        <v>A~0</v>
      </c>
      <c r="L2045" t="str">
        <f>IF(J2045&lt;0,"A~0",VLOOKUP(J2045,[1]作法V!$B$1:$C$9,2,TRUE))</f>
        <v>A~0</v>
      </c>
    </row>
    <row r="2046" spans="1:12">
      <c r="A2046">
        <v>1149</v>
      </c>
      <c r="B2046" t="s">
        <v>28</v>
      </c>
      <c r="C2046" s="3">
        <v>38636</v>
      </c>
      <c r="D2046" s="3">
        <v>38758</v>
      </c>
      <c r="E2046" t="s">
        <v>18</v>
      </c>
      <c r="F2046">
        <v>1</v>
      </c>
      <c r="G2046">
        <v>115400</v>
      </c>
      <c r="H2046">
        <v>115400</v>
      </c>
      <c r="I2046" s="4">
        <v>38686</v>
      </c>
      <c r="J2046" s="5">
        <f t="shared" si="62"/>
        <v>-72</v>
      </c>
      <c r="K2046" s="6" t="str">
        <f t="shared" si="63"/>
        <v>A~0</v>
      </c>
      <c r="L2046" t="str">
        <f>IF(J2046&lt;0,"A~0",VLOOKUP(J2046,[1]作法V!$B$1:$C$9,2,TRUE))</f>
        <v>A~0</v>
      </c>
    </row>
    <row r="2047" spans="1:12">
      <c r="A2047">
        <v>1149</v>
      </c>
      <c r="B2047" t="s">
        <v>28</v>
      </c>
      <c r="C2047" s="3">
        <v>38636</v>
      </c>
      <c r="D2047" s="3">
        <v>38758</v>
      </c>
      <c r="E2047" t="s">
        <v>18</v>
      </c>
      <c r="F2047">
        <v>1</v>
      </c>
      <c r="G2047">
        <v>145328</v>
      </c>
      <c r="H2047">
        <v>145328</v>
      </c>
      <c r="I2047" s="4">
        <v>38686</v>
      </c>
      <c r="J2047" s="5">
        <f t="shared" si="62"/>
        <v>-72</v>
      </c>
      <c r="K2047" s="6" t="str">
        <f t="shared" si="63"/>
        <v>A~0</v>
      </c>
      <c r="L2047" t="str">
        <f>IF(J2047&lt;0,"A~0",VLOOKUP(J2047,[1]作法V!$B$1:$C$9,2,TRUE))</f>
        <v>A~0</v>
      </c>
    </row>
    <row r="2048" spans="1:12">
      <c r="A2048">
        <v>1149</v>
      </c>
      <c r="B2048" t="s">
        <v>28</v>
      </c>
      <c r="C2048" s="3">
        <v>38636</v>
      </c>
      <c r="D2048" s="3">
        <v>38758</v>
      </c>
      <c r="E2048" t="s">
        <v>18</v>
      </c>
      <c r="F2048">
        <v>1</v>
      </c>
      <c r="G2048">
        <v>35960</v>
      </c>
      <c r="H2048">
        <v>35960</v>
      </c>
      <c r="I2048" s="4">
        <v>38686</v>
      </c>
      <c r="J2048" s="5">
        <f t="shared" si="62"/>
        <v>-72</v>
      </c>
      <c r="K2048" s="6" t="str">
        <f t="shared" si="63"/>
        <v>A~0</v>
      </c>
      <c r="L2048" t="str">
        <f>IF(J2048&lt;0,"A~0",VLOOKUP(J2048,[1]作法V!$B$1:$C$9,2,TRUE))</f>
        <v>A~0</v>
      </c>
    </row>
    <row r="2049" spans="1:12">
      <c r="A2049">
        <v>1149</v>
      </c>
      <c r="B2049" t="s">
        <v>28</v>
      </c>
      <c r="C2049" s="3">
        <v>38646</v>
      </c>
      <c r="D2049" s="3">
        <v>38758</v>
      </c>
      <c r="E2049" t="s">
        <v>18</v>
      </c>
      <c r="F2049">
        <v>1</v>
      </c>
      <c r="G2049">
        <v>39600</v>
      </c>
      <c r="H2049">
        <v>39600</v>
      </c>
      <c r="I2049" s="4">
        <v>38686</v>
      </c>
      <c r="J2049" s="5">
        <f t="shared" si="62"/>
        <v>-72</v>
      </c>
      <c r="K2049" s="6" t="str">
        <f t="shared" si="63"/>
        <v>A~0</v>
      </c>
      <c r="L2049" t="str">
        <f>IF(J2049&lt;0,"A~0",VLOOKUP(J2049,[1]作法V!$B$1:$C$9,2,TRUE))</f>
        <v>A~0</v>
      </c>
    </row>
    <row r="2050" spans="1:12">
      <c r="A2050">
        <v>1149</v>
      </c>
      <c r="B2050" t="s">
        <v>28</v>
      </c>
      <c r="C2050" s="3">
        <v>38646</v>
      </c>
      <c r="D2050" s="3">
        <v>38758</v>
      </c>
      <c r="E2050" t="s">
        <v>18</v>
      </c>
      <c r="F2050">
        <v>1</v>
      </c>
      <c r="G2050">
        <v>67580</v>
      </c>
      <c r="H2050">
        <v>67580</v>
      </c>
      <c r="I2050" s="4">
        <v>38686</v>
      </c>
      <c r="J2050" s="5">
        <f t="shared" ref="J2050:J2113" si="64">I2050-D2050</f>
        <v>-72</v>
      </c>
      <c r="K2050" s="6" t="str">
        <f t="shared" ref="K2050:K2113" si="65">IF(J2050&lt;1,"A~0",IF(J2050&lt;31,"B1~30",IF(J2050&lt;61,"C31~60",IF(J2050&lt;91,"D61~90",IF(J2050&lt;121,"E91~120",IF(J2050&lt;181,"F121~180",IF(J2050&lt;361,"G181~360","H361~")))))))</f>
        <v>A~0</v>
      </c>
      <c r="L2050" t="str">
        <f>IF(J2050&lt;0,"A~0",VLOOKUP(J2050,[1]作法V!$B$1:$C$9,2,TRUE))</f>
        <v>A~0</v>
      </c>
    </row>
    <row r="2051" spans="1:12">
      <c r="A2051">
        <v>1149</v>
      </c>
      <c r="B2051" t="s">
        <v>28</v>
      </c>
      <c r="C2051" s="3">
        <v>38646</v>
      </c>
      <c r="D2051" s="3">
        <v>38758</v>
      </c>
      <c r="E2051" t="s">
        <v>18</v>
      </c>
      <c r="F2051">
        <v>1</v>
      </c>
      <c r="G2051">
        <v>50220</v>
      </c>
      <c r="H2051">
        <v>50220</v>
      </c>
      <c r="I2051" s="4">
        <v>38686</v>
      </c>
      <c r="J2051" s="5">
        <f t="shared" si="64"/>
        <v>-72</v>
      </c>
      <c r="K2051" s="6" t="str">
        <f t="shared" si="65"/>
        <v>A~0</v>
      </c>
      <c r="L2051" t="str">
        <f>IF(J2051&lt;0,"A~0",VLOOKUP(J2051,[1]作法V!$B$1:$C$9,2,TRUE))</f>
        <v>A~0</v>
      </c>
    </row>
    <row r="2052" spans="1:12">
      <c r="A2052">
        <v>1149</v>
      </c>
      <c r="B2052" t="s">
        <v>28</v>
      </c>
      <c r="C2052" s="3">
        <v>38646</v>
      </c>
      <c r="D2052" s="3">
        <v>38758</v>
      </c>
      <c r="E2052" t="s">
        <v>18</v>
      </c>
      <c r="F2052">
        <v>1</v>
      </c>
      <c r="G2052">
        <v>16500</v>
      </c>
      <c r="H2052">
        <v>16500</v>
      </c>
      <c r="I2052" s="4">
        <v>38686</v>
      </c>
      <c r="J2052" s="5">
        <f t="shared" si="64"/>
        <v>-72</v>
      </c>
      <c r="K2052" s="6" t="str">
        <f t="shared" si="65"/>
        <v>A~0</v>
      </c>
      <c r="L2052" t="str">
        <f>IF(J2052&lt;0,"A~0",VLOOKUP(J2052,[1]作法V!$B$1:$C$9,2,TRUE))</f>
        <v>A~0</v>
      </c>
    </row>
    <row r="2053" spans="1:12">
      <c r="A2053">
        <v>1149</v>
      </c>
      <c r="B2053" t="s">
        <v>28</v>
      </c>
      <c r="C2053" s="3">
        <v>38656</v>
      </c>
      <c r="D2053" s="3">
        <v>38786</v>
      </c>
      <c r="E2053" t="s">
        <v>18</v>
      </c>
      <c r="F2053">
        <v>1</v>
      </c>
      <c r="G2053">
        <v>15300</v>
      </c>
      <c r="H2053">
        <v>15300</v>
      </c>
      <c r="I2053" s="4">
        <v>38686</v>
      </c>
      <c r="J2053" s="5">
        <f t="shared" si="64"/>
        <v>-100</v>
      </c>
      <c r="K2053" s="6" t="str">
        <f t="shared" si="65"/>
        <v>A~0</v>
      </c>
      <c r="L2053" t="str">
        <f>IF(J2053&lt;0,"A~0",VLOOKUP(J2053,[1]作法V!$B$1:$C$9,2,TRUE))</f>
        <v>A~0</v>
      </c>
    </row>
    <row r="2054" spans="1:12">
      <c r="A2054">
        <v>1149</v>
      </c>
      <c r="B2054" t="s">
        <v>28</v>
      </c>
      <c r="C2054" s="3">
        <v>38656</v>
      </c>
      <c r="D2054" s="3">
        <v>38786</v>
      </c>
      <c r="E2054" t="s">
        <v>18</v>
      </c>
      <c r="F2054">
        <v>1</v>
      </c>
      <c r="G2054">
        <v>6820</v>
      </c>
      <c r="H2054">
        <v>6820</v>
      </c>
      <c r="I2054" s="4">
        <v>38686</v>
      </c>
      <c r="J2054" s="5">
        <f t="shared" si="64"/>
        <v>-100</v>
      </c>
      <c r="K2054" s="6" t="str">
        <f t="shared" si="65"/>
        <v>A~0</v>
      </c>
      <c r="L2054" t="str">
        <f>IF(J2054&lt;0,"A~0",VLOOKUP(J2054,[1]作法V!$B$1:$C$9,2,TRUE))</f>
        <v>A~0</v>
      </c>
    </row>
    <row r="2055" spans="1:12">
      <c r="A2055">
        <v>1149</v>
      </c>
      <c r="B2055" t="s">
        <v>28</v>
      </c>
      <c r="C2055" s="3">
        <v>38656</v>
      </c>
      <c r="D2055" s="3">
        <v>38786</v>
      </c>
      <c r="E2055" t="s">
        <v>18</v>
      </c>
      <c r="F2055">
        <v>1</v>
      </c>
      <c r="G2055">
        <v>30000</v>
      </c>
      <c r="H2055">
        <v>30000</v>
      </c>
      <c r="I2055" s="4">
        <v>38686</v>
      </c>
      <c r="J2055" s="5">
        <f t="shared" si="64"/>
        <v>-100</v>
      </c>
      <c r="K2055" s="6" t="str">
        <f t="shared" si="65"/>
        <v>A~0</v>
      </c>
      <c r="L2055" t="str">
        <f>IF(J2055&lt;0,"A~0",VLOOKUP(J2055,[1]作法V!$B$1:$C$9,2,TRUE))</f>
        <v>A~0</v>
      </c>
    </row>
    <row r="2056" spans="1:12">
      <c r="A2056">
        <v>1149</v>
      </c>
      <c r="B2056" t="s">
        <v>28</v>
      </c>
      <c r="C2056" s="3">
        <v>38656</v>
      </c>
      <c r="D2056" s="3">
        <v>38786</v>
      </c>
      <c r="E2056" t="s">
        <v>18</v>
      </c>
      <c r="F2056">
        <v>1</v>
      </c>
      <c r="G2056">
        <v>6300</v>
      </c>
      <c r="H2056">
        <v>6300</v>
      </c>
      <c r="I2056" s="4">
        <v>38686</v>
      </c>
      <c r="J2056" s="5">
        <f t="shared" si="64"/>
        <v>-100</v>
      </c>
      <c r="K2056" s="6" t="str">
        <f t="shared" si="65"/>
        <v>A~0</v>
      </c>
      <c r="L2056" t="str">
        <f>IF(J2056&lt;0,"A~0",VLOOKUP(J2056,[1]作法V!$B$1:$C$9,2,TRUE))</f>
        <v>A~0</v>
      </c>
    </row>
    <row r="2057" spans="1:12">
      <c r="A2057">
        <v>1149</v>
      </c>
      <c r="B2057" t="s">
        <v>28</v>
      </c>
      <c r="C2057" s="3">
        <v>38656</v>
      </c>
      <c r="D2057" s="3">
        <v>38786</v>
      </c>
      <c r="E2057" t="s">
        <v>18</v>
      </c>
      <c r="F2057">
        <v>1</v>
      </c>
      <c r="G2057">
        <v>49600</v>
      </c>
      <c r="H2057">
        <v>49600</v>
      </c>
      <c r="I2057" s="4">
        <v>38686</v>
      </c>
      <c r="J2057" s="5">
        <f t="shared" si="64"/>
        <v>-100</v>
      </c>
      <c r="K2057" s="6" t="str">
        <f t="shared" si="65"/>
        <v>A~0</v>
      </c>
      <c r="L2057" t="str">
        <f>IF(J2057&lt;0,"A~0",VLOOKUP(J2057,[1]作法V!$B$1:$C$9,2,TRUE))</f>
        <v>A~0</v>
      </c>
    </row>
    <row r="2058" spans="1:12">
      <c r="A2058">
        <v>1149</v>
      </c>
      <c r="B2058" t="s">
        <v>28</v>
      </c>
      <c r="C2058" s="3">
        <v>38656</v>
      </c>
      <c r="D2058" s="3">
        <v>38786</v>
      </c>
      <c r="E2058" t="s">
        <v>18</v>
      </c>
      <c r="F2058">
        <v>1</v>
      </c>
      <c r="G2058">
        <v>3000</v>
      </c>
      <c r="H2058">
        <v>3000</v>
      </c>
      <c r="I2058" s="4">
        <v>38686</v>
      </c>
      <c r="J2058" s="5">
        <f t="shared" si="64"/>
        <v>-100</v>
      </c>
      <c r="K2058" s="6" t="str">
        <f t="shared" si="65"/>
        <v>A~0</v>
      </c>
      <c r="L2058" t="str">
        <f>IF(J2058&lt;0,"A~0",VLOOKUP(J2058,[1]作法V!$B$1:$C$9,2,TRUE))</f>
        <v>A~0</v>
      </c>
    </row>
    <row r="2059" spans="1:12">
      <c r="A2059">
        <v>1149</v>
      </c>
      <c r="B2059" t="s">
        <v>28</v>
      </c>
      <c r="C2059" s="3">
        <v>38656</v>
      </c>
      <c r="D2059" s="3">
        <v>38786</v>
      </c>
      <c r="E2059" t="s">
        <v>18</v>
      </c>
      <c r="F2059">
        <v>1</v>
      </c>
      <c r="G2059">
        <v>21300</v>
      </c>
      <c r="H2059">
        <v>21300</v>
      </c>
      <c r="I2059" s="4">
        <v>38686</v>
      </c>
      <c r="J2059" s="5">
        <f t="shared" si="64"/>
        <v>-100</v>
      </c>
      <c r="K2059" s="6" t="str">
        <f t="shared" si="65"/>
        <v>A~0</v>
      </c>
      <c r="L2059" t="str">
        <f>IF(J2059&lt;0,"A~0",VLOOKUP(J2059,[1]作法V!$B$1:$C$9,2,TRUE))</f>
        <v>A~0</v>
      </c>
    </row>
    <row r="2060" spans="1:12">
      <c r="A2060">
        <v>1149</v>
      </c>
      <c r="B2060" t="s">
        <v>28</v>
      </c>
      <c r="C2060" s="3">
        <v>38656</v>
      </c>
      <c r="D2060" s="3">
        <v>38786</v>
      </c>
      <c r="E2060" t="s">
        <v>18</v>
      </c>
      <c r="F2060">
        <v>1</v>
      </c>
      <c r="G2060">
        <v>5400</v>
      </c>
      <c r="H2060">
        <v>5400</v>
      </c>
      <c r="I2060" s="4">
        <v>38686</v>
      </c>
      <c r="J2060" s="5">
        <f t="shared" si="64"/>
        <v>-100</v>
      </c>
      <c r="K2060" s="6" t="str">
        <f t="shared" si="65"/>
        <v>A~0</v>
      </c>
      <c r="L2060" t="str">
        <f>IF(J2060&lt;0,"A~0",VLOOKUP(J2060,[1]作法V!$B$1:$C$9,2,TRUE))</f>
        <v>A~0</v>
      </c>
    </row>
    <row r="2061" spans="1:12">
      <c r="A2061">
        <v>1149</v>
      </c>
      <c r="B2061" t="s">
        <v>28</v>
      </c>
      <c r="C2061" s="3">
        <v>38656</v>
      </c>
      <c r="D2061" s="3">
        <v>38786</v>
      </c>
      <c r="E2061" t="s">
        <v>18</v>
      </c>
      <c r="F2061">
        <v>1</v>
      </c>
      <c r="G2061">
        <v>8400</v>
      </c>
      <c r="H2061">
        <v>8400</v>
      </c>
      <c r="I2061" s="4">
        <v>38686</v>
      </c>
      <c r="J2061" s="5">
        <f t="shared" si="64"/>
        <v>-100</v>
      </c>
      <c r="K2061" s="6" t="str">
        <f t="shared" si="65"/>
        <v>A~0</v>
      </c>
      <c r="L2061" t="str">
        <f>IF(J2061&lt;0,"A~0",VLOOKUP(J2061,[1]作法V!$B$1:$C$9,2,TRUE))</f>
        <v>A~0</v>
      </c>
    </row>
    <row r="2062" spans="1:12">
      <c r="A2062">
        <v>1149</v>
      </c>
      <c r="B2062" t="s">
        <v>28</v>
      </c>
      <c r="C2062" s="3">
        <v>38656</v>
      </c>
      <c r="D2062" s="3">
        <v>38786</v>
      </c>
      <c r="E2062" t="s">
        <v>18</v>
      </c>
      <c r="F2062">
        <v>1</v>
      </c>
      <c r="G2062">
        <v>8100</v>
      </c>
      <c r="H2062">
        <v>8100</v>
      </c>
      <c r="I2062" s="4">
        <v>38686</v>
      </c>
      <c r="J2062" s="5">
        <f t="shared" si="64"/>
        <v>-100</v>
      </c>
      <c r="K2062" s="6" t="str">
        <f t="shared" si="65"/>
        <v>A~0</v>
      </c>
      <c r="L2062" t="str">
        <f>IF(J2062&lt;0,"A~0",VLOOKUP(J2062,[1]作法V!$B$1:$C$9,2,TRUE))</f>
        <v>A~0</v>
      </c>
    </row>
    <row r="2063" spans="1:12">
      <c r="A2063">
        <v>1149</v>
      </c>
      <c r="B2063" t="s">
        <v>28</v>
      </c>
      <c r="C2063" s="3">
        <v>38656</v>
      </c>
      <c r="D2063" s="3">
        <v>38786</v>
      </c>
      <c r="E2063" t="s">
        <v>18</v>
      </c>
      <c r="F2063">
        <v>1</v>
      </c>
      <c r="G2063">
        <v>16500</v>
      </c>
      <c r="H2063">
        <v>16500</v>
      </c>
      <c r="I2063" s="4">
        <v>38686</v>
      </c>
      <c r="J2063" s="5">
        <f t="shared" si="64"/>
        <v>-100</v>
      </c>
      <c r="K2063" s="6" t="str">
        <f t="shared" si="65"/>
        <v>A~0</v>
      </c>
      <c r="L2063" t="str">
        <f>IF(J2063&lt;0,"A~0",VLOOKUP(J2063,[1]作法V!$B$1:$C$9,2,TRUE))</f>
        <v>A~0</v>
      </c>
    </row>
    <row r="2064" spans="1:12">
      <c r="A2064">
        <v>1149</v>
      </c>
      <c r="B2064" t="s">
        <v>28</v>
      </c>
      <c r="C2064" s="3">
        <v>38656</v>
      </c>
      <c r="D2064" s="3">
        <v>38786</v>
      </c>
      <c r="E2064" t="s">
        <v>18</v>
      </c>
      <c r="F2064">
        <v>1</v>
      </c>
      <c r="G2064">
        <v>11780</v>
      </c>
      <c r="H2064">
        <v>11780</v>
      </c>
      <c r="I2064" s="4">
        <v>38686</v>
      </c>
      <c r="J2064" s="5">
        <f t="shared" si="64"/>
        <v>-100</v>
      </c>
      <c r="K2064" s="6" t="str">
        <f t="shared" si="65"/>
        <v>A~0</v>
      </c>
      <c r="L2064" t="str">
        <f>IF(J2064&lt;0,"A~0",VLOOKUP(J2064,[1]作法V!$B$1:$C$9,2,TRUE))</f>
        <v>A~0</v>
      </c>
    </row>
    <row r="2065" spans="1:12">
      <c r="A2065">
        <v>1149</v>
      </c>
      <c r="B2065" t="s">
        <v>28</v>
      </c>
      <c r="C2065" s="3">
        <v>38663</v>
      </c>
      <c r="D2065" s="3">
        <v>38786</v>
      </c>
      <c r="E2065" t="s">
        <v>18</v>
      </c>
      <c r="F2065">
        <v>1</v>
      </c>
      <c r="G2065">
        <v>9900</v>
      </c>
      <c r="H2065">
        <v>9900</v>
      </c>
      <c r="I2065" s="4">
        <v>38686</v>
      </c>
      <c r="J2065" s="5">
        <f t="shared" si="64"/>
        <v>-100</v>
      </c>
      <c r="K2065" s="6" t="str">
        <f t="shared" si="65"/>
        <v>A~0</v>
      </c>
      <c r="L2065" t="str">
        <f>IF(J2065&lt;0,"A~0",VLOOKUP(J2065,[1]作法V!$B$1:$C$9,2,TRUE))</f>
        <v>A~0</v>
      </c>
    </row>
    <row r="2066" spans="1:12">
      <c r="A2066">
        <v>1149</v>
      </c>
      <c r="B2066" t="s">
        <v>28</v>
      </c>
      <c r="C2066" s="3">
        <v>38663</v>
      </c>
      <c r="D2066" s="3">
        <v>38786</v>
      </c>
      <c r="E2066" t="s">
        <v>18</v>
      </c>
      <c r="F2066">
        <v>1</v>
      </c>
      <c r="G2066">
        <v>14850</v>
      </c>
      <c r="H2066">
        <v>14850</v>
      </c>
      <c r="I2066" s="4">
        <v>38686</v>
      </c>
      <c r="J2066" s="5">
        <f t="shared" si="64"/>
        <v>-100</v>
      </c>
      <c r="K2066" s="6" t="str">
        <f t="shared" si="65"/>
        <v>A~0</v>
      </c>
      <c r="L2066" t="str">
        <f>IF(J2066&lt;0,"A~0",VLOOKUP(J2066,[1]作法V!$B$1:$C$9,2,TRUE))</f>
        <v>A~0</v>
      </c>
    </row>
    <row r="2067" spans="1:12">
      <c r="A2067">
        <v>1149</v>
      </c>
      <c r="B2067" t="s">
        <v>28</v>
      </c>
      <c r="C2067" s="3">
        <v>38663</v>
      </c>
      <c r="D2067" s="3">
        <v>38786</v>
      </c>
      <c r="E2067" t="s">
        <v>18</v>
      </c>
      <c r="F2067">
        <v>1</v>
      </c>
      <c r="G2067">
        <v>71151</v>
      </c>
      <c r="H2067">
        <v>71151</v>
      </c>
      <c r="I2067" s="4">
        <v>38686</v>
      </c>
      <c r="J2067" s="5">
        <f t="shared" si="64"/>
        <v>-100</v>
      </c>
      <c r="K2067" s="6" t="str">
        <f t="shared" si="65"/>
        <v>A~0</v>
      </c>
      <c r="L2067" t="str">
        <f>IF(J2067&lt;0,"A~0",VLOOKUP(J2067,[1]作法V!$B$1:$C$9,2,TRUE))</f>
        <v>A~0</v>
      </c>
    </row>
    <row r="2068" spans="1:12">
      <c r="A2068">
        <v>1149</v>
      </c>
      <c r="B2068" t="s">
        <v>28</v>
      </c>
      <c r="C2068" s="3">
        <v>38663</v>
      </c>
      <c r="D2068" s="3">
        <v>38786</v>
      </c>
      <c r="E2068" t="s">
        <v>18</v>
      </c>
      <c r="F2068">
        <v>1</v>
      </c>
      <c r="G2068">
        <v>87300</v>
      </c>
      <c r="H2068">
        <v>87300</v>
      </c>
      <c r="I2068" s="4">
        <v>38686</v>
      </c>
      <c r="J2068" s="5">
        <f t="shared" si="64"/>
        <v>-100</v>
      </c>
      <c r="K2068" s="6" t="str">
        <f t="shared" si="65"/>
        <v>A~0</v>
      </c>
      <c r="L2068" t="str">
        <f>IF(J2068&lt;0,"A~0",VLOOKUP(J2068,[1]作法V!$B$1:$C$9,2,TRUE))</f>
        <v>A~0</v>
      </c>
    </row>
    <row r="2069" spans="1:12">
      <c r="A2069">
        <v>1149</v>
      </c>
      <c r="B2069" t="s">
        <v>28</v>
      </c>
      <c r="C2069" s="3">
        <v>38663</v>
      </c>
      <c r="D2069" s="3">
        <v>38786</v>
      </c>
      <c r="E2069" t="s">
        <v>18</v>
      </c>
      <c r="F2069">
        <v>1</v>
      </c>
      <c r="G2069">
        <v>1650</v>
      </c>
      <c r="H2069">
        <v>1650</v>
      </c>
      <c r="I2069" s="4">
        <v>38686</v>
      </c>
      <c r="J2069" s="5">
        <f t="shared" si="64"/>
        <v>-100</v>
      </c>
      <c r="K2069" s="6" t="str">
        <f t="shared" si="65"/>
        <v>A~0</v>
      </c>
      <c r="L2069" t="str">
        <f>IF(J2069&lt;0,"A~0",VLOOKUP(J2069,[1]作法V!$B$1:$C$9,2,TRUE))</f>
        <v>A~0</v>
      </c>
    </row>
    <row r="2070" spans="1:12">
      <c r="A2070">
        <v>1149</v>
      </c>
      <c r="B2070" t="s">
        <v>28</v>
      </c>
      <c r="C2070" s="3">
        <v>38663</v>
      </c>
      <c r="D2070" s="3">
        <v>38786</v>
      </c>
      <c r="E2070" t="s">
        <v>18</v>
      </c>
      <c r="F2070">
        <v>1</v>
      </c>
      <c r="G2070">
        <v>15300</v>
      </c>
      <c r="H2070">
        <v>15300</v>
      </c>
      <c r="I2070" s="4">
        <v>38686</v>
      </c>
      <c r="J2070" s="5">
        <f t="shared" si="64"/>
        <v>-100</v>
      </c>
      <c r="K2070" s="6" t="str">
        <f t="shared" si="65"/>
        <v>A~0</v>
      </c>
      <c r="L2070" t="str">
        <f>IF(J2070&lt;0,"A~0",VLOOKUP(J2070,[1]作法V!$B$1:$C$9,2,TRUE))</f>
        <v>A~0</v>
      </c>
    </row>
    <row r="2071" spans="1:12">
      <c r="A2071">
        <v>1149</v>
      </c>
      <c r="B2071" t="s">
        <v>28</v>
      </c>
      <c r="C2071" s="3">
        <v>38663</v>
      </c>
      <c r="D2071" s="3">
        <v>38786</v>
      </c>
      <c r="E2071" t="s">
        <v>18</v>
      </c>
      <c r="F2071">
        <v>1</v>
      </c>
      <c r="G2071">
        <v>6300</v>
      </c>
      <c r="H2071">
        <v>6300</v>
      </c>
      <c r="I2071" s="4">
        <v>38686</v>
      </c>
      <c r="J2071" s="5">
        <f t="shared" si="64"/>
        <v>-100</v>
      </c>
      <c r="K2071" s="6" t="str">
        <f t="shared" si="65"/>
        <v>A~0</v>
      </c>
      <c r="L2071" t="str">
        <f>IF(J2071&lt;0,"A~0",VLOOKUP(J2071,[1]作法V!$B$1:$C$9,2,TRUE))</f>
        <v>A~0</v>
      </c>
    </row>
    <row r="2072" spans="1:12">
      <c r="A2072">
        <v>1149</v>
      </c>
      <c r="B2072" t="s">
        <v>28</v>
      </c>
      <c r="C2072" s="3">
        <v>38672</v>
      </c>
      <c r="D2072" s="3">
        <v>38786</v>
      </c>
      <c r="E2072" t="s">
        <v>18</v>
      </c>
      <c r="F2072">
        <v>1</v>
      </c>
      <c r="G2072">
        <v>461620</v>
      </c>
      <c r="H2072">
        <v>461620</v>
      </c>
      <c r="I2072" s="4">
        <v>38686</v>
      </c>
      <c r="J2072" s="5">
        <f t="shared" si="64"/>
        <v>-100</v>
      </c>
      <c r="K2072" s="6" t="str">
        <f t="shared" si="65"/>
        <v>A~0</v>
      </c>
      <c r="L2072" t="str">
        <f>IF(J2072&lt;0,"A~0",VLOOKUP(J2072,[1]作法V!$B$1:$C$9,2,TRUE))</f>
        <v>A~0</v>
      </c>
    </row>
    <row r="2073" spans="1:12">
      <c r="A2073">
        <v>1149</v>
      </c>
      <c r="B2073" t="s">
        <v>28</v>
      </c>
      <c r="C2073" s="3">
        <v>38672</v>
      </c>
      <c r="D2073" s="3">
        <v>38786</v>
      </c>
      <c r="E2073" t="s">
        <v>18</v>
      </c>
      <c r="F2073">
        <v>1</v>
      </c>
      <c r="G2073">
        <v>24600</v>
      </c>
      <c r="H2073">
        <v>24600</v>
      </c>
      <c r="I2073" s="4">
        <v>38686</v>
      </c>
      <c r="J2073" s="5">
        <f t="shared" si="64"/>
        <v>-100</v>
      </c>
      <c r="K2073" s="6" t="str">
        <f t="shared" si="65"/>
        <v>A~0</v>
      </c>
      <c r="L2073" t="str">
        <f>IF(J2073&lt;0,"A~0",VLOOKUP(J2073,[1]作法V!$B$1:$C$9,2,TRUE))</f>
        <v>A~0</v>
      </c>
    </row>
    <row r="2074" spans="1:12">
      <c r="A2074">
        <v>1149</v>
      </c>
      <c r="B2074" t="s">
        <v>28</v>
      </c>
      <c r="C2074" s="3">
        <v>38672</v>
      </c>
      <c r="D2074" s="3">
        <v>38786</v>
      </c>
      <c r="E2074" t="s">
        <v>18</v>
      </c>
      <c r="F2074">
        <v>1</v>
      </c>
      <c r="G2074">
        <v>24800</v>
      </c>
      <c r="H2074">
        <v>24800</v>
      </c>
      <c r="I2074" s="4">
        <v>38686</v>
      </c>
      <c r="J2074" s="5">
        <f t="shared" si="64"/>
        <v>-100</v>
      </c>
      <c r="K2074" s="6" t="str">
        <f t="shared" si="65"/>
        <v>A~0</v>
      </c>
      <c r="L2074" t="str">
        <f>IF(J2074&lt;0,"A~0",VLOOKUP(J2074,[1]作法V!$B$1:$C$9,2,TRUE))</f>
        <v>A~0</v>
      </c>
    </row>
    <row r="2075" spans="1:12">
      <c r="A2075">
        <v>1149</v>
      </c>
      <c r="B2075" t="s">
        <v>28</v>
      </c>
      <c r="C2075" s="3">
        <v>38672</v>
      </c>
      <c r="D2075" s="3">
        <v>38786</v>
      </c>
      <c r="E2075" t="s">
        <v>18</v>
      </c>
      <c r="F2075">
        <v>1</v>
      </c>
      <c r="G2075">
        <v>103069</v>
      </c>
      <c r="H2075">
        <v>103069</v>
      </c>
      <c r="I2075" s="4">
        <v>38686</v>
      </c>
      <c r="J2075" s="5">
        <f t="shared" si="64"/>
        <v>-100</v>
      </c>
      <c r="K2075" s="6" t="str">
        <f t="shared" si="65"/>
        <v>A~0</v>
      </c>
      <c r="L2075" t="str">
        <f>IF(J2075&lt;0,"A~0",VLOOKUP(J2075,[1]作法V!$B$1:$C$9,2,TRUE))</f>
        <v>A~0</v>
      </c>
    </row>
    <row r="2076" spans="1:12">
      <c r="A2076">
        <v>1149</v>
      </c>
      <c r="B2076" t="s">
        <v>28</v>
      </c>
      <c r="C2076" s="3">
        <v>38686</v>
      </c>
      <c r="D2076" s="3">
        <v>38817</v>
      </c>
      <c r="E2076" t="s">
        <v>18</v>
      </c>
      <c r="F2076">
        <v>1</v>
      </c>
      <c r="G2076">
        <v>6300</v>
      </c>
      <c r="H2076">
        <v>6300</v>
      </c>
      <c r="I2076" s="4">
        <v>38686</v>
      </c>
      <c r="J2076" s="5">
        <f t="shared" si="64"/>
        <v>-131</v>
      </c>
      <c r="K2076" s="6" t="str">
        <f t="shared" si="65"/>
        <v>A~0</v>
      </c>
      <c r="L2076" t="str">
        <f>IF(J2076&lt;0,"A~0",VLOOKUP(J2076,[1]作法V!$B$1:$C$9,2,TRUE))</f>
        <v>A~0</v>
      </c>
    </row>
    <row r="2077" spans="1:12">
      <c r="A2077">
        <v>1149</v>
      </c>
      <c r="B2077" t="s">
        <v>28</v>
      </c>
      <c r="C2077" s="3">
        <v>38686</v>
      </c>
      <c r="D2077" s="3">
        <v>38817</v>
      </c>
      <c r="E2077" t="s">
        <v>18</v>
      </c>
      <c r="F2077">
        <v>1</v>
      </c>
      <c r="G2077">
        <v>17700</v>
      </c>
      <c r="H2077">
        <v>17700</v>
      </c>
      <c r="I2077" s="4">
        <v>38686</v>
      </c>
      <c r="J2077" s="5">
        <f t="shared" si="64"/>
        <v>-131</v>
      </c>
      <c r="K2077" s="6" t="str">
        <f t="shared" si="65"/>
        <v>A~0</v>
      </c>
      <c r="L2077" t="str">
        <f>IF(J2077&lt;0,"A~0",VLOOKUP(J2077,[1]作法V!$B$1:$C$9,2,TRUE))</f>
        <v>A~0</v>
      </c>
    </row>
    <row r="2078" spans="1:12">
      <c r="A2078">
        <v>1153</v>
      </c>
      <c r="B2078" t="s">
        <v>29</v>
      </c>
      <c r="C2078" s="3">
        <v>38495</v>
      </c>
      <c r="D2078" s="3">
        <v>38590</v>
      </c>
      <c r="E2078" t="s">
        <v>17</v>
      </c>
      <c r="F2078">
        <v>31.25</v>
      </c>
      <c r="G2078">
        <v>4160</v>
      </c>
      <c r="H2078">
        <v>130000</v>
      </c>
      <c r="I2078" s="4">
        <v>38686</v>
      </c>
      <c r="J2078" s="5">
        <f t="shared" si="64"/>
        <v>96</v>
      </c>
      <c r="K2078" s="6" t="str">
        <f t="shared" si="65"/>
        <v>E91~120</v>
      </c>
      <c r="L2078" t="str">
        <f>IF(J2078&lt;0,"A~0",VLOOKUP(J2078,[1]作法V!$B$1:$C$9,2,TRUE))</f>
        <v>E91~120</v>
      </c>
    </row>
    <row r="2079" spans="1:12">
      <c r="A2079">
        <v>1153</v>
      </c>
      <c r="B2079" t="s">
        <v>29</v>
      </c>
      <c r="C2079" s="3">
        <v>38495</v>
      </c>
      <c r="D2079" s="3">
        <v>38590</v>
      </c>
      <c r="E2079" t="s">
        <v>17</v>
      </c>
      <c r="F2079">
        <v>31.25</v>
      </c>
      <c r="G2079">
        <v>249.6</v>
      </c>
      <c r="H2079">
        <v>7800</v>
      </c>
      <c r="I2079" s="4">
        <v>38686</v>
      </c>
      <c r="J2079" s="5">
        <f t="shared" si="64"/>
        <v>96</v>
      </c>
      <c r="K2079" s="6" t="str">
        <f t="shared" si="65"/>
        <v>E91~120</v>
      </c>
      <c r="L2079" t="str">
        <f>IF(J2079&lt;0,"A~0",VLOOKUP(J2079,[1]作法V!$B$1:$C$9,2,TRUE))</f>
        <v>E91~120</v>
      </c>
    </row>
    <row r="2080" spans="1:12">
      <c r="A2080">
        <v>1153</v>
      </c>
      <c r="B2080" t="s">
        <v>29</v>
      </c>
      <c r="C2080" s="3">
        <v>38495</v>
      </c>
      <c r="D2080" s="3">
        <v>38590</v>
      </c>
      <c r="E2080" t="s">
        <v>17</v>
      </c>
      <c r="F2080">
        <v>31.25</v>
      </c>
      <c r="G2080">
        <v>499.2</v>
      </c>
      <c r="H2080">
        <v>15600</v>
      </c>
      <c r="I2080" s="4">
        <v>38686</v>
      </c>
      <c r="J2080" s="5">
        <f t="shared" si="64"/>
        <v>96</v>
      </c>
      <c r="K2080" s="6" t="str">
        <f t="shared" si="65"/>
        <v>E91~120</v>
      </c>
      <c r="L2080" t="str">
        <f>IF(J2080&lt;0,"A~0",VLOOKUP(J2080,[1]作法V!$B$1:$C$9,2,TRUE))</f>
        <v>E91~120</v>
      </c>
    </row>
    <row r="2081" spans="1:12">
      <c r="A2081">
        <v>1153</v>
      </c>
      <c r="B2081" t="s">
        <v>29</v>
      </c>
      <c r="C2081" s="3">
        <v>38539</v>
      </c>
      <c r="D2081" s="3">
        <v>38651</v>
      </c>
      <c r="E2081" t="s">
        <v>17</v>
      </c>
      <c r="F2081">
        <v>31.31</v>
      </c>
      <c r="G2081">
        <v>2496</v>
      </c>
      <c r="H2081">
        <v>78150</v>
      </c>
      <c r="I2081" s="4">
        <v>38686</v>
      </c>
      <c r="J2081" s="5">
        <f t="shared" si="64"/>
        <v>35</v>
      </c>
      <c r="K2081" s="6" t="str">
        <f t="shared" si="65"/>
        <v>C31~60</v>
      </c>
      <c r="L2081" t="str">
        <f>IF(J2081&lt;0,"A~0",VLOOKUP(J2081,[1]作法V!$B$1:$C$9,2,TRUE))</f>
        <v>C31~60</v>
      </c>
    </row>
    <row r="2082" spans="1:12">
      <c r="A2082">
        <v>1153</v>
      </c>
      <c r="B2082" t="s">
        <v>29</v>
      </c>
      <c r="C2082" s="3">
        <v>38583</v>
      </c>
      <c r="D2082" s="3">
        <v>38682</v>
      </c>
      <c r="E2082" t="s">
        <v>17</v>
      </c>
      <c r="F2082">
        <v>31.875</v>
      </c>
      <c r="G2082">
        <v>11648</v>
      </c>
      <c r="H2082">
        <v>371280</v>
      </c>
      <c r="I2082" s="4">
        <v>38686</v>
      </c>
      <c r="J2082" s="5">
        <f t="shared" si="64"/>
        <v>4</v>
      </c>
      <c r="K2082" s="6" t="str">
        <f t="shared" si="65"/>
        <v>B1~30</v>
      </c>
      <c r="L2082" t="str">
        <f>IF(J2082&lt;0,"A~0",VLOOKUP(J2082,[1]作法V!$B$1:$C$9,2,TRUE))</f>
        <v>B1~30</v>
      </c>
    </row>
    <row r="2083" spans="1:12">
      <c r="A2083">
        <v>1153</v>
      </c>
      <c r="B2083" t="s">
        <v>29</v>
      </c>
      <c r="C2083" s="3">
        <v>38586</v>
      </c>
      <c r="D2083" s="3">
        <v>38682</v>
      </c>
      <c r="E2083" t="s">
        <v>17</v>
      </c>
      <c r="F2083">
        <v>31.905000000000001</v>
      </c>
      <c r="G2083">
        <v>14400</v>
      </c>
      <c r="H2083">
        <v>459432</v>
      </c>
      <c r="I2083" s="4">
        <v>38686</v>
      </c>
      <c r="J2083" s="5">
        <f t="shared" si="64"/>
        <v>4</v>
      </c>
      <c r="K2083" s="6" t="str">
        <f t="shared" si="65"/>
        <v>B1~30</v>
      </c>
      <c r="L2083" t="str">
        <f>IF(J2083&lt;0,"A~0",VLOOKUP(J2083,[1]作法V!$B$1:$C$9,2,TRUE))</f>
        <v>B1~30</v>
      </c>
    </row>
    <row r="2084" spans="1:12">
      <c r="A2084">
        <v>1153</v>
      </c>
      <c r="B2084" t="s">
        <v>29</v>
      </c>
      <c r="C2084" s="3">
        <v>38586</v>
      </c>
      <c r="D2084" s="3">
        <v>38682</v>
      </c>
      <c r="E2084" t="s">
        <v>17</v>
      </c>
      <c r="F2084">
        <v>31.905000000000001</v>
      </c>
      <c r="G2084">
        <v>416</v>
      </c>
      <c r="H2084">
        <v>13272</v>
      </c>
      <c r="I2084" s="4">
        <v>38686</v>
      </c>
      <c r="J2084" s="5">
        <f t="shared" si="64"/>
        <v>4</v>
      </c>
      <c r="K2084" s="6" t="str">
        <f t="shared" si="65"/>
        <v>B1~30</v>
      </c>
      <c r="L2084" t="str">
        <f>IF(J2084&lt;0,"A~0",VLOOKUP(J2084,[1]作法V!$B$1:$C$9,2,TRUE))</f>
        <v>B1~30</v>
      </c>
    </row>
    <row r="2085" spans="1:12">
      <c r="A2085">
        <v>1153</v>
      </c>
      <c r="B2085" t="s">
        <v>29</v>
      </c>
      <c r="C2085" s="3">
        <v>38586</v>
      </c>
      <c r="D2085" s="3">
        <v>38682</v>
      </c>
      <c r="E2085" t="s">
        <v>17</v>
      </c>
      <c r="F2085">
        <v>31.905000000000001</v>
      </c>
      <c r="G2085">
        <v>5824</v>
      </c>
      <c r="H2085">
        <v>185815</v>
      </c>
      <c r="I2085" s="4">
        <v>38686</v>
      </c>
      <c r="J2085" s="5">
        <f t="shared" si="64"/>
        <v>4</v>
      </c>
      <c r="K2085" s="6" t="str">
        <f t="shared" si="65"/>
        <v>B1~30</v>
      </c>
      <c r="L2085" t="str">
        <f>IF(J2085&lt;0,"A~0",VLOOKUP(J2085,[1]作法V!$B$1:$C$9,2,TRUE))</f>
        <v>B1~30</v>
      </c>
    </row>
    <row r="2086" spans="1:12">
      <c r="A2086">
        <v>1153</v>
      </c>
      <c r="B2086" t="s">
        <v>29</v>
      </c>
      <c r="C2086" s="3">
        <v>38593</v>
      </c>
      <c r="D2086" s="3">
        <v>38712</v>
      </c>
      <c r="E2086" t="s">
        <v>18</v>
      </c>
      <c r="F2086">
        <v>1</v>
      </c>
      <c r="G2086">
        <v>4320</v>
      </c>
      <c r="H2086">
        <v>4320</v>
      </c>
      <c r="I2086" s="4">
        <v>38686</v>
      </c>
      <c r="J2086" s="5">
        <f t="shared" si="64"/>
        <v>-26</v>
      </c>
      <c r="K2086" s="6" t="str">
        <f t="shared" si="65"/>
        <v>A~0</v>
      </c>
      <c r="L2086" t="str">
        <f>IF(J2086&lt;0,"A~0",VLOOKUP(J2086,[1]作法V!$B$1:$C$9,2,TRUE))</f>
        <v>A~0</v>
      </c>
    </row>
    <row r="2087" spans="1:12">
      <c r="A2087">
        <v>1153</v>
      </c>
      <c r="B2087" t="s">
        <v>29</v>
      </c>
      <c r="C2087" s="3">
        <v>38594</v>
      </c>
      <c r="D2087" s="3">
        <v>38712</v>
      </c>
      <c r="E2087" t="s">
        <v>17</v>
      </c>
      <c r="F2087">
        <v>31.905000000000001</v>
      </c>
      <c r="G2087">
        <v>3744</v>
      </c>
      <c r="H2087">
        <v>119452</v>
      </c>
      <c r="I2087" s="4">
        <v>38686</v>
      </c>
      <c r="J2087" s="5">
        <f t="shared" si="64"/>
        <v>-26</v>
      </c>
      <c r="K2087" s="6" t="str">
        <f t="shared" si="65"/>
        <v>A~0</v>
      </c>
      <c r="L2087" t="str">
        <f>IF(J2087&lt;0,"A~0",VLOOKUP(J2087,[1]作法V!$B$1:$C$9,2,TRUE))</f>
        <v>A~0</v>
      </c>
    </row>
    <row r="2088" spans="1:12">
      <c r="A2088">
        <v>1153</v>
      </c>
      <c r="B2088" t="s">
        <v>29</v>
      </c>
      <c r="C2088" s="3">
        <v>38594</v>
      </c>
      <c r="D2088" s="3">
        <v>38712</v>
      </c>
      <c r="E2088" t="s">
        <v>17</v>
      </c>
      <c r="F2088">
        <v>31.905000000000001</v>
      </c>
      <c r="G2088">
        <v>3840</v>
      </c>
      <c r="H2088">
        <v>122515</v>
      </c>
      <c r="I2088" s="4">
        <v>38686</v>
      </c>
      <c r="J2088" s="5">
        <f t="shared" si="64"/>
        <v>-26</v>
      </c>
      <c r="K2088" s="6" t="str">
        <f t="shared" si="65"/>
        <v>A~0</v>
      </c>
      <c r="L2088" t="str">
        <f>IF(J2088&lt;0,"A~0",VLOOKUP(J2088,[1]作法V!$B$1:$C$9,2,TRUE))</f>
        <v>A~0</v>
      </c>
    </row>
    <row r="2089" spans="1:12">
      <c r="A2089">
        <v>1153</v>
      </c>
      <c r="B2089" t="s">
        <v>29</v>
      </c>
      <c r="C2089" s="3">
        <v>38594</v>
      </c>
      <c r="D2089" s="3">
        <v>38712</v>
      </c>
      <c r="E2089" t="s">
        <v>17</v>
      </c>
      <c r="F2089">
        <v>31.905000000000001</v>
      </c>
      <c r="G2089">
        <v>960</v>
      </c>
      <c r="H2089">
        <v>30629</v>
      </c>
      <c r="I2089" s="4">
        <v>38686</v>
      </c>
      <c r="J2089" s="5">
        <f t="shared" si="64"/>
        <v>-26</v>
      </c>
      <c r="K2089" s="6" t="str">
        <f t="shared" si="65"/>
        <v>A~0</v>
      </c>
      <c r="L2089" t="str">
        <f>IF(J2089&lt;0,"A~0",VLOOKUP(J2089,[1]作法V!$B$1:$C$9,2,TRUE))</f>
        <v>A~0</v>
      </c>
    </row>
    <row r="2090" spans="1:12">
      <c r="A2090">
        <v>1153</v>
      </c>
      <c r="B2090" t="s">
        <v>29</v>
      </c>
      <c r="C2090" s="3">
        <v>38594</v>
      </c>
      <c r="D2090" s="3">
        <v>38712</v>
      </c>
      <c r="E2090" t="s">
        <v>17</v>
      </c>
      <c r="F2090">
        <v>31.905000000000001</v>
      </c>
      <c r="G2090">
        <v>5200</v>
      </c>
      <c r="H2090">
        <v>165906</v>
      </c>
      <c r="I2090" s="4">
        <v>38686</v>
      </c>
      <c r="J2090" s="5">
        <f t="shared" si="64"/>
        <v>-26</v>
      </c>
      <c r="K2090" s="6" t="str">
        <f t="shared" si="65"/>
        <v>A~0</v>
      </c>
      <c r="L2090" t="str">
        <f>IF(J2090&lt;0,"A~0",VLOOKUP(J2090,[1]作法V!$B$1:$C$9,2,TRUE))</f>
        <v>A~0</v>
      </c>
    </row>
    <row r="2091" spans="1:12">
      <c r="A2091">
        <v>1153</v>
      </c>
      <c r="B2091" t="s">
        <v>29</v>
      </c>
      <c r="C2091" s="3">
        <v>38594</v>
      </c>
      <c r="D2091" s="3">
        <v>38712</v>
      </c>
      <c r="E2091" t="s">
        <v>17</v>
      </c>
      <c r="F2091">
        <v>31.905000000000001</v>
      </c>
      <c r="G2091">
        <v>1456</v>
      </c>
      <c r="H2091">
        <v>46454</v>
      </c>
      <c r="I2091" s="4">
        <v>38686</v>
      </c>
      <c r="J2091" s="5">
        <f t="shared" si="64"/>
        <v>-26</v>
      </c>
      <c r="K2091" s="6" t="str">
        <f t="shared" si="65"/>
        <v>A~0</v>
      </c>
      <c r="L2091" t="str">
        <f>IF(J2091&lt;0,"A~0",VLOOKUP(J2091,[1]作法V!$B$1:$C$9,2,TRUE))</f>
        <v>A~0</v>
      </c>
    </row>
    <row r="2092" spans="1:12">
      <c r="A2092">
        <v>1153</v>
      </c>
      <c r="B2092" t="s">
        <v>29</v>
      </c>
      <c r="C2092" s="3">
        <v>38597</v>
      </c>
      <c r="D2092" s="3">
        <v>38712</v>
      </c>
      <c r="E2092" t="s">
        <v>18</v>
      </c>
      <c r="F2092">
        <v>1</v>
      </c>
      <c r="G2092">
        <v>25920</v>
      </c>
      <c r="H2092">
        <v>25920</v>
      </c>
      <c r="I2092" s="4">
        <v>38686</v>
      </c>
      <c r="J2092" s="5">
        <f t="shared" si="64"/>
        <v>-26</v>
      </c>
      <c r="K2092" s="6" t="str">
        <f t="shared" si="65"/>
        <v>A~0</v>
      </c>
      <c r="L2092" t="str">
        <f>IF(J2092&lt;0,"A~0",VLOOKUP(J2092,[1]作法V!$B$1:$C$9,2,TRUE))</f>
        <v>A~0</v>
      </c>
    </row>
    <row r="2093" spans="1:12">
      <c r="A2093">
        <v>1153</v>
      </c>
      <c r="B2093" t="s">
        <v>29</v>
      </c>
      <c r="C2093" s="3">
        <v>38602</v>
      </c>
      <c r="D2093" s="3">
        <v>38712</v>
      </c>
      <c r="E2093" t="s">
        <v>17</v>
      </c>
      <c r="F2093">
        <v>32.195</v>
      </c>
      <c r="G2093">
        <v>9152</v>
      </c>
      <c r="H2093">
        <v>294649</v>
      </c>
      <c r="I2093" s="4">
        <v>38686</v>
      </c>
      <c r="J2093" s="5">
        <f t="shared" si="64"/>
        <v>-26</v>
      </c>
      <c r="K2093" s="6" t="str">
        <f t="shared" si="65"/>
        <v>A~0</v>
      </c>
      <c r="L2093" t="str">
        <f>IF(J2093&lt;0,"A~0",VLOOKUP(J2093,[1]作法V!$B$1:$C$9,2,TRUE))</f>
        <v>A~0</v>
      </c>
    </row>
    <row r="2094" spans="1:12">
      <c r="A2094">
        <v>1153</v>
      </c>
      <c r="B2094" t="s">
        <v>29</v>
      </c>
      <c r="C2094" s="3">
        <v>38610</v>
      </c>
      <c r="D2094" s="3">
        <v>38712</v>
      </c>
      <c r="E2094" t="s">
        <v>18</v>
      </c>
      <c r="F2094">
        <v>1</v>
      </c>
      <c r="G2094">
        <v>525</v>
      </c>
      <c r="H2094">
        <v>525</v>
      </c>
      <c r="I2094" s="4">
        <v>38686</v>
      </c>
      <c r="J2094" s="5">
        <f t="shared" si="64"/>
        <v>-26</v>
      </c>
      <c r="K2094" s="6" t="str">
        <f t="shared" si="65"/>
        <v>A~0</v>
      </c>
      <c r="L2094" t="str">
        <f>IF(J2094&lt;0,"A~0",VLOOKUP(J2094,[1]作法V!$B$1:$C$9,2,TRUE))</f>
        <v>A~0</v>
      </c>
    </row>
    <row r="2095" spans="1:12">
      <c r="A2095">
        <v>1153</v>
      </c>
      <c r="B2095" t="s">
        <v>29</v>
      </c>
      <c r="C2095" s="3">
        <v>38610</v>
      </c>
      <c r="D2095" s="3">
        <v>38712</v>
      </c>
      <c r="E2095" t="s">
        <v>18</v>
      </c>
      <c r="F2095">
        <v>1</v>
      </c>
      <c r="G2095">
        <v>15000</v>
      </c>
      <c r="H2095">
        <v>15000</v>
      </c>
      <c r="I2095" s="4">
        <v>38686</v>
      </c>
      <c r="J2095" s="5">
        <f t="shared" si="64"/>
        <v>-26</v>
      </c>
      <c r="K2095" s="6" t="str">
        <f t="shared" si="65"/>
        <v>A~0</v>
      </c>
      <c r="L2095" t="str">
        <f>IF(J2095&lt;0,"A~0",VLOOKUP(J2095,[1]作法V!$B$1:$C$9,2,TRUE))</f>
        <v>A~0</v>
      </c>
    </row>
    <row r="2096" spans="1:12">
      <c r="A2096">
        <v>1153</v>
      </c>
      <c r="B2096" t="s">
        <v>29</v>
      </c>
      <c r="C2096" s="3">
        <v>38623</v>
      </c>
      <c r="D2096" s="3">
        <v>38743</v>
      </c>
      <c r="E2096" t="s">
        <v>17</v>
      </c>
      <c r="F2096">
        <v>32.799999999999997</v>
      </c>
      <c r="G2096">
        <v>2080</v>
      </c>
      <c r="H2096">
        <v>68224</v>
      </c>
      <c r="I2096" s="4">
        <v>38686</v>
      </c>
      <c r="J2096" s="5">
        <f t="shared" si="64"/>
        <v>-57</v>
      </c>
      <c r="K2096" s="6" t="str">
        <f t="shared" si="65"/>
        <v>A~0</v>
      </c>
      <c r="L2096" t="str">
        <f>IF(J2096&lt;0,"A~0",VLOOKUP(J2096,[1]作法V!$B$1:$C$9,2,TRUE))</f>
        <v>A~0</v>
      </c>
    </row>
    <row r="2097" spans="1:12">
      <c r="A2097">
        <v>1153</v>
      </c>
      <c r="B2097" t="s">
        <v>29</v>
      </c>
      <c r="C2097" s="3">
        <v>38623</v>
      </c>
      <c r="D2097" s="3">
        <v>38743</v>
      </c>
      <c r="E2097" t="s">
        <v>17</v>
      </c>
      <c r="F2097">
        <v>32.799999999999997</v>
      </c>
      <c r="G2097">
        <v>4160</v>
      </c>
      <c r="H2097">
        <v>136448</v>
      </c>
      <c r="I2097" s="4">
        <v>38686</v>
      </c>
      <c r="J2097" s="5">
        <f t="shared" si="64"/>
        <v>-57</v>
      </c>
      <c r="K2097" s="6" t="str">
        <f t="shared" si="65"/>
        <v>A~0</v>
      </c>
      <c r="L2097" t="str">
        <f>IF(J2097&lt;0,"A~0",VLOOKUP(J2097,[1]作法V!$B$1:$C$9,2,TRUE))</f>
        <v>A~0</v>
      </c>
    </row>
    <row r="2098" spans="1:12">
      <c r="A2098">
        <v>1153</v>
      </c>
      <c r="B2098" t="s">
        <v>29</v>
      </c>
      <c r="C2098" s="3">
        <v>38631</v>
      </c>
      <c r="D2098" s="3">
        <v>38743</v>
      </c>
      <c r="E2098" t="s">
        <v>17</v>
      </c>
      <c r="F2098">
        <v>33.15</v>
      </c>
      <c r="G2098">
        <v>3328</v>
      </c>
      <c r="H2098">
        <v>110323</v>
      </c>
      <c r="I2098" s="4">
        <v>38686</v>
      </c>
      <c r="J2098" s="5">
        <f t="shared" si="64"/>
        <v>-57</v>
      </c>
      <c r="K2098" s="6" t="str">
        <f t="shared" si="65"/>
        <v>A~0</v>
      </c>
      <c r="L2098" t="str">
        <f>IF(J2098&lt;0,"A~0",VLOOKUP(J2098,[1]作法V!$B$1:$C$9,2,TRUE))</f>
        <v>A~0</v>
      </c>
    </row>
    <row r="2099" spans="1:12">
      <c r="A2099">
        <v>1153</v>
      </c>
      <c r="B2099" t="s">
        <v>29</v>
      </c>
      <c r="C2099" s="3">
        <v>38631</v>
      </c>
      <c r="D2099" s="3">
        <v>38743</v>
      </c>
      <c r="E2099" t="s">
        <v>17</v>
      </c>
      <c r="F2099">
        <v>33.15</v>
      </c>
      <c r="G2099">
        <v>416</v>
      </c>
      <c r="H2099">
        <v>13790</v>
      </c>
      <c r="I2099" s="4">
        <v>38686</v>
      </c>
      <c r="J2099" s="5">
        <f t="shared" si="64"/>
        <v>-57</v>
      </c>
      <c r="K2099" s="6" t="str">
        <f t="shared" si="65"/>
        <v>A~0</v>
      </c>
      <c r="L2099" t="str">
        <f>IF(J2099&lt;0,"A~0",VLOOKUP(J2099,[1]作法V!$B$1:$C$9,2,TRUE))</f>
        <v>A~0</v>
      </c>
    </row>
    <row r="2100" spans="1:12">
      <c r="A2100">
        <v>1153</v>
      </c>
      <c r="B2100" t="s">
        <v>29</v>
      </c>
      <c r="C2100" s="3">
        <v>38631</v>
      </c>
      <c r="D2100" s="3">
        <v>38743</v>
      </c>
      <c r="E2100" t="s">
        <v>17</v>
      </c>
      <c r="F2100">
        <v>33.15</v>
      </c>
      <c r="G2100">
        <v>4992</v>
      </c>
      <c r="H2100">
        <v>165485</v>
      </c>
      <c r="I2100" s="4">
        <v>38686</v>
      </c>
      <c r="J2100" s="5">
        <f t="shared" si="64"/>
        <v>-57</v>
      </c>
      <c r="K2100" s="6" t="str">
        <f t="shared" si="65"/>
        <v>A~0</v>
      </c>
      <c r="L2100" t="str">
        <f>IF(J2100&lt;0,"A~0",VLOOKUP(J2100,[1]作法V!$B$1:$C$9,2,TRUE))</f>
        <v>A~0</v>
      </c>
    </row>
    <row r="2101" spans="1:12">
      <c r="A2101">
        <v>1153</v>
      </c>
      <c r="B2101" t="s">
        <v>29</v>
      </c>
      <c r="C2101" s="3">
        <v>38631</v>
      </c>
      <c r="D2101" s="3">
        <v>38743</v>
      </c>
      <c r="E2101" t="s">
        <v>17</v>
      </c>
      <c r="F2101">
        <v>33.15</v>
      </c>
      <c r="G2101">
        <v>7072</v>
      </c>
      <c r="H2101">
        <v>234437</v>
      </c>
      <c r="I2101" s="4">
        <v>38686</v>
      </c>
      <c r="J2101" s="5">
        <f t="shared" si="64"/>
        <v>-57</v>
      </c>
      <c r="K2101" s="6" t="str">
        <f t="shared" si="65"/>
        <v>A~0</v>
      </c>
      <c r="L2101" t="str">
        <f>IF(J2101&lt;0,"A~0",VLOOKUP(J2101,[1]作法V!$B$1:$C$9,2,TRUE))</f>
        <v>A~0</v>
      </c>
    </row>
    <row r="2102" spans="1:12">
      <c r="A2102">
        <v>1153</v>
      </c>
      <c r="B2102" t="s">
        <v>29</v>
      </c>
      <c r="C2102" s="3">
        <v>38631</v>
      </c>
      <c r="D2102" s="3">
        <v>38743</v>
      </c>
      <c r="E2102" t="s">
        <v>17</v>
      </c>
      <c r="F2102">
        <v>33.15</v>
      </c>
      <c r="G2102">
        <v>6032</v>
      </c>
      <c r="H2102">
        <v>199961</v>
      </c>
      <c r="I2102" s="4">
        <v>38686</v>
      </c>
      <c r="J2102" s="5">
        <f t="shared" si="64"/>
        <v>-57</v>
      </c>
      <c r="K2102" s="6" t="str">
        <f t="shared" si="65"/>
        <v>A~0</v>
      </c>
      <c r="L2102" t="str">
        <f>IF(J2102&lt;0,"A~0",VLOOKUP(J2102,[1]作法V!$B$1:$C$9,2,TRUE))</f>
        <v>A~0</v>
      </c>
    </row>
    <row r="2103" spans="1:12">
      <c r="A2103">
        <v>1153</v>
      </c>
      <c r="B2103" t="s">
        <v>29</v>
      </c>
      <c r="C2103" s="3">
        <v>38631</v>
      </c>
      <c r="D2103" s="3">
        <v>38743</v>
      </c>
      <c r="E2103" t="s">
        <v>17</v>
      </c>
      <c r="F2103">
        <v>33.15</v>
      </c>
      <c r="G2103">
        <v>5616</v>
      </c>
      <c r="H2103">
        <v>186170</v>
      </c>
      <c r="I2103" s="4">
        <v>38686</v>
      </c>
      <c r="J2103" s="5">
        <f t="shared" si="64"/>
        <v>-57</v>
      </c>
      <c r="K2103" s="6" t="str">
        <f t="shared" si="65"/>
        <v>A~0</v>
      </c>
      <c r="L2103" t="str">
        <f>IF(J2103&lt;0,"A~0",VLOOKUP(J2103,[1]作法V!$B$1:$C$9,2,TRUE))</f>
        <v>A~0</v>
      </c>
    </row>
    <row r="2104" spans="1:12">
      <c r="A2104">
        <v>1153</v>
      </c>
      <c r="B2104" t="s">
        <v>29</v>
      </c>
      <c r="C2104" s="3">
        <v>38631</v>
      </c>
      <c r="D2104" s="3">
        <v>38743</v>
      </c>
      <c r="E2104" t="s">
        <v>17</v>
      </c>
      <c r="F2104">
        <v>33.15</v>
      </c>
      <c r="G2104">
        <v>4600</v>
      </c>
      <c r="H2104">
        <v>152490</v>
      </c>
      <c r="I2104" s="4">
        <v>38686</v>
      </c>
      <c r="J2104" s="5">
        <f t="shared" si="64"/>
        <v>-57</v>
      </c>
      <c r="K2104" s="6" t="str">
        <f t="shared" si="65"/>
        <v>A~0</v>
      </c>
      <c r="L2104" t="str">
        <f>IF(J2104&lt;0,"A~0",VLOOKUP(J2104,[1]作法V!$B$1:$C$9,2,TRUE))</f>
        <v>A~0</v>
      </c>
    </row>
    <row r="2105" spans="1:12">
      <c r="A2105">
        <v>1153</v>
      </c>
      <c r="B2105" t="s">
        <v>29</v>
      </c>
      <c r="C2105" s="3">
        <v>38631</v>
      </c>
      <c r="D2105" s="3">
        <v>38743</v>
      </c>
      <c r="E2105" t="s">
        <v>17</v>
      </c>
      <c r="F2105">
        <v>33.15</v>
      </c>
      <c r="G2105">
        <v>2704</v>
      </c>
      <c r="H2105">
        <v>89638</v>
      </c>
      <c r="I2105" s="4">
        <v>38686</v>
      </c>
      <c r="J2105" s="5">
        <f t="shared" si="64"/>
        <v>-57</v>
      </c>
      <c r="K2105" s="6" t="str">
        <f t="shared" si="65"/>
        <v>A~0</v>
      </c>
      <c r="L2105" t="str">
        <f>IF(J2105&lt;0,"A~0",VLOOKUP(J2105,[1]作法V!$B$1:$C$9,2,TRUE))</f>
        <v>A~0</v>
      </c>
    </row>
    <row r="2106" spans="1:12">
      <c r="A2106">
        <v>1153</v>
      </c>
      <c r="B2106" t="s">
        <v>29</v>
      </c>
      <c r="C2106" s="3">
        <v>38638</v>
      </c>
      <c r="D2106" s="3">
        <v>38743</v>
      </c>
      <c r="E2106" t="s">
        <v>17</v>
      </c>
      <c r="F2106">
        <v>33.195</v>
      </c>
      <c r="G2106">
        <v>8320</v>
      </c>
      <c r="H2106">
        <v>276182</v>
      </c>
      <c r="I2106" s="4">
        <v>38686</v>
      </c>
      <c r="J2106" s="5">
        <f t="shared" si="64"/>
        <v>-57</v>
      </c>
      <c r="K2106" s="6" t="str">
        <f t="shared" si="65"/>
        <v>A~0</v>
      </c>
      <c r="L2106" t="str">
        <f>IF(J2106&lt;0,"A~0",VLOOKUP(J2106,[1]作法V!$B$1:$C$9,2,TRUE))</f>
        <v>A~0</v>
      </c>
    </row>
    <row r="2107" spans="1:12">
      <c r="A2107">
        <v>1153</v>
      </c>
      <c r="B2107" t="s">
        <v>29</v>
      </c>
      <c r="C2107" s="3">
        <v>38649</v>
      </c>
      <c r="D2107" s="3">
        <v>38743</v>
      </c>
      <c r="E2107" t="s">
        <v>17</v>
      </c>
      <c r="F2107">
        <v>33.4</v>
      </c>
      <c r="G2107">
        <v>7360</v>
      </c>
      <c r="H2107">
        <v>245824</v>
      </c>
      <c r="I2107" s="4">
        <v>38686</v>
      </c>
      <c r="J2107" s="5">
        <f t="shared" si="64"/>
        <v>-57</v>
      </c>
      <c r="K2107" s="6" t="str">
        <f t="shared" si="65"/>
        <v>A~0</v>
      </c>
      <c r="L2107" t="str">
        <f>IF(J2107&lt;0,"A~0",VLOOKUP(J2107,[1]作法V!$B$1:$C$9,2,TRUE))</f>
        <v>A~0</v>
      </c>
    </row>
    <row r="2108" spans="1:12">
      <c r="A2108">
        <v>1153</v>
      </c>
      <c r="B2108" t="s">
        <v>29</v>
      </c>
      <c r="C2108" s="3">
        <v>38649</v>
      </c>
      <c r="D2108" s="3">
        <v>38743</v>
      </c>
      <c r="E2108" t="s">
        <v>17</v>
      </c>
      <c r="F2108">
        <v>33.4</v>
      </c>
      <c r="G2108">
        <v>1840</v>
      </c>
      <c r="H2108">
        <v>61456</v>
      </c>
      <c r="I2108" s="4">
        <v>38686</v>
      </c>
      <c r="J2108" s="5">
        <f t="shared" si="64"/>
        <v>-57</v>
      </c>
      <c r="K2108" s="6" t="str">
        <f t="shared" si="65"/>
        <v>A~0</v>
      </c>
      <c r="L2108" t="str">
        <f>IF(J2108&lt;0,"A~0",VLOOKUP(J2108,[1]作法V!$B$1:$C$9,2,TRUE))</f>
        <v>A~0</v>
      </c>
    </row>
    <row r="2109" spans="1:12">
      <c r="A2109">
        <v>1153</v>
      </c>
      <c r="B2109" t="s">
        <v>29</v>
      </c>
      <c r="C2109" s="3">
        <v>38649</v>
      </c>
      <c r="D2109" s="3">
        <v>38743</v>
      </c>
      <c r="E2109" t="s">
        <v>17</v>
      </c>
      <c r="F2109">
        <v>33.4</v>
      </c>
      <c r="G2109">
        <v>2760</v>
      </c>
      <c r="H2109">
        <v>92184</v>
      </c>
      <c r="I2109" s="4">
        <v>38686</v>
      </c>
      <c r="J2109" s="5">
        <f t="shared" si="64"/>
        <v>-57</v>
      </c>
      <c r="K2109" s="6" t="str">
        <f t="shared" si="65"/>
        <v>A~0</v>
      </c>
      <c r="L2109" t="str">
        <f>IF(J2109&lt;0,"A~0",VLOOKUP(J2109,[1]作法V!$B$1:$C$9,2,TRUE))</f>
        <v>A~0</v>
      </c>
    </row>
    <row r="2110" spans="1:12">
      <c r="A2110">
        <v>1153</v>
      </c>
      <c r="B2110" t="s">
        <v>29</v>
      </c>
      <c r="C2110" s="3">
        <v>38649</v>
      </c>
      <c r="D2110" s="3">
        <v>38743</v>
      </c>
      <c r="E2110" t="s">
        <v>17</v>
      </c>
      <c r="F2110">
        <v>33.4</v>
      </c>
      <c r="G2110">
        <v>1840</v>
      </c>
      <c r="H2110">
        <v>61456</v>
      </c>
      <c r="I2110" s="4">
        <v>38686</v>
      </c>
      <c r="J2110" s="5">
        <f t="shared" si="64"/>
        <v>-57</v>
      </c>
      <c r="K2110" s="6" t="str">
        <f t="shared" si="65"/>
        <v>A~0</v>
      </c>
      <c r="L2110" t="str">
        <f>IF(J2110&lt;0,"A~0",VLOOKUP(J2110,[1]作法V!$B$1:$C$9,2,TRUE))</f>
        <v>A~0</v>
      </c>
    </row>
    <row r="2111" spans="1:12">
      <c r="A2111">
        <v>1153</v>
      </c>
      <c r="B2111" t="s">
        <v>29</v>
      </c>
      <c r="C2111" s="3">
        <v>38649</v>
      </c>
      <c r="D2111" s="3">
        <v>38743</v>
      </c>
      <c r="E2111" t="s">
        <v>17</v>
      </c>
      <c r="F2111">
        <v>33.4</v>
      </c>
      <c r="G2111">
        <v>4370</v>
      </c>
      <c r="H2111">
        <v>145958</v>
      </c>
      <c r="I2111" s="4">
        <v>38686</v>
      </c>
      <c r="J2111" s="5">
        <f t="shared" si="64"/>
        <v>-57</v>
      </c>
      <c r="K2111" s="6" t="str">
        <f t="shared" si="65"/>
        <v>A~0</v>
      </c>
      <c r="L2111" t="str">
        <f>IF(J2111&lt;0,"A~0",VLOOKUP(J2111,[1]作法V!$B$1:$C$9,2,TRUE))</f>
        <v>A~0</v>
      </c>
    </row>
    <row r="2112" spans="1:12">
      <c r="A2112">
        <v>1153</v>
      </c>
      <c r="B2112" t="s">
        <v>29</v>
      </c>
      <c r="C2112" s="3">
        <v>38651</v>
      </c>
      <c r="D2112" s="3">
        <v>38774</v>
      </c>
      <c r="E2112" t="s">
        <v>18</v>
      </c>
      <c r="F2112">
        <v>1</v>
      </c>
      <c r="G2112">
        <v>9000</v>
      </c>
      <c r="H2112">
        <v>9000</v>
      </c>
      <c r="I2112" s="4">
        <v>38686</v>
      </c>
      <c r="J2112" s="5">
        <f t="shared" si="64"/>
        <v>-88</v>
      </c>
      <c r="K2112" s="6" t="str">
        <f t="shared" si="65"/>
        <v>A~0</v>
      </c>
      <c r="L2112" t="str">
        <f>IF(J2112&lt;0,"A~0",VLOOKUP(J2112,[1]作法V!$B$1:$C$9,2,TRUE))</f>
        <v>A~0</v>
      </c>
    </row>
    <row r="2113" spans="1:12">
      <c r="A2113">
        <v>1153</v>
      </c>
      <c r="B2113" t="s">
        <v>29</v>
      </c>
      <c r="C2113" s="3">
        <v>38651</v>
      </c>
      <c r="D2113" s="3">
        <v>38774</v>
      </c>
      <c r="E2113" t="s">
        <v>17</v>
      </c>
      <c r="F2113">
        <v>33.4</v>
      </c>
      <c r="G2113">
        <v>3328</v>
      </c>
      <c r="H2113">
        <v>111155</v>
      </c>
      <c r="I2113" s="4">
        <v>38686</v>
      </c>
      <c r="J2113" s="5">
        <f t="shared" si="64"/>
        <v>-88</v>
      </c>
      <c r="K2113" s="6" t="str">
        <f t="shared" si="65"/>
        <v>A~0</v>
      </c>
      <c r="L2113" t="str">
        <f>IF(J2113&lt;0,"A~0",VLOOKUP(J2113,[1]作法V!$B$1:$C$9,2,TRUE))</f>
        <v>A~0</v>
      </c>
    </row>
    <row r="2114" spans="1:12">
      <c r="A2114">
        <v>1153</v>
      </c>
      <c r="B2114" t="s">
        <v>29</v>
      </c>
      <c r="C2114" s="3">
        <v>38651</v>
      </c>
      <c r="D2114" s="3">
        <v>38774</v>
      </c>
      <c r="E2114" t="s">
        <v>17</v>
      </c>
      <c r="F2114">
        <v>33.4</v>
      </c>
      <c r="G2114">
        <v>7072</v>
      </c>
      <c r="H2114">
        <v>236205</v>
      </c>
      <c r="I2114" s="4">
        <v>38686</v>
      </c>
      <c r="J2114" s="5">
        <f t="shared" ref="J2114:J2177" si="66">I2114-D2114</f>
        <v>-88</v>
      </c>
      <c r="K2114" s="6" t="str">
        <f t="shared" ref="K2114:K2177" si="67">IF(J2114&lt;1,"A~0",IF(J2114&lt;31,"B1~30",IF(J2114&lt;61,"C31~60",IF(J2114&lt;91,"D61~90",IF(J2114&lt;121,"E91~120",IF(J2114&lt;181,"F121~180",IF(J2114&lt;361,"G181~360","H361~")))))))</f>
        <v>A~0</v>
      </c>
      <c r="L2114" t="str">
        <f>IF(J2114&lt;0,"A~0",VLOOKUP(J2114,[1]作法V!$B$1:$C$9,2,TRUE))</f>
        <v>A~0</v>
      </c>
    </row>
    <row r="2115" spans="1:12">
      <c r="A2115">
        <v>1153</v>
      </c>
      <c r="B2115" t="s">
        <v>29</v>
      </c>
      <c r="C2115" s="3">
        <v>38653</v>
      </c>
      <c r="D2115" s="3">
        <v>38774</v>
      </c>
      <c r="E2115" t="s">
        <v>17</v>
      </c>
      <c r="F2115">
        <v>33.4</v>
      </c>
      <c r="G2115">
        <v>11232</v>
      </c>
      <c r="H2115">
        <v>375149</v>
      </c>
      <c r="I2115" s="4">
        <v>38686</v>
      </c>
      <c r="J2115" s="5">
        <f t="shared" si="66"/>
        <v>-88</v>
      </c>
      <c r="K2115" s="6" t="str">
        <f t="shared" si="67"/>
        <v>A~0</v>
      </c>
      <c r="L2115" t="str">
        <f>IF(J2115&lt;0,"A~0",VLOOKUP(J2115,[1]作法V!$B$1:$C$9,2,TRUE))</f>
        <v>A~0</v>
      </c>
    </row>
    <row r="2116" spans="1:12">
      <c r="A2116">
        <v>1153</v>
      </c>
      <c r="B2116" t="s">
        <v>29</v>
      </c>
      <c r="C2116" s="3">
        <v>38653</v>
      </c>
      <c r="D2116" s="3">
        <v>38774</v>
      </c>
      <c r="E2116" t="s">
        <v>17</v>
      </c>
      <c r="F2116">
        <v>33.4</v>
      </c>
      <c r="G2116">
        <v>460</v>
      </c>
      <c r="H2116">
        <v>15364</v>
      </c>
      <c r="I2116" s="4">
        <v>38686</v>
      </c>
      <c r="J2116" s="5">
        <f t="shared" si="66"/>
        <v>-88</v>
      </c>
      <c r="K2116" s="6" t="str">
        <f t="shared" si="67"/>
        <v>A~0</v>
      </c>
      <c r="L2116" t="str">
        <f>IF(J2116&lt;0,"A~0",VLOOKUP(J2116,[1]作法V!$B$1:$C$9,2,TRUE))</f>
        <v>A~0</v>
      </c>
    </row>
    <row r="2117" spans="1:12">
      <c r="A2117">
        <v>1153</v>
      </c>
      <c r="B2117" t="s">
        <v>29</v>
      </c>
      <c r="C2117" s="3">
        <v>38653</v>
      </c>
      <c r="D2117" s="3">
        <v>38774</v>
      </c>
      <c r="E2117" t="s">
        <v>17</v>
      </c>
      <c r="F2117">
        <v>33.4</v>
      </c>
      <c r="G2117">
        <v>12078</v>
      </c>
      <c r="H2117">
        <v>403405</v>
      </c>
      <c r="I2117" s="4">
        <v>38686</v>
      </c>
      <c r="J2117" s="5">
        <f t="shared" si="66"/>
        <v>-88</v>
      </c>
      <c r="K2117" s="6" t="str">
        <f t="shared" si="67"/>
        <v>A~0</v>
      </c>
      <c r="L2117" t="str">
        <f>IF(J2117&lt;0,"A~0",VLOOKUP(J2117,[1]作法V!$B$1:$C$9,2,TRUE))</f>
        <v>A~0</v>
      </c>
    </row>
    <row r="2118" spans="1:12">
      <c r="A2118">
        <v>1153</v>
      </c>
      <c r="B2118" t="s">
        <v>29</v>
      </c>
      <c r="C2118" s="3">
        <v>38653</v>
      </c>
      <c r="D2118" s="3">
        <v>38774</v>
      </c>
      <c r="E2118" t="s">
        <v>17</v>
      </c>
      <c r="F2118">
        <v>33.4</v>
      </c>
      <c r="G2118">
        <v>4370</v>
      </c>
      <c r="H2118">
        <v>145958</v>
      </c>
      <c r="I2118" s="4">
        <v>38686</v>
      </c>
      <c r="J2118" s="5">
        <f t="shared" si="66"/>
        <v>-88</v>
      </c>
      <c r="K2118" s="6" t="str">
        <f t="shared" si="67"/>
        <v>A~0</v>
      </c>
      <c r="L2118" t="str">
        <f>IF(J2118&lt;0,"A~0",VLOOKUP(J2118,[1]作法V!$B$1:$C$9,2,TRUE))</f>
        <v>A~0</v>
      </c>
    </row>
    <row r="2119" spans="1:12">
      <c r="A2119">
        <v>1153</v>
      </c>
      <c r="B2119" t="s">
        <v>29</v>
      </c>
      <c r="C2119" s="3">
        <v>38653</v>
      </c>
      <c r="D2119" s="3">
        <v>38774</v>
      </c>
      <c r="E2119" t="s">
        <v>17</v>
      </c>
      <c r="F2119">
        <v>33.4</v>
      </c>
      <c r="G2119">
        <v>6670</v>
      </c>
      <c r="H2119">
        <v>222778</v>
      </c>
      <c r="I2119" s="4">
        <v>38686</v>
      </c>
      <c r="J2119" s="5">
        <f t="shared" si="66"/>
        <v>-88</v>
      </c>
      <c r="K2119" s="6" t="str">
        <f t="shared" si="67"/>
        <v>A~0</v>
      </c>
      <c r="L2119" t="str">
        <f>IF(J2119&lt;0,"A~0",VLOOKUP(J2119,[1]作法V!$B$1:$C$9,2,TRUE))</f>
        <v>A~0</v>
      </c>
    </row>
    <row r="2120" spans="1:12">
      <c r="A2120">
        <v>1153</v>
      </c>
      <c r="B2120" t="s">
        <v>29</v>
      </c>
      <c r="C2120" s="3">
        <v>38653</v>
      </c>
      <c r="D2120" s="3">
        <v>38774</v>
      </c>
      <c r="E2120" t="s">
        <v>17</v>
      </c>
      <c r="F2120">
        <v>33.4</v>
      </c>
      <c r="G2120">
        <v>2530</v>
      </c>
      <c r="H2120">
        <v>84502</v>
      </c>
      <c r="I2120" s="4">
        <v>38686</v>
      </c>
      <c r="J2120" s="5">
        <f t="shared" si="66"/>
        <v>-88</v>
      </c>
      <c r="K2120" s="6" t="str">
        <f t="shared" si="67"/>
        <v>A~0</v>
      </c>
      <c r="L2120" t="str">
        <f>IF(J2120&lt;0,"A~0",VLOOKUP(J2120,[1]作法V!$B$1:$C$9,2,TRUE))</f>
        <v>A~0</v>
      </c>
    </row>
    <row r="2121" spans="1:12">
      <c r="A2121">
        <v>1153</v>
      </c>
      <c r="B2121" t="s">
        <v>29</v>
      </c>
      <c r="C2121" s="3">
        <v>38667</v>
      </c>
      <c r="D2121" s="3">
        <v>38774</v>
      </c>
      <c r="E2121" t="s">
        <v>18</v>
      </c>
      <c r="F2121">
        <v>1</v>
      </c>
      <c r="G2121">
        <v>5200</v>
      </c>
      <c r="H2121">
        <v>5200</v>
      </c>
      <c r="I2121" s="4">
        <v>38686</v>
      </c>
      <c r="J2121" s="5">
        <f t="shared" si="66"/>
        <v>-88</v>
      </c>
      <c r="K2121" s="6" t="str">
        <f t="shared" si="67"/>
        <v>A~0</v>
      </c>
      <c r="L2121" t="str">
        <f>IF(J2121&lt;0,"A~0",VLOOKUP(J2121,[1]作法V!$B$1:$C$9,2,TRUE))</f>
        <v>A~0</v>
      </c>
    </row>
    <row r="2122" spans="1:12">
      <c r="A2122">
        <v>1153</v>
      </c>
      <c r="B2122" t="s">
        <v>29</v>
      </c>
      <c r="C2122" s="3">
        <v>38667</v>
      </c>
      <c r="D2122" s="3">
        <v>38774</v>
      </c>
      <c r="E2122" t="s">
        <v>18</v>
      </c>
      <c r="F2122">
        <v>1</v>
      </c>
      <c r="G2122">
        <v>3600</v>
      </c>
      <c r="H2122">
        <v>3600</v>
      </c>
      <c r="I2122" s="4">
        <v>38686</v>
      </c>
      <c r="J2122" s="5">
        <f t="shared" si="66"/>
        <v>-88</v>
      </c>
      <c r="K2122" s="6" t="str">
        <f t="shared" si="67"/>
        <v>A~0</v>
      </c>
      <c r="L2122" t="str">
        <f>IF(J2122&lt;0,"A~0",VLOOKUP(J2122,[1]作法V!$B$1:$C$9,2,TRUE))</f>
        <v>A~0</v>
      </c>
    </row>
    <row r="2123" spans="1:12">
      <c r="A2123">
        <v>1153</v>
      </c>
      <c r="B2123" t="s">
        <v>29</v>
      </c>
      <c r="C2123" s="3">
        <v>38667</v>
      </c>
      <c r="D2123" s="3">
        <v>38774</v>
      </c>
      <c r="E2123" t="s">
        <v>18</v>
      </c>
      <c r="F2123">
        <v>1</v>
      </c>
      <c r="G2123">
        <v>26400</v>
      </c>
      <c r="H2123">
        <v>26400</v>
      </c>
      <c r="I2123" s="4">
        <v>38686</v>
      </c>
      <c r="J2123" s="5">
        <f t="shared" si="66"/>
        <v>-88</v>
      </c>
      <c r="K2123" s="6" t="str">
        <f t="shared" si="67"/>
        <v>A~0</v>
      </c>
      <c r="L2123" t="str">
        <f>IF(J2123&lt;0,"A~0",VLOOKUP(J2123,[1]作法V!$B$1:$C$9,2,TRUE))</f>
        <v>A~0</v>
      </c>
    </row>
    <row r="2124" spans="1:12">
      <c r="A2124">
        <v>1153</v>
      </c>
      <c r="B2124" t="s">
        <v>29</v>
      </c>
      <c r="C2124" s="3">
        <v>38667</v>
      </c>
      <c r="D2124" s="3">
        <v>38774</v>
      </c>
      <c r="E2124" t="s">
        <v>18</v>
      </c>
      <c r="F2124">
        <v>1</v>
      </c>
      <c r="G2124">
        <v>7800</v>
      </c>
      <c r="H2124">
        <v>7800</v>
      </c>
      <c r="I2124" s="4">
        <v>38686</v>
      </c>
      <c r="J2124" s="5">
        <f t="shared" si="66"/>
        <v>-88</v>
      </c>
      <c r="K2124" s="6" t="str">
        <f t="shared" si="67"/>
        <v>A~0</v>
      </c>
      <c r="L2124" t="str">
        <f>IF(J2124&lt;0,"A~0",VLOOKUP(J2124,[1]作法V!$B$1:$C$9,2,TRUE))</f>
        <v>A~0</v>
      </c>
    </row>
    <row r="2125" spans="1:12">
      <c r="A2125">
        <v>1153</v>
      </c>
      <c r="B2125" t="s">
        <v>29</v>
      </c>
      <c r="C2125" s="3">
        <v>38673</v>
      </c>
      <c r="D2125" s="3">
        <v>38774</v>
      </c>
      <c r="E2125" t="s">
        <v>18</v>
      </c>
      <c r="F2125">
        <v>1</v>
      </c>
      <c r="G2125">
        <v>960</v>
      </c>
      <c r="H2125">
        <v>960</v>
      </c>
      <c r="I2125" s="4">
        <v>38686</v>
      </c>
      <c r="J2125" s="5">
        <f t="shared" si="66"/>
        <v>-88</v>
      </c>
      <c r="K2125" s="6" t="str">
        <f t="shared" si="67"/>
        <v>A~0</v>
      </c>
      <c r="L2125" t="str">
        <f>IF(J2125&lt;0,"A~0",VLOOKUP(J2125,[1]作法V!$B$1:$C$9,2,TRUE))</f>
        <v>A~0</v>
      </c>
    </row>
    <row r="2126" spans="1:12">
      <c r="A2126">
        <v>1153</v>
      </c>
      <c r="B2126" t="s">
        <v>29</v>
      </c>
      <c r="C2126" s="3">
        <v>38677</v>
      </c>
      <c r="D2126" s="3">
        <v>38774</v>
      </c>
      <c r="E2126" t="s">
        <v>17</v>
      </c>
      <c r="F2126">
        <v>33.409999999999997</v>
      </c>
      <c r="G2126">
        <v>3450</v>
      </c>
      <c r="H2126">
        <v>115265</v>
      </c>
      <c r="I2126" s="4">
        <v>38686</v>
      </c>
      <c r="J2126" s="5">
        <f t="shared" si="66"/>
        <v>-88</v>
      </c>
      <c r="K2126" s="6" t="str">
        <f t="shared" si="67"/>
        <v>A~0</v>
      </c>
      <c r="L2126" t="str">
        <f>IF(J2126&lt;0,"A~0",VLOOKUP(J2126,[1]作法V!$B$1:$C$9,2,TRUE))</f>
        <v>A~0</v>
      </c>
    </row>
    <row r="2127" spans="1:12">
      <c r="A2127">
        <v>1153</v>
      </c>
      <c r="B2127" t="s">
        <v>29</v>
      </c>
      <c r="C2127" s="3">
        <v>38677</v>
      </c>
      <c r="D2127" s="3">
        <v>38774</v>
      </c>
      <c r="E2127" t="s">
        <v>17</v>
      </c>
      <c r="F2127">
        <v>33.409999999999997</v>
      </c>
      <c r="G2127">
        <v>1150</v>
      </c>
      <c r="H2127">
        <v>38422</v>
      </c>
      <c r="I2127" s="4">
        <v>38686</v>
      </c>
      <c r="J2127" s="5">
        <f t="shared" si="66"/>
        <v>-88</v>
      </c>
      <c r="K2127" s="6" t="str">
        <f t="shared" si="67"/>
        <v>A~0</v>
      </c>
      <c r="L2127" t="str">
        <f>IF(J2127&lt;0,"A~0",VLOOKUP(J2127,[1]作法V!$B$1:$C$9,2,TRUE))</f>
        <v>A~0</v>
      </c>
    </row>
    <row r="2128" spans="1:12">
      <c r="A2128">
        <v>1153</v>
      </c>
      <c r="B2128" t="s">
        <v>29</v>
      </c>
      <c r="C2128" s="3">
        <v>38681</v>
      </c>
      <c r="D2128" s="3">
        <v>38802</v>
      </c>
      <c r="E2128" t="s">
        <v>17</v>
      </c>
      <c r="F2128">
        <v>33.409999999999997</v>
      </c>
      <c r="G2128">
        <v>714</v>
      </c>
      <c r="H2128">
        <v>23855</v>
      </c>
      <c r="I2128" s="4">
        <v>38686</v>
      </c>
      <c r="J2128" s="5">
        <f t="shared" si="66"/>
        <v>-116</v>
      </c>
      <c r="K2128" s="6" t="str">
        <f t="shared" si="67"/>
        <v>A~0</v>
      </c>
      <c r="L2128" t="str">
        <f>IF(J2128&lt;0,"A~0",VLOOKUP(J2128,[1]作法V!$B$1:$C$9,2,TRUE))</f>
        <v>A~0</v>
      </c>
    </row>
    <row r="2129" spans="1:12">
      <c r="A2129">
        <v>1156</v>
      </c>
      <c r="B2129" t="s">
        <v>101</v>
      </c>
      <c r="C2129" s="3">
        <v>38603</v>
      </c>
      <c r="D2129" s="3">
        <v>38691</v>
      </c>
      <c r="E2129" t="s">
        <v>18</v>
      </c>
      <c r="F2129">
        <v>1</v>
      </c>
      <c r="G2129">
        <v>4620</v>
      </c>
      <c r="H2129">
        <v>4620</v>
      </c>
      <c r="I2129" s="4">
        <v>38686</v>
      </c>
      <c r="J2129" s="5">
        <f t="shared" si="66"/>
        <v>-5</v>
      </c>
      <c r="K2129" s="6" t="str">
        <f t="shared" si="67"/>
        <v>A~0</v>
      </c>
      <c r="L2129" t="str">
        <f>IF(J2129&lt;0,"A~0",VLOOKUP(J2129,[1]作法V!$B$1:$C$9,2,TRUE))</f>
        <v>A~0</v>
      </c>
    </row>
    <row r="2130" spans="1:12">
      <c r="A2130">
        <v>1156</v>
      </c>
      <c r="B2130" t="s">
        <v>101</v>
      </c>
      <c r="C2130" s="3">
        <v>38603</v>
      </c>
      <c r="D2130" s="3">
        <v>38691</v>
      </c>
      <c r="E2130" t="s">
        <v>18</v>
      </c>
      <c r="F2130">
        <v>1</v>
      </c>
      <c r="G2130">
        <v>4830</v>
      </c>
      <c r="H2130">
        <v>4830</v>
      </c>
      <c r="I2130" s="4">
        <v>38686</v>
      </c>
      <c r="J2130" s="5">
        <f t="shared" si="66"/>
        <v>-5</v>
      </c>
      <c r="K2130" s="6" t="str">
        <f t="shared" si="67"/>
        <v>A~0</v>
      </c>
      <c r="L2130" t="str">
        <f>IF(J2130&lt;0,"A~0",VLOOKUP(J2130,[1]作法V!$B$1:$C$9,2,TRUE))</f>
        <v>A~0</v>
      </c>
    </row>
    <row r="2131" spans="1:12">
      <c r="A2131">
        <v>1156</v>
      </c>
      <c r="B2131" t="s">
        <v>101</v>
      </c>
      <c r="C2131" s="3">
        <v>38665</v>
      </c>
      <c r="D2131" s="3">
        <v>38753</v>
      </c>
      <c r="E2131" t="s">
        <v>18</v>
      </c>
      <c r="F2131">
        <v>1</v>
      </c>
      <c r="G2131">
        <v>4830</v>
      </c>
      <c r="H2131">
        <v>4830</v>
      </c>
      <c r="I2131" s="4">
        <v>38686</v>
      </c>
      <c r="J2131" s="5">
        <f t="shared" si="66"/>
        <v>-67</v>
      </c>
      <c r="K2131" s="6" t="str">
        <f t="shared" si="67"/>
        <v>A~0</v>
      </c>
      <c r="L2131" t="str">
        <f>IF(J2131&lt;0,"A~0",VLOOKUP(J2131,[1]作法V!$B$1:$C$9,2,TRUE))</f>
        <v>A~0</v>
      </c>
    </row>
    <row r="2132" spans="1:12">
      <c r="A2132">
        <v>1156</v>
      </c>
      <c r="B2132" t="s">
        <v>101</v>
      </c>
      <c r="C2132" s="3">
        <v>38665</v>
      </c>
      <c r="D2132" s="3">
        <v>38753</v>
      </c>
      <c r="E2132" t="s">
        <v>18</v>
      </c>
      <c r="F2132">
        <v>1</v>
      </c>
      <c r="G2132">
        <v>2310</v>
      </c>
      <c r="H2132">
        <v>2310</v>
      </c>
      <c r="I2132" s="4">
        <v>38686</v>
      </c>
      <c r="J2132" s="5">
        <f t="shared" si="66"/>
        <v>-67</v>
      </c>
      <c r="K2132" s="6" t="str">
        <f t="shared" si="67"/>
        <v>A~0</v>
      </c>
      <c r="L2132" t="str">
        <f>IF(J2132&lt;0,"A~0",VLOOKUP(J2132,[1]作法V!$B$1:$C$9,2,TRUE))</f>
        <v>A~0</v>
      </c>
    </row>
    <row r="2133" spans="1:12">
      <c r="A2133">
        <v>1156</v>
      </c>
      <c r="B2133" t="s">
        <v>101</v>
      </c>
      <c r="C2133" s="3">
        <v>38674</v>
      </c>
      <c r="D2133" s="3">
        <v>38753</v>
      </c>
      <c r="E2133" t="s">
        <v>18</v>
      </c>
      <c r="F2133">
        <v>1</v>
      </c>
      <c r="G2133">
        <v>4620</v>
      </c>
      <c r="H2133">
        <v>4620</v>
      </c>
      <c r="I2133" s="4">
        <v>38686</v>
      </c>
      <c r="J2133" s="5">
        <f t="shared" si="66"/>
        <v>-67</v>
      </c>
      <c r="K2133" s="6" t="str">
        <f t="shared" si="67"/>
        <v>A~0</v>
      </c>
      <c r="L2133" t="str">
        <f>IF(J2133&lt;0,"A~0",VLOOKUP(J2133,[1]作法V!$B$1:$C$9,2,TRUE))</f>
        <v>A~0</v>
      </c>
    </row>
    <row r="2134" spans="1:12">
      <c r="A2134">
        <v>1164</v>
      </c>
      <c r="B2134" t="s">
        <v>81</v>
      </c>
      <c r="C2134" s="3">
        <v>38678</v>
      </c>
      <c r="D2134" s="3">
        <v>38786</v>
      </c>
      <c r="E2134" t="s">
        <v>18</v>
      </c>
      <c r="F2134">
        <v>1</v>
      </c>
      <c r="G2134">
        <v>3071</v>
      </c>
      <c r="H2134">
        <v>3071</v>
      </c>
      <c r="I2134" s="4">
        <v>38686</v>
      </c>
      <c r="J2134" s="5">
        <f t="shared" si="66"/>
        <v>-100</v>
      </c>
      <c r="K2134" s="6" t="str">
        <f t="shared" si="67"/>
        <v>A~0</v>
      </c>
      <c r="L2134" t="str">
        <f>IF(J2134&lt;0,"A~0",VLOOKUP(J2134,[1]作法V!$B$1:$C$9,2,TRUE))</f>
        <v>A~0</v>
      </c>
    </row>
    <row r="2135" spans="1:12">
      <c r="A2135">
        <v>1164</v>
      </c>
      <c r="B2135" t="s">
        <v>81</v>
      </c>
      <c r="C2135" s="3">
        <v>38678</v>
      </c>
      <c r="D2135" s="3">
        <v>38786</v>
      </c>
      <c r="E2135" t="s">
        <v>18</v>
      </c>
      <c r="F2135">
        <v>1</v>
      </c>
      <c r="G2135">
        <v>2394</v>
      </c>
      <c r="H2135">
        <v>2394</v>
      </c>
      <c r="I2135" s="4">
        <v>38686</v>
      </c>
      <c r="J2135" s="5">
        <f t="shared" si="66"/>
        <v>-100</v>
      </c>
      <c r="K2135" s="6" t="str">
        <f t="shared" si="67"/>
        <v>A~0</v>
      </c>
      <c r="L2135" t="str">
        <f>IF(J2135&lt;0,"A~0",VLOOKUP(J2135,[1]作法V!$B$1:$C$9,2,TRUE))</f>
        <v>A~0</v>
      </c>
    </row>
    <row r="2136" spans="1:12">
      <c r="A2136">
        <v>1166</v>
      </c>
      <c r="B2136" t="s">
        <v>118</v>
      </c>
      <c r="C2136" s="3">
        <v>38573</v>
      </c>
      <c r="D2136" s="3">
        <v>38696</v>
      </c>
      <c r="E2136" t="s">
        <v>18</v>
      </c>
      <c r="F2136">
        <v>1</v>
      </c>
      <c r="G2136">
        <v>28350</v>
      </c>
      <c r="H2136">
        <v>28350</v>
      </c>
      <c r="I2136" s="4">
        <v>38686</v>
      </c>
      <c r="J2136" s="5">
        <f t="shared" si="66"/>
        <v>-10</v>
      </c>
      <c r="K2136" s="6" t="str">
        <f t="shared" si="67"/>
        <v>A~0</v>
      </c>
      <c r="L2136" t="str">
        <f>IF(J2136&lt;0,"A~0",VLOOKUP(J2136,[1]作法V!$B$1:$C$9,2,TRUE))</f>
        <v>A~0</v>
      </c>
    </row>
    <row r="2137" spans="1:12">
      <c r="A2137">
        <v>1166</v>
      </c>
      <c r="B2137" t="s">
        <v>118</v>
      </c>
      <c r="C2137" s="3">
        <v>38573</v>
      </c>
      <c r="D2137" s="3">
        <v>38696</v>
      </c>
      <c r="E2137" t="s">
        <v>18</v>
      </c>
      <c r="F2137">
        <v>1</v>
      </c>
      <c r="G2137">
        <v>1890</v>
      </c>
      <c r="H2137">
        <v>1890</v>
      </c>
      <c r="I2137" s="4">
        <v>38686</v>
      </c>
      <c r="J2137" s="5">
        <f t="shared" si="66"/>
        <v>-10</v>
      </c>
      <c r="K2137" s="6" t="str">
        <f t="shared" si="67"/>
        <v>A~0</v>
      </c>
      <c r="L2137" t="str">
        <f>IF(J2137&lt;0,"A~0",VLOOKUP(J2137,[1]作法V!$B$1:$C$9,2,TRUE))</f>
        <v>A~0</v>
      </c>
    </row>
    <row r="2138" spans="1:12">
      <c r="A2138">
        <v>1166</v>
      </c>
      <c r="B2138" t="s">
        <v>118</v>
      </c>
      <c r="C2138" s="3">
        <v>38602</v>
      </c>
      <c r="D2138" s="3">
        <v>38727</v>
      </c>
      <c r="E2138" t="s">
        <v>18</v>
      </c>
      <c r="F2138">
        <v>1</v>
      </c>
      <c r="G2138">
        <v>4190</v>
      </c>
      <c r="H2138">
        <v>4190</v>
      </c>
      <c r="I2138" s="4">
        <v>38686</v>
      </c>
      <c r="J2138" s="5">
        <f t="shared" si="66"/>
        <v>-41</v>
      </c>
      <c r="K2138" s="6" t="str">
        <f t="shared" si="67"/>
        <v>A~0</v>
      </c>
      <c r="L2138" t="str">
        <f>IF(J2138&lt;0,"A~0",VLOOKUP(J2138,[1]作法V!$B$1:$C$9,2,TRUE))</f>
        <v>A~0</v>
      </c>
    </row>
    <row r="2139" spans="1:12">
      <c r="A2139">
        <v>1166</v>
      </c>
      <c r="B2139" t="s">
        <v>118</v>
      </c>
      <c r="C2139" s="3">
        <v>38603</v>
      </c>
      <c r="D2139" s="3">
        <v>38727</v>
      </c>
      <c r="E2139" t="s">
        <v>18</v>
      </c>
      <c r="F2139">
        <v>1</v>
      </c>
      <c r="G2139">
        <v>24360</v>
      </c>
      <c r="H2139">
        <v>24360</v>
      </c>
      <c r="I2139" s="4">
        <v>38686</v>
      </c>
      <c r="J2139" s="5">
        <f t="shared" si="66"/>
        <v>-41</v>
      </c>
      <c r="K2139" s="6" t="str">
        <f t="shared" si="67"/>
        <v>A~0</v>
      </c>
      <c r="L2139" t="str">
        <f>IF(J2139&lt;0,"A~0",VLOOKUP(J2139,[1]作法V!$B$1:$C$9,2,TRUE))</f>
        <v>A~0</v>
      </c>
    </row>
    <row r="2140" spans="1:12">
      <c r="A2140">
        <v>1166</v>
      </c>
      <c r="B2140" t="s">
        <v>118</v>
      </c>
      <c r="C2140" s="3">
        <v>38609</v>
      </c>
      <c r="D2140" s="3">
        <v>38727</v>
      </c>
      <c r="E2140" t="s">
        <v>18</v>
      </c>
      <c r="F2140">
        <v>1</v>
      </c>
      <c r="G2140">
        <v>2993</v>
      </c>
      <c r="H2140">
        <v>2993</v>
      </c>
      <c r="I2140" s="4">
        <v>38686</v>
      </c>
      <c r="J2140" s="5">
        <f t="shared" si="66"/>
        <v>-41</v>
      </c>
      <c r="K2140" s="6" t="str">
        <f t="shared" si="67"/>
        <v>A~0</v>
      </c>
      <c r="L2140" t="str">
        <f>IF(J2140&lt;0,"A~0",VLOOKUP(J2140,[1]作法V!$B$1:$C$9,2,TRUE))</f>
        <v>A~0</v>
      </c>
    </row>
    <row r="2141" spans="1:12">
      <c r="A2141">
        <v>1166</v>
      </c>
      <c r="B2141" t="s">
        <v>118</v>
      </c>
      <c r="C2141" s="3">
        <v>38609</v>
      </c>
      <c r="D2141" s="3">
        <v>38727</v>
      </c>
      <c r="E2141" t="s">
        <v>18</v>
      </c>
      <c r="F2141">
        <v>1</v>
      </c>
      <c r="G2141">
        <v>2993</v>
      </c>
      <c r="H2141">
        <v>2993</v>
      </c>
      <c r="I2141" s="4">
        <v>38686</v>
      </c>
      <c r="J2141" s="5">
        <f t="shared" si="66"/>
        <v>-41</v>
      </c>
      <c r="K2141" s="6" t="str">
        <f t="shared" si="67"/>
        <v>A~0</v>
      </c>
      <c r="L2141" t="str">
        <f>IF(J2141&lt;0,"A~0",VLOOKUP(J2141,[1]作法V!$B$1:$C$9,2,TRUE))</f>
        <v>A~0</v>
      </c>
    </row>
    <row r="2142" spans="1:12">
      <c r="A2142">
        <v>1166</v>
      </c>
      <c r="B2142" t="s">
        <v>118</v>
      </c>
      <c r="C2142" s="3">
        <v>38643</v>
      </c>
      <c r="D2142" s="3">
        <v>38758</v>
      </c>
      <c r="E2142" t="s">
        <v>18</v>
      </c>
      <c r="F2142">
        <v>1</v>
      </c>
      <c r="G2142">
        <v>15120</v>
      </c>
      <c r="H2142">
        <v>15120</v>
      </c>
      <c r="I2142" s="4">
        <v>38686</v>
      </c>
      <c r="J2142" s="5">
        <f t="shared" si="66"/>
        <v>-72</v>
      </c>
      <c r="K2142" s="6" t="str">
        <f t="shared" si="67"/>
        <v>A~0</v>
      </c>
      <c r="L2142" t="str">
        <f>IF(J2142&lt;0,"A~0",VLOOKUP(J2142,[1]作法V!$B$1:$C$9,2,TRUE))</f>
        <v>A~0</v>
      </c>
    </row>
    <row r="2143" spans="1:12">
      <c r="A2143">
        <v>1166</v>
      </c>
      <c r="B2143" t="s">
        <v>118</v>
      </c>
      <c r="C2143" s="3">
        <v>38645</v>
      </c>
      <c r="D2143" s="3">
        <v>38758</v>
      </c>
      <c r="E2143" t="s">
        <v>18</v>
      </c>
      <c r="F2143">
        <v>1</v>
      </c>
      <c r="G2143">
        <v>12180</v>
      </c>
      <c r="H2143">
        <v>12180</v>
      </c>
      <c r="I2143" s="4">
        <v>38686</v>
      </c>
      <c r="J2143" s="5">
        <f t="shared" si="66"/>
        <v>-72</v>
      </c>
      <c r="K2143" s="6" t="str">
        <f t="shared" si="67"/>
        <v>A~0</v>
      </c>
      <c r="L2143" t="str">
        <f>IF(J2143&lt;0,"A~0",VLOOKUP(J2143,[1]作法V!$B$1:$C$9,2,TRUE))</f>
        <v>A~0</v>
      </c>
    </row>
    <row r="2144" spans="1:12">
      <c r="A2144">
        <v>1166</v>
      </c>
      <c r="B2144" t="s">
        <v>118</v>
      </c>
      <c r="C2144" s="3">
        <v>38658</v>
      </c>
      <c r="D2144" s="3">
        <v>38786</v>
      </c>
      <c r="E2144" t="s">
        <v>18</v>
      </c>
      <c r="F2144">
        <v>1</v>
      </c>
      <c r="G2144">
        <v>12180</v>
      </c>
      <c r="H2144">
        <v>12180</v>
      </c>
      <c r="I2144" s="4">
        <v>38686</v>
      </c>
      <c r="J2144" s="5">
        <f t="shared" si="66"/>
        <v>-100</v>
      </c>
      <c r="K2144" s="6" t="str">
        <f t="shared" si="67"/>
        <v>A~0</v>
      </c>
      <c r="L2144" t="str">
        <f>IF(J2144&lt;0,"A~0",VLOOKUP(J2144,[1]作法V!$B$1:$C$9,2,TRUE))</f>
        <v>A~0</v>
      </c>
    </row>
    <row r="2145" spans="1:12">
      <c r="A2145">
        <v>1166</v>
      </c>
      <c r="B2145" t="s">
        <v>118</v>
      </c>
      <c r="C2145" s="3">
        <v>38664</v>
      </c>
      <c r="D2145" s="3">
        <v>38786</v>
      </c>
      <c r="E2145" t="s">
        <v>18</v>
      </c>
      <c r="F2145">
        <v>1</v>
      </c>
      <c r="G2145">
        <v>35910</v>
      </c>
      <c r="H2145">
        <v>35910</v>
      </c>
      <c r="I2145" s="4">
        <v>38686</v>
      </c>
      <c r="J2145" s="5">
        <f t="shared" si="66"/>
        <v>-100</v>
      </c>
      <c r="K2145" s="6" t="str">
        <f t="shared" si="67"/>
        <v>A~0</v>
      </c>
      <c r="L2145" t="str">
        <f>IF(J2145&lt;0,"A~0",VLOOKUP(J2145,[1]作法V!$B$1:$C$9,2,TRUE))</f>
        <v>A~0</v>
      </c>
    </row>
    <row r="2146" spans="1:12">
      <c r="A2146">
        <v>1166</v>
      </c>
      <c r="B2146" t="s">
        <v>118</v>
      </c>
      <c r="C2146" s="3">
        <v>38680</v>
      </c>
      <c r="D2146" s="3">
        <v>38786</v>
      </c>
      <c r="E2146" t="s">
        <v>18</v>
      </c>
      <c r="F2146">
        <v>1</v>
      </c>
      <c r="G2146">
        <v>15834</v>
      </c>
      <c r="H2146">
        <v>15834</v>
      </c>
      <c r="I2146" s="4">
        <v>38686</v>
      </c>
      <c r="J2146" s="5">
        <f t="shared" si="66"/>
        <v>-100</v>
      </c>
      <c r="K2146" s="6" t="str">
        <f t="shared" si="67"/>
        <v>A~0</v>
      </c>
      <c r="L2146" t="str">
        <f>IF(J2146&lt;0,"A~0",VLOOKUP(J2146,[1]作法V!$B$1:$C$9,2,TRUE))</f>
        <v>A~0</v>
      </c>
    </row>
    <row r="2147" spans="1:12">
      <c r="A2147">
        <v>1166</v>
      </c>
      <c r="B2147" t="s">
        <v>118</v>
      </c>
      <c r="C2147" s="3">
        <v>38680</v>
      </c>
      <c r="D2147" s="3">
        <v>38786</v>
      </c>
      <c r="E2147" t="s">
        <v>18</v>
      </c>
      <c r="F2147">
        <v>1</v>
      </c>
      <c r="G2147">
        <v>11760</v>
      </c>
      <c r="H2147">
        <v>11760</v>
      </c>
      <c r="I2147" s="4">
        <v>38686</v>
      </c>
      <c r="J2147" s="5">
        <f t="shared" si="66"/>
        <v>-100</v>
      </c>
      <c r="K2147" s="6" t="str">
        <f t="shared" si="67"/>
        <v>A~0</v>
      </c>
      <c r="L2147" t="str">
        <f>IF(J2147&lt;0,"A~0",VLOOKUP(J2147,[1]作法V!$B$1:$C$9,2,TRUE))</f>
        <v>A~0</v>
      </c>
    </row>
    <row r="2148" spans="1:12">
      <c r="A2148">
        <v>1166</v>
      </c>
      <c r="B2148" t="s">
        <v>118</v>
      </c>
      <c r="C2148" s="3">
        <v>38680</v>
      </c>
      <c r="D2148" s="3">
        <v>38786</v>
      </c>
      <c r="E2148" t="s">
        <v>18</v>
      </c>
      <c r="F2148">
        <v>1</v>
      </c>
      <c r="G2148">
        <v>30240</v>
      </c>
      <c r="H2148">
        <v>30240</v>
      </c>
      <c r="I2148" s="4">
        <v>38686</v>
      </c>
      <c r="J2148" s="5">
        <f t="shared" si="66"/>
        <v>-100</v>
      </c>
      <c r="K2148" s="6" t="str">
        <f t="shared" si="67"/>
        <v>A~0</v>
      </c>
      <c r="L2148" t="str">
        <f>IF(J2148&lt;0,"A~0",VLOOKUP(J2148,[1]作法V!$B$1:$C$9,2,TRUE))</f>
        <v>A~0</v>
      </c>
    </row>
    <row r="2149" spans="1:12">
      <c r="A2149">
        <v>1169</v>
      </c>
      <c r="B2149" t="s">
        <v>99</v>
      </c>
      <c r="C2149" s="3">
        <v>37763</v>
      </c>
      <c r="D2149" s="3">
        <v>37832</v>
      </c>
      <c r="E2149" t="s">
        <v>18</v>
      </c>
      <c r="F2149">
        <v>1</v>
      </c>
      <c r="G2149">
        <v>58000</v>
      </c>
      <c r="H2149">
        <v>58000</v>
      </c>
      <c r="I2149" s="4">
        <v>38686</v>
      </c>
      <c r="J2149" s="5">
        <f t="shared" si="66"/>
        <v>854</v>
      </c>
      <c r="K2149" s="6" t="str">
        <f t="shared" si="67"/>
        <v>H361~</v>
      </c>
      <c r="L2149" t="str">
        <f>IF(J2149&lt;0,"A~0",VLOOKUP(J2149,[1]作法V!$B$1:$C$9,2,TRUE))</f>
        <v>H361~</v>
      </c>
    </row>
    <row r="2150" spans="1:12">
      <c r="A2150">
        <v>1169</v>
      </c>
      <c r="B2150" t="s">
        <v>99</v>
      </c>
      <c r="C2150" s="3">
        <v>37768</v>
      </c>
      <c r="D2150" s="3">
        <v>37863</v>
      </c>
      <c r="E2150" t="s">
        <v>18</v>
      </c>
      <c r="F2150">
        <v>1</v>
      </c>
      <c r="G2150">
        <v>34075</v>
      </c>
      <c r="H2150">
        <v>34075</v>
      </c>
      <c r="I2150" s="4">
        <v>38686</v>
      </c>
      <c r="J2150" s="5">
        <f t="shared" si="66"/>
        <v>823</v>
      </c>
      <c r="K2150" s="6" t="str">
        <f t="shared" si="67"/>
        <v>H361~</v>
      </c>
      <c r="L2150" t="str">
        <f>IF(J2150&lt;0,"A~0",VLOOKUP(J2150,[1]作法V!$B$1:$C$9,2,TRUE))</f>
        <v>H361~</v>
      </c>
    </row>
    <row r="2151" spans="1:12">
      <c r="A2151">
        <v>1182</v>
      </c>
      <c r="B2151" t="s">
        <v>87</v>
      </c>
      <c r="C2151" s="3">
        <v>38077</v>
      </c>
      <c r="D2151" s="3">
        <v>38178</v>
      </c>
      <c r="E2151" t="s">
        <v>18</v>
      </c>
      <c r="F2151">
        <v>1</v>
      </c>
      <c r="G2151">
        <v>5775</v>
      </c>
      <c r="H2151">
        <v>5775</v>
      </c>
      <c r="I2151" s="4">
        <v>38686</v>
      </c>
      <c r="J2151" s="5">
        <f t="shared" si="66"/>
        <v>508</v>
      </c>
      <c r="K2151" s="6" t="str">
        <f t="shared" si="67"/>
        <v>H361~</v>
      </c>
      <c r="L2151" t="str">
        <f>IF(J2151&lt;0,"A~0",VLOOKUP(J2151,[1]作法V!$B$1:$C$9,2,TRUE))</f>
        <v>H361~</v>
      </c>
    </row>
    <row r="2152" spans="1:12">
      <c r="A2152">
        <v>1182</v>
      </c>
      <c r="B2152" t="s">
        <v>87</v>
      </c>
      <c r="C2152" s="3">
        <v>38233</v>
      </c>
      <c r="D2152" s="3">
        <v>38362</v>
      </c>
      <c r="E2152" t="s">
        <v>18</v>
      </c>
      <c r="F2152">
        <v>1</v>
      </c>
      <c r="G2152">
        <v>67799</v>
      </c>
      <c r="H2152">
        <v>67799</v>
      </c>
      <c r="I2152" s="4">
        <v>38686</v>
      </c>
      <c r="J2152" s="5">
        <f t="shared" si="66"/>
        <v>324</v>
      </c>
      <c r="K2152" s="6" t="str">
        <f t="shared" si="67"/>
        <v>G181~360</v>
      </c>
      <c r="L2152" t="str">
        <f>IF(J2152&lt;0,"A~0",VLOOKUP(J2152,[1]作法V!$B$1:$C$9,2,TRUE))</f>
        <v>G181~360</v>
      </c>
    </row>
    <row r="2153" spans="1:12">
      <c r="A2153">
        <v>1182</v>
      </c>
      <c r="B2153" t="s">
        <v>87</v>
      </c>
      <c r="C2153" s="3">
        <v>38287</v>
      </c>
      <c r="D2153" s="3">
        <v>38421</v>
      </c>
      <c r="E2153" t="s">
        <v>18</v>
      </c>
      <c r="F2153">
        <v>1</v>
      </c>
      <c r="G2153">
        <v>522</v>
      </c>
      <c r="H2153">
        <v>522</v>
      </c>
      <c r="I2153" s="4">
        <v>38686</v>
      </c>
      <c r="J2153" s="5">
        <f t="shared" si="66"/>
        <v>265</v>
      </c>
      <c r="K2153" s="6" t="str">
        <f t="shared" si="67"/>
        <v>G181~360</v>
      </c>
      <c r="L2153" t="str">
        <f>IF(J2153&lt;0,"A~0",VLOOKUP(J2153,[1]作法V!$B$1:$C$9,2,TRUE))</f>
        <v>G181~360</v>
      </c>
    </row>
    <row r="2154" spans="1:12">
      <c r="A2154">
        <v>1182</v>
      </c>
      <c r="B2154" t="s">
        <v>87</v>
      </c>
      <c r="C2154" s="3">
        <v>38338</v>
      </c>
      <c r="D2154" s="3">
        <v>38452</v>
      </c>
      <c r="E2154" t="s">
        <v>18</v>
      </c>
      <c r="F2154">
        <v>1</v>
      </c>
      <c r="G2154">
        <v>14065</v>
      </c>
      <c r="H2154">
        <v>14065</v>
      </c>
      <c r="I2154" s="4">
        <v>38686</v>
      </c>
      <c r="J2154" s="5">
        <f t="shared" si="66"/>
        <v>234</v>
      </c>
      <c r="K2154" s="6" t="str">
        <f t="shared" si="67"/>
        <v>G181~360</v>
      </c>
      <c r="L2154" t="str">
        <f>IF(J2154&lt;0,"A~0",VLOOKUP(J2154,[1]作法V!$B$1:$C$9,2,TRUE))</f>
        <v>G181~360</v>
      </c>
    </row>
    <row r="2155" spans="1:12">
      <c r="A2155">
        <v>1182</v>
      </c>
      <c r="B2155" t="s">
        <v>87</v>
      </c>
      <c r="C2155" s="3">
        <v>38345</v>
      </c>
      <c r="D2155" s="3">
        <v>38452</v>
      </c>
      <c r="E2155" t="s">
        <v>18</v>
      </c>
      <c r="F2155">
        <v>1</v>
      </c>
      <c r="G2155">
        <v>12634</v>
      </c>
      <c r="H2155">
        <v>12634</v>
      </c>
      <c r="I2155" s="4">
        <v>38686</v>
      </c>
      <c r="J2155" s="5">
        <f t="shared" si="66"/>
        <v>234</v>
      </c>
      <c r="K2155" s="6" t="str">
        <f t="shared" si="67"/>
        <v>G181~360</v>
      </c>
      <c r="L2155" t="str">
        <f>IF(J2155&lt;0,"A~0",VLOOKUP(J2155,[1]作法V!$B$1:$C$9,2,TRUE))</f>
        <v>G181~360</v>
      </c>
    </row>
    <row r="2156" spans="1:12">
      <c r="A2156">
        <v>1182</v>
      </c>
      <c r="B2156" t="s">
        <v>87</v>
      </c>
      <c r="C2156" s="3">
        <v>38379</v>
      </c>
      <c r="D2156" s="3">
        <v>38482</v>
      </c>
      <c r="E2156" t="s">
        <v>18</v>
      </c>
      <c r="F2156">
        <v>1</v>
      </c>
      <c r="G2156">
        <v>18028</v>
      </c>
      <c r="H2156">
        <v>18028</v>
      </c>
      <c r="I2156" s="4">
        <v>38686</v>
      </c>
      <c r="J2156" s="5">
        <f t="shared" si="66"/>
        <v>204</v>
      </c>
      <c r="K2156" s="6" t="str">
        <f t="shared" si="67"/>
        <v>G181~360</v>
      </c>
      <c r="L2156" t="str">
        <f>IF(J2156&lt;0,"A~0",VLOOKUP(J2156,[1]作法V!$B$1:$C$9,2,TRUE))</f>
        <v>G181~360</v>
      </c>
    </row>
    <row r="2157" spans="1:12">
      <c r="A2157">
        <v>1182</v>
      </c>
      <c r="B2157" t="s">
        <v>87</v>
      </c>
      <c r="C2157" s="3">
        <v>38380</v>
      </c>
      <c r="D2157" s="3">
        <v>38482</v>
      </c>
      <c r="E2157" t="s">
        <v>18</v>
      </c>
      <c r="F2157">
        <v>1</v>
      </c>
      <c r="G2157">
        <v>3522</v>
      </c>
      <c r="H2157">
        <v>3522</v>
      </c>
      <c r="I2157" s="4">
        <v>38686</v>
      </c>
      <c r="J2157" s="5">
        <f t="shared" si="66"/>
        <v>204</v>
      </c>
      <c r="K2157" s="6" t="str">
        <f t="shared" si="67"/>
        <v>G181~360</v>
      </c>
      <c r="L2157" t="str">
        <f>IF(J2157&lt;0,"A~0",VLOOKUP(J2157,[1]作法V!$B$1:$C$9,2,TRUE))</f>
        <v>G181~360</v>
      </c>
    </row>
    <row r="2158" spans="1:12">
      <c r="A2158">
        <v>1182</v>
      </c>
      <c r="B2158" t="s">
        <v>87</v>
      </c>
      <c r="C2158" s="3">
        <v>38434</v>
      </c>
      <c r="D2158" s="3">
        <v>38543</v>
      </c>
      <c r="E2158" t="s">
        <v>18</v>
      </c>
      <c r="F2158">
        <v>1</v>
      </c>
      <c r="G2158">
        <v>8520</v>
      </c>
      <c r="H2158">
        <v>8520</v>
      </c>
      <c r="I2158" s="4">
        <v>38686</v>
      </c>
      <c r="J2158" s="5">
        <f t="shared" si="66"/>
        <v>143</v>
      </c>
      <c r="K2158" s="6" t="str">
        <f t="shared" si="67"/>
        <v>F121~180</v>
      </c>
      <c r="L2158" t="str">
        <f>IF(J2158&lt;0,"A~0",VLOOKUP(J2158,[1]作法V!$B$1:$C$9,2,TRUE))</f>
        <v>F121~180</v>
      </c>
    </row>
    <row r="2159" spans="1:12">
      <c r="A2159">
        <v>1182</v>
      </c>
      <c r="B2159" t="s">
        <v>87</v>
      </c>
      <c r="C2159" s="3">
        <v>38545</v>
      </c>
      <c r="D2159" s="3">
        <v>38686</v>
      </c>
      <c r="E2159" t="s">
        <v>18</v>
      </c>
      <c r="F2159">
        <v>1</v>
      </c>
      <c r="G2159">
        <v>79800</v>
      </c>
      <c r="H2159">
        <v>79800</v>
      </c>
      <c r="I2159" s="4">
        <v>38686</v>
      </c>
      <c r="J2159" s="5">
        <f t="shared" si="66"/>
        <v>0</v>
      </c>
      <c r="K2159" s="6" t="str">
        <f t="shared" si="67"/>
        <v>A~0</v>
      </c>
      <c r="L2159" t="str">
        <f>IF(J2159&lt;0,"A~0",VLOOKUP(J2159,[1]作法V!$B$1:$C$9,2,TRUE))</f>
        <v>A~0</v>
      </c>
    </row>
    <row r="2160" spans="1:12">
      <c r="A2160">
        <v>1182</v>
      </c>
      <c r="B2160" t="s">
        <v>87</v>
      </c>
      <c r="C2160" s="3">
        <v>38572</v>
      </c>
      <c r="D2160" s="3">
        <v>38716</v>
      </c>
      <c r="E2160" t="s">
        <v>18</v>
      </c>
      <c r="F2160">
        <v>1</v>
      </c>
      <c r="G2160">
        <v>4127</v>
      </c>
      <c r="H2160">
        <v>4127</v>
      </c>
      <c r="I2160" s="4">
        <v>38686</v>
      </c>
      <c r="J2160" s="5">
        <f t="shared" si="66"/>
        <v>-30</v>
      </c>
      <c r="K2160" s="6" t="str">
        <f t="shared" si="67"/>
        <v>A~0</v>
      </c>
      <c r="L2160" t="str">
        <f>IF(J2160&lt;0,"A~0",VLOOKUP(J2160,[1]作法V!$B$1:$C$9,2,TRUE))</f>
        <v>A~0</v>
      </c>
    </row>
    <row r="2161" spans="1:12">
      <c r="A2161">
        <v>1182</v>
      </c>
      <c r="B2161" t="s">
        <v>87</v>
      </c>
      <c r="C2161" s="3">
        <v>38583</v>
      </c>
      <c r="D2161" s="3">
        <v>38716</v>
      </c>
      <c r="E2161" t="s">
        <v>18</v>
      </c>
      <c r="F2161">
        <v>1</v>
      </c>
      <c r="G2161">
        <v>5250</v>
      </c>
      <c r="H2161">
        <v>5250</v>
      </c>
      <c r="I2161" s="4">
        <v>38686</v>
      </c>
      <c r="J2161" s="5">
        <f t="shared" si="66"/>
        <v>-30</v>
      </c>
      <c r="K2161" s="6" t="str">
        <f t="shared" si="67"/>
        <v>A~0</v>
      </c>
      <c r="L2161" t="str">
        <f>IF(J2161&lt;0,"A~0",VLOOKUP(J2161,[1]作法V!$B$1:$C$9,2,TRUE))</f>
        <v>A~0</v>
      </c>
    </row>
    <row r="2162" spans="1:12">
      <c r="A2162">
        <v>1182</v>
      </c>
      <c r="B2162" t="s">
        <v>87</v>
      </c>
      <c r="C2162" s="3">
        <v>38590</v>
      </c>
      <c r="D2162" s="3">
        <v>38747</v>
      </c>
      <c r="E2162" t="s">
        <v>18</v>
      </c>
      <c r="F2162">
        <v>1</v>
      </c>
      <c r="G2162">
        <v>2625</v>
      </c>
      <c r="H2162">
        <v>2625</v>
      </c>
      <c r="I2162" s="4">
        <v>38686</v>
      </c>
      <c r="J2162" s="5">
        <f t="shared" si="66"/>
        <v>-61</v>
      </c>
      <c r="K2162" s="6" t="str">
        <f t="shared" si="67"/>
        <v>A~0</v>
      </c>
      <c r="L2162" t="str">
        <f>IF(J2162&lt;0,"A~0",VLOOKUP(J2162,[1]作法V!$B$1:$C$9,2,TRUE))</f>
        <v>A~0</v>
      </c>
    </row>
    <row r="2163" spans="1:12">
      <c r="A2163">
        <v>1182</v>
      </c>
      <c r="B2163" t="s">
        <v>87</v>
      </c>
      <c r="C2163" s="3">
        <v>38593</v>
      </c>
      <c r="D2163" s="3">
        <v>38727</v>
      </c>
      <c r="E2163" t="s">
        <v>18</v>
      </c>
      <c r="F2163">
        <v>1</v>
      </c>
      <c r="G2163">
        <v>1607</v>
      </c>
      <c r="H2163">
        <v>1607</v>
      </c>
      <c r="I2163" s="4">
        <v>38686</v>
      </c>
      <c r="J2163" s="5">
        <f t="shared" si="66"/>
        <v>-41</v>
      </c>
      <c r="K2163" s="6" t="str">
        <f t="shared" si="67"/>
        <v>A~0</v>
      </c>
      <c r="L2163" t="str">
        <f>IF(J2163&lt;0,"A~0",VLOOKUP(J2163,[1]作法V!$B$1:$C$9,2,TRUE))</f>
        <v>A~0</v>
      </c>
    </row>
    <row r="2164" spans="1:12">
      <c r="A2164">
        <v>1182</v>
      </c>
      <c r="B2164" t="s">
        <v>87</v>
      </c>
      <c r="C2164" s="3">
        <v>38594</v>
      </c>
      <c r="D2164" s="3">
        <v>38747</v>
      </c>
      <c r="E2164" t="s">
        <v>18</v>
      </c>
      <c r="F2164">
        <v>1</v>
      </c>
      <c r="G2164">
        <v>3938</v>
      </c>
      <c r="H2164">
        <v>3938</v>
      </c>
      <c r="I2164" s="4">
        <v>38686</v>
      </c>
      <c r="J2164" s="5">
        <f t="shared" si="66"/>
        <v>-61</v>
      </c>
      <c r="K2164" s="6" t="str">
        <f t="shared" si="67"/>
        <v>A~0</v>
      </c>
      <c r="L2164" t="str">
        <f>IF(J2164&lt;0,"A~0",VLOOKUP(J2164,[1]作法V!$B$1:$C$9,2,TRUE))</f>
        <v>A~0</v>
      </c>
    </row>
    <row r="2165" spans="1:12">
      <c r="A2165">
        <v>1182</v>
      </c>
      <c r="B2165" t="s">
        <v>87</v>
      </c>
      <c r="C2165" s="3">
        <v>38645</v>
      </c>
      <c r="D2165" s="3">
        <v>38776</v>
      </c>
      <c r="E2165" t="s">
        <v>18</v>
      </c>
      <c r="F2165">
        <v>1</v>
      </c>
      <c r="G2165">
        <v>3203</v>
      </c>
      <c r="H2165">
        <v>3203</v>
      </c>
      <c r="I2165" s="4">
        <v>38686</v>
      </c>
      <c r="J2165" s="5">
        <f t="shared" si="66"/>
        <v>-90</v>
      </c>
      <c r="K2165" s="6" t="str">
        <f t="shared" si="67"/>
        <v>A~0</v>
      </c>
      <c r="L2165" t="str">
        <f>IF(J2165&lt;0,"A~0",VLOOKUP(J2165,[1]作法V!$B$1:$C$9,2,TRUE))</f>
        <v>A~0</v>
      </c>
    </row>
    <row r="2166" spans="1:12">
      <c r="A2166">
        <v>1182</v>
      </c>
      <c r="B2166" t="s">
        <v>87</v>
      </c>
      <c r="C2166" s="3">
        <v>38649</v>
      </c>
      <c r="D2166" s="3">
        <v>38776</v>
      </c>
      <c r="E2166" t="s">
        <v>18</v>
      </c>
      <c r="F2166">
        <v>1</v>
      </c>
      <c r="G2166">
        <v>3938</v>
      </c>
      <c r="H2166">
        <v>3938</v>
      </c>
      <c r="I2166" s="4">
        <v>38686</v>
      </c>
      <c r="J2166" s="5">
        <f t="shared" si="66"/>
        <v>-90</v>
      </c>
      <c r="K2166" s="6" t="str">
        <f t="shared" si="67"/>
        <v>A~0</v>
      </c>
      <c r="L2166" t="str">
        <f>IF(J2166&lt;0,"A~0",VLOOKUP(J2166,[1]作法V!$B$1:$C$9,2,TRUE))</f>
        <v>A~0</v>
      </c>
    </row>
    <row r="2167" spans="1:12">
      <c r="A2167">
        <v>1182</v>
      </c>
      <c r="B2167" t="s">
        <v>87</v>
      </c>
      <c r="C2167" s="3">
        <v>38658</v>
      </c>
      <c r="D2167" s="3">
        <v>38786</v>
      </c>
      <c r="E2167" t="s">
        <v>18</v>
      </c>
      <c r="F2167">
        <v>1</v>
      </c>
      <c r="G2167">
        <v>3213</v>
      </c>
      <c r="H2167">
        <v>3213</v>
      </c>
      <c r="I2167" s="4">
        <v>38686</v>
      </c>
      <c r="J2167" s="5">
        <f t="shared" si="66"/>
        <v>-100</v>
      </c>
      <c r="K2167" s="6" t="str">
        <f t="shared" si="67"/>
        <v>A~0</v>
      </c>
      <c r="L2167" t="str">
        <f>IF(J2167&lt;0,"A~0",VLOOKUP(J2167,[1]作法V!$B$1:$C$9,2,TRUE))</f>
        <v>A~0</v>
      </c>
    </row>
    <row r="2168" spans="1:12">
      <c r="A2168">
        <v>1182</v>
      </c>
      <c r="B2168" t="s">
        <v>87</v>
      </c>
      <c r="C2168" s="3">
        <v>38667</v>
      </c>
      <c r="D2168" s="3">
        <v>38806</v>
      </c>
      <c r="E2168" t="s">
        <v>18</v>
      </c>
      <c r="F2168">
        <v>1</v>
      </c>
      <c r="G2168">
        <v>3203</v>
      </c>
      <c r="H2168">
        <v>3203</v>
      </c>
      <c r="I2168" s="4">
        <v>38686</v>
      </c>
      <c r="J2168" s="5">
        <f t="shared" si="66"/>
        <v>-120</v>
      </c>
      <c r="K2168" s="6" t="str">
        <f t="shared" si="67"/>
        <v>A~0</v>
      </c>
      <c r="L2168" t="str">
        <f>IF(J2168&lt;0,"A~0",VLOOKUP(J2168,[1]作法V!$B$1:$C$9,2,TRUE))</f>
        <v>A~0</v>
      </c>
    </row>
    <row r="2169" spans="1:12">
      <c r="A2169">
        <v>1182</v>
      </c>
      <c r="B2169" t="s">
        <v>87</v>
      </c>
      <c r="C2169" s="3">
        <v>38672</v>
      </c>
      <c r="D2169" s="3">
        <v>38806</v>
      </c>
      <c r="E2169" t="s">
        <v>18</v>
      </c>
      <c r="F2169">
        <v>1</v>
      </c>
      <c r="G2169">
        <v>9608</v>
      </c>
      <c r="H2169">
        <v>9608</v>
      </c>
      <c r="I2169" s="4">
        <v>38686</v>
      </c>
      <c r="J2169" s="5">
        <f t="shared" si="66"/>
        <v>-120</v>
      </c>
      <c r="K2169" s="6" t="str">
        <f t="shared" si="67"/>
        <v>A~0</v>
      </c>
      <c r="L2169" t="str">
        <f>IF(J2169&lt;0,"A~0",VLOOKUP(J2169,[1]作法V!$B$1:$C$9,2,TRUE))</f>
        <v>A~0</v>
      </c>
    </row>
    <row r="2170" spans="1:12">
      <c r="A2170">
        <v>1182</v>
      </c>
      <c r="B2170" t="s">
        <v>87</v>
      </c>
      <c r="C2170" s="3">
        <v>38674</v>
      </c>
      <c r="D2170" s="3">
        <v>38806</v>
      </c>
      <c r="E2170" t="s">
        <v>18</v>
      </c>
      <c r="F2170">
        <v>1</v>
      </c>
      <c r="G2170">
        <v>2940</v>
      </c>
      <c r="H2170">
        <v>2940</v>
      </c>
      <c r="I2170" s="4">
        <v>38686</v>
      </c>
      <c r="J2170" s="5">
        <f t="shared" si="66"/>
        <v>-120</v>
      </c>
      <c r="K2170" s="6" t="str">
        <f t="shared" si="67"/>
        <v>A~0</v>
      </c>
      <c r="L2170" t="str">
        <f>IF(J2170&lt;0,"A~0",VLOOKUP(J2170,[1]作法V!$B$1:$C$9,2,TRUE))</f>
        <v>A~0</v>
      </c>
    </row>
    <row r="2171" spans="1:12">
      <c r="A2171">
        <v>1204</v>
      </c>
      <c r="B2171" t="s">
        <v>106</v>
      </c>
      <c r="C2171" s="3">
        <v>38608</v>
      </c>
      <c r="D2171" s="3">
        <v>38727</v>
      </c>
      <c r="E2171" t="s">
        <v>18</v>
      </c>
      <c r="F2171">
        <v>1</v>
      </c>
      <c r="G2171">
        <v>4725</v>
      </c>
      <c r="H2171">
        <v>4725</v>
      </c>
      <c r="I2171" s="4">
        <v>38686</v>
      </c>
      <c r="J2171" s="5">
        <f t="shared" si="66"/>
        <v>-41</v>
      </c>
      <c r="K2171" s="6" t="str">
        <f t="shared" si="67"/>
        <v>A~0</v>
      </c>
      <c r="L2171" t="str">
        <f>IF(J2171&lt;0,"A~0",VLOOKUP(J2171,[1]作法V!$B$1:$C$9,2,TRUE))</f>
        <v>A~0</v>
      </c>
    </row>
    <row r="2172" spans="1:12">
      <c r="A2172">
        <v>1204</v>
      </c>
      <c r="B2172" t="s">
        <v>106</v>
      </c>
      <c r="C2172" s="3">
        <v>38608</v>
      </c>
      <c r="D2172" s="3">
        <v>38727</v>
      </c>
      <c r="E2172" t="s">
        <v>18</v>
      </c>
      <c r="F2172">
        <v>1</v>
      </c>
      <c r="G2172">
        <v>9450</v>
      </c>
      <c r="H2172">
        <v>9450</v>
      </c>
      <c r="I2172" s="4">
        <v>38686</v>
      </c>
      <c r="J2172" s="5">
        <f t="shared" si="66"/>
        <v>-41</v>
      </c>
      <c r="K2172" s="6" t="str">
        <f t="shared" si="67"/>
        <v>A~0</v>
      </c>
      <c r="L2172" t="str">
        <f>IF(J2172&lt;0,"A~0",VLOOKUP(J2172,[1]作法V!$B$1:$C$9,2,TRUE))</f>
        <v>A~0</v>
      </c>
    </row>
    <row r="2173" spans="1:12">
      <c r="A2173">
        <v>1204</v>
      </c>
      <c r="B2173" t="s">
        <v>106</v>
      </c>
      <c r="C2173" s="3">
        <v>38663</v>
      </c>
      <c r="D2173" s="3">
        <v>38786</v>
      </c>
      <c r="E2173" t="s">
        <v>18</v>
      </c>
      <c r="F2173">
        <v>1</v>
      </c>
      <c r="G2173">
        <v>34020</v>
      </c>
      <c r="H2173">
        <v>34020</v>
      </c>
      <c r="I2173" s="4">
        <v>38686</v>
      </c>
      <c r="J2173" s="5">
        <f t="shared" si="66"/>
        <v>-100</v>
      </c>
      <c r="K2173" s="6" t="str">
        <f t="shared" si="67"/>
        <v>A~0</v>
      </c>
      <c r="L2173" t="str">
        <f>IF(J2173&lt;0,"A~0",VLOOKUP(J2173,[1]作法V!$B$1:$C$9,2,TRUE))</f>
        <v>A~0</v>
      </c>
    </row>
    <row r="2174" spans="1:12">
      <c r="A2174">
        <v>1204</v>
      </c>
      <c r="B2174" t="s">
        <v>106</v>
      </c>
      <c r="C2174" s="3">
        <v>38663</v>
      </c>
      <c r="D2174" s="3">
        <v>38786</v>
      </c>
      <c r="E2174" t="s">
        <v>18</v>
      </c>
      <c r="F2174">
        <v>1</v>
      </c>
      <c r="G2174">
        <v>6300</v>
      </c>
      <c r="H2174">
        <v>6300</v>
      </c>
      <c r="I2174" s="4">
        <v>38686</v>
      </c>
      <c r="J2174" s="5">
        <f t="shared" si="66"/>
        <v>-100</v>
      </c>
      <c r="K2174" s="6" t="str">
        <f t="shared" si="67"/>
        <v>A~0</v>
      </c>
      <c r="L2174" t="str">
        <f>IF(J2174&lt;0,"A~0",VLOOKUP(J2174,[1]作法V!$B$1:$C$9,2,TRUE))</f>
        <v>A~0</v>
      </c>
    </row>
    <row r="2175" spans="1:12">
      <c r="A2175">
        <v>1204</v>
      </c>
      <c r="B2175" t="s">
        <v>106</v>
      </c>
      <c r="C2175" s="3">
        <v>38663</v>
      </c>
      <c r="D2175" s="3">
        <v>38786</v>
      </c>
      <c r="E2175" t="s">
        <v>18</v>
      </c>
      <c r="F2175">
        <v>1</v>
      </c>
      <c r="G2175">
        <v>9450</v>
      </c>
      <c r="H2175">
        <v>9450</v>
      </c>
      <c r="I2175" s="4">
        <v>38686</v>
      </c>
      <c r="J2175" s="5">
        <f t="shared" si="66"/>
        <v>-100</v>
      </c>
      <c r="K2175" s="6" t="str">
        <f t="shared" si="67"/>
        <v>A~0</v>
      </c>
      <c r="L2175" t="str">
        <f>IF(J2175&lt;0,"A~0",VLOOKUP(J2175,[1]作法V!$B$1:$C$9,2,TRUE))</f>
        <v>A~0</v>
      </c>
    </row>
    <row r="2176" spans="1:12">
      <c r="A2176">
        <v>1205</v>
      </c>
      <c r="B2176" t="s">
        <v>98</v>
      </c>
      <c r="C2176" s="3">
        <v>37998</v>
      </c>
      <c r="D2176" s="3">
        <v>38046</v>
      </c>
      <c r="E2176" t="s">
        <v>17</v>
      </c>
      <c r="F2176">
        <v>33.85</v>
      </c>
      <c r="G2176">
        <v>1360</v>
      </c>
      <c r="H2176">
        <v>46036</v>
      </c>
      <c r="I2176" s="4">
        <v>38686</v>
      </c>
      <c r="J2176" s="5">
        <f t="shared" si="66"/>
        <v>640</v>
      </c>
      <c r="K2176" s="6" t="str">
        <f t="shared" si="67"/>
        <v>H361~</v>
      </c>
      <c r="L2176" t="str">
        <f>IF(J2176&lt;0,"A~0",VLOOKUP(J2176,[1]作法V!$B$1:$C$9,2,TRUE))</f>
        <v>H361~</v>
      </c>
    </row>
    <row r="2177" spans="1:12">
      <c r="A2177">
        <v>1205</v>
      </c>
      <c r="B2177" t="s">
        <v>98</v>
      </c>
      <c r="C2177" s="3">
        <v>37999</v>
      </c>
      <c r="D2177" s="3">
        <v>38046</v>
      </c>
      <c r="E2177" t="s">
        <v>17</v>
      </c>
      <c r="F2177">
        <v>33.85</v>
      </c>
      <c r="G2177">
        <v>1360</v>
      </c>
      <c r="H2177">
        <v>46036</v>
      </c>
      <c r="I2177" s="4">
        <v>38686</v>
      </c>
      <c r="J2177" s="5">
        <f t="shared" si="66"/>
        <v>640</v>
      </c>
      <c r="K2177" s="6" t="str">
        <f t="shared" si="67"/>
        <v>H361~</v>
      </c>
      <c r="L2177" t="str">
        <f>IF(J2177&lt;0,"A~0",VLOOKUP(J2177,[1]作法V!$B$1:$C$9,2,TRUE))</f>
        <v>H361~</v>
      </c>
    </row>
    <row r="2178" spans="1:12">
      <c r="A2178">
        <v>1205</v>
      </c>
      <c r="B2178" t="s">
        <v>98</v>
      </c>
      <c r="C2178" s="3">
        <v>38153</v>
      </c>
      <c r="D2178" s="3">
        <v>38198</v>
      </c>
      <c r="E2178" t="s">
        <v>17</v>
      </c>
      <c r="F2178">
        <v>33.54</v>
      </c>
      <c r="G2178">
        <v>17.8</v>
      </c>
      <c r="H2178">
        <v>597</v>
      </c>
      <c r="I2178" s="4">
        <v>38686</v>
      </c>
      <c r="J2178" s="5">
        <f t="shared" ref="J2178:J2241" si="68">I2178-D2178</f>
        <v>488</v>
      </c>
      <c r="K2178" s="6" t="str">
        <f t="shared" ref="K2178:K2241" si="69">IF(J2178&lt;1,"A~0",IF(J2178&lt;31,"B1~30",IF(J2178&lt;61,"C31~60",IF(J2178&lt;91,"D61~90",IF(J2178&lt;121,"E91~120",IF(J2178&lt;181,"F121~180",IF(J2178&lt;361,"G181~360","H361~")))))))</f>
        <v>H361~</v>
      </c>
      <c r="L2178" t="str">
        <f>IF(J2178&lt;0,"A~0",VLOOKUP(J2178,[1]作法V!$B$1:$C$9,2,TRUE))</f>
        <v>H361~</v>
      </c>
    </row>
    <row r="2179" spans="1:12">
      <c r="A2179">
        <v>1205</v>
      </c>
      <c r="B2179" t="s">
        <v>98</v>
      </c>
      <c r="C2179" s="3">
        <v>38230</v>
      </c>
      <c r="D2179" s="3">
        <v>38260</v>
      </c>
      <c r="E2179" t="s">
        <v>17</v>
      </c>
      <c r="F2179">
        <v>34.14</v>
      </c>
      <c r="G2179">
        <v>1868.74</v>
      </c>
      <c r="H2179">
        <v>63799</v>
      </c>
      <c r="I2179" s="4">
        <v>38686</v>
      </c>
      <c r="J2179" s="5">
        <f t="shared" si="68"/>
        <v>426</v>
      </c>
      <c r="K2179" s="6" t="str">
        <f t="shared" si="69"/>
        <v>H361~</v>
      </c>
      <c r="L2179" t="str">
        <f>IF(J2179&lt;0,"A~0",VLOOKUP(J2179,[1]作法V!$B$1:$C$9,2,TRUE))</f>
        <v>H361~</v>
      </c>
    </row>
    <row r="2180" spans="1:12">
      <c r="A2180">
        <v>1205</v>
      </c>
      <c r="B2180" t="s">
        <v>98</v>
      </c>
      <c r="C2180" s="3">
        <v>38422</v>
      </c>
      <c r="D2180" s="3">
        <v>38472</v>
      </c>
      <c r="E2180" t="s">
        <v>17</v>
      </c>
      <c r="F2180">
        <v>30.91</v>
      </c>
      <c r="G2180">
        <v>259.2</v>
      </c>
      <c r="H2180">
        <v>8012</v>
      </c>
      <c r="I2180" s="4">
        <v>38686</v>
      </c>
      <c r="J2180" s="5">
        <f t="shared" si="68"/>
        <v>214</v>
      </c>
      <c r="K2180" s="6" t="str">
        <f t="shared" si="69"/>
        <v>G181~360</v>
      </c>
      <c r="L2180" t="str">
        <f>IF(J2180&lt;0,"A~0",VLOOKUP(J2180,[1]作法V!$B$1:$C$9,2,TRUE))</f>
        <v>G181~360</v>
      </c>
    </row>
    <row r="2181" spans="1:12">
      <c r="A2181">
        <v>1205</v>
      </c>
      <c r="B2181" t="s">
        <v>98</v>
      </c>
      <c r="C2181" s="3">
        <v>38441</v>
      </c>
      <c r="D2181" s="3">
        <v>38472</v>
      </c>
      <c r="E2181" t="s">
        <v>18</v>
      </c>
      <c r="F2181">
        <v>1</v>
      </c>
      <c r="G2181">
        <v>656</v>
      </c>
      <c r="H2181">
        <v>656</v>
      </c>
      <c r="I2181" s="4">
        <v>38686</v>
      </c>
      <c r="J2181" s="5">
        <f t="shared" si="68"/>
        <v>214</v>
      </c>
      <c r="K2181" s="6" t="str">
        <f t="shared" si="69"/>
        <v>G181~360</v>
      </c>
      <c r="L2181" t="str">
        <f>IF(J2181&lt;0,"A~0",VLOOKUP(J2181,[1]作法V!$B$1:$C$9,2,TRUE))</f>
        <v>G181~360</v>
      </c>
    </row>
    <row r="2182" spans="1:12">
      <c r="A2182">
        <v>1205</v>
      </c>
      <c r="B2182" t="s">
        <v>98</v>
      </c>
      <c r="C2182" s="3">
        <v>38477</v>
      </c>
      <c r="D2182" s="3">
        <v>38533</v>
      </c>
      <c r="E2182" t="s">
        <v>18</v>
      </c>
      <c r="F2182">
        <v>1</v>
      </c>
      <c r="G2182">
        <v>3780</v>
      </c>
      <c r="H2182">
        <v>3780</v>
      </c>
      <c r="I2182" s="4">
        <v>38686</v>
      </c>
      <c r="J2182" s="5">
        <f t="shared" si="68"/>
        <v>153</v>
      </c>
      <c r="K2182" s="6" t="str">
        <f t="shared" si="69"/>
        <v>F121~180</v>
      </c>
      <c r="L2182" t="str">
        <f>IF(J2182&lt;0,"A~0",VLOOKUP(J2182,[1]作法V!$B$1:$C$9,2,TRUE))</f>
        <v>F121~180</v>
      </c>
    </row>
    <row r="2183" spans="1:12">
      <c r="A2183">
        <v>1205</v>
      </c>
      <c r="B2183" t="s">
        <v>98</v>
      </c>
      <c r="C2183" s="3">
        <v>38600</v>
      </c>
      <c r="D2183" s="3">
        <v>38655</v>
      </c>
      <c r="E2183" t="s">
        <v>17</v>
      </c>
      <c r="F2183">
        <v>32.195</v>
      </c>
      <c r="G2183">
        <v>5606.21</v>
      </c>
      <c r="H2183">
        <v>180492</v>
      </c>
      <c r="I2183" s="4">
        <v>38686</v>
      </c>
      <c r="J2183" s="5">
        <f t="shared" si="68"/>
        <v>31</v>
      </c>
      <c r="K2183" s="6" t="str">
        <f t="shared" si="69"/>
        <v>C31~60</v>
      </c>
      <c r="L2183" t="str">
        <f>IF(J2183&lt;0,"A~0",VLOOKUP(J2183,[1]作法V!$B$1:$C$9,2,TRUE))</f>
        <v>C31~60</v>
      </c>
    </row>
    <row r="2184" spans="1:12">
      <c r="A2184">
        <v>1205</v>
      </c>
      <c r="B2184" t="s">
        <v>98</v>
      </c>
      <c r="C2184" s="3">
        <v>38607</v>
      </c>
      <c r="D2184" s="3">
        <v>38655</v>
      </c>
      <c r="E2184" t="s">
        <v>17</v>
      </c>
      <c r="F2184">
        <v>32.365000000000002</v>
      </c>
      <c r="G2184">
        <v>2856</v>
      </c>
      <c r="H2184">
        <v>92434</v>
      </c>
      <c r="I2184" s="4">
        <v>38686</v>
      </c>
      <c r="J2184" s="5">
        <f t="shared" si="68"/>
        <v>31</v>
      </c>
      <c r="K2184" s="6" t="str">
        <f t="shared" si="69"/>
        <v>C31~60</v>
      </c>
      <c r="L2184" t="str">
        <f>IF(J2184&lt;0,"A~0",VLOOKUP(J2184,[1]作法V!$B$1:$C$9,2,TRUE))</f>
        <v>C31~60</v>
      </c>
    </row>
    <row r="2185" spans="1:12">
      <c r="A2185">
        <v>1205</v>
      </c>
      <c r="B2185" t="s">
        <v>98</v>
      </c>
      <c r="C2185" s="3">
        <v>38618</v>
      </c>
      <c r="D2185" s="3">
        <v>38655</v>
      </c>
      <c r="E2185" t="s">
        <v>17</v>
      </c>
      <c r="F2185">
        <v>32.799999999999997</v>
      </c>
      <c r="G2185">
        <v>571.20000000000005</v>
      </c>
      <c r="H2185">
        <v>18735</v>
      </c>
      <c r="I2185" s="4">
        <v>38686</v>
      </c>
      <c r="J2185" s="5">
        <f t="shared" si="68"/>
        <v>31</v>
      </c>
      <c r="K2185" s="6" t="str">
        <f t="shared" si="69"/>
        <v>C31~60</v>
      </c>
      <c r="L2185" t="str">
        <f>IF(J2185&lt;0,"A~0",VLOOKUP(J2185,[1]作法V!$B$1:$C$9,2,TRUE))</f>
        <v>C31~60</v>
      </c>
    </row>
    <row r="2186" spans="1:12">
      <c r="A2186">
        <v>1205</v>
      </c>
      <c r="B2186" t="s">
        <v>98</v>
      </c>
      <c r="C2186" s="3">
        <v>38618</v>
      </c>
      <c r="D2186" s="3">
        <v>38655</v>
      </c>
      <c r="E2186" t="s">
        <v>17</v>
      </c>
      <c r="F2186">
        <v>32.799999999999997</v>
      </c>
      <c r="G2186">
        <v>3712.8</v>
      </c>
      <c r="H2186">
        <v>121780</v>
      </c>
      <c r="I2186" s="4">
        <v>38686</v>
      </c>
      <c r="J2186" s="5">
        <f t="shared" si="68"/>
        <v>31</v>
      </c>
      <c r="K2186" s="6" t="str">
        <f t="shared" si="69"/>
        <v>C31~60</v>
      </c>
      <c r="L2186" t="str">
        <f>IF(J2186&lt;0,"A~0",VLOOKUP(J2186,[1]作法V!$B$1:$C$9,2,TRUE))</f>
        <v>C31~60</v>
      </c>
    </row>
    <row r="2187" spans="1:12">
      <c r="A2187">
        <v>1205</v>
      </c>
      <c r="B2187" t="s">
        <v>98</v>
      </c>
      <c r="C2187" s="3">
        <v>38637</v>
      </c>
      <c r="D2187" s="3">
        <v>38686</v>
      </c>
      <c r="E2187" t="s">
        <v>18</v>
      </c>
      <c r="F2187">
        <v>1</v>
      </c>
      <c r="G2187">
        <v>30450</v>
      </c>
      <c r="H2187">
        <v>30450</v>
      </c>
      <c r="I2187" s="4">
        <v>38686</v>
      </c>
      <c r="J2187" s="5">
        <f t="shared" si="68"/>
        <v>0</v>
      </c>
      <c r="K2187" s="6" t="str">
        <f t="shared" si="69"/>
        <v>A~0</v>
      </c>
      <c r="L2187" t="str">
        <f>IF(J2187&lt;0,"A~0",VLOOKUP(J2187,[1]作法V!$B$1:$C$9,2,TRUE))</f>
        <v>A~0</v>
      </c>
    </row>
    <row r="2188" spans="1:12">
      <c r="A2188">
        <v>1205</v>
      </c>
      <c r="B2188" t="s">
        <v>98</v>
      </c>
      <c r="C2188" s="3">
        <v>38639</v>
      </c>
      <c r="D2188" s="3">
        <v>38686</v>
      </c>
      <c r="E2188" t="s">
        <v>18</v>
      </c>
      <c r="F2188">
        <v>1</v>
      </c>
      <c r="G2188">
        <v>15750</v>
      </c>
      <c r="H2188">
        <v>15750</v>
      </c>
      <c r="I2188" s="4">
        <v>38686</v>
      </c>
      <c r="J2188" s="5">
        <f t="shared" si="68"/>
        <v>0</v>
      </c>
      <c r="K2188" s="6" t="str">
        <f t="shared" si="69"/>
        <v>A~0</v>
      </c>
      <c r="L2188" t="str">
        <f>IF(J2188&lt;0,"A~0",VLOOKUP(J2188,[1]作法V!$B$1:$C$9,2,TRUE))</f>
        <v>A~0</v>
      </c>
    </row>
    <row r="2189" spans="1:12">
      <c r="A2189">
        <v>1205</v>
      </c>
      <c r="B2189" t="s">
        <v>98</v>
      </c>
      <c r="C2189" s="3">
        <v>38642</v>
      </c>
      <c r="D2189" s="3">
        <v>38686</v>
      </c>
      <c r="E2189" t="s">
        <v>17</v>
      </c>
      <c r="F2189">
        <v>33.195</v>
      </c>
      <c r="G2189">
        <v>926.1</v>
      </c>
      <c r="H2189">
        <v>30742</v>
      </c>
      <c r="I2189" s="4">
        <v>38686</v>
      </c>
      <c r="J2189" s="5">
        <f t="shared" si="68"/>
        <v>0</v>
      </c>
      <c r="K2189" s="6" t="str">
        <f t="shared" si="69"/>
        <v>A~0</v>
      </c>
      <c r="L2189" t="str">
        <f>IF(J2189&lt;0,"A~0",VLOOKUP(J2189,[1]作法V!$B$1:$C$9,2,TRUE))</f>
        <v>A~0</v>
      </c>
    </row>
    <row r="2190" spans="1:12">
      <c r="A2190">
        <v>1205</v>
      </c>
      <c r="B2190" t="s">
        <v>98</v>
      </c>
      <c r="C2190" s="3">
        <v>38645</v>
      </c>
      <c r="D2190" s="3">
        <v>38686</v>
      </c>
      <c r="E2190" t="s">
        <v>17</v>
      </c>
      <c r="F2190">
        <v>33.195</v>
      </c>
      <c r="G2190">
        <v>142.80000000000001</v>
      </c>
      <c r="H2190">
        <v>4740</v>
      </c>
      <c r="I2190" s="4">
        <v>38686</v>
      </c>
      <c r="J2190" s="5">
        <f t="shared" si="68"/>
        <v>0</v>
      </c>
      <c r="K2190" s="6" t="str">
        <f t="shared" si="69"/>
        <v>A~0</v>
      </c>
      <c r="L2190" t="str">
        <f>IF(J2190&lt;0,"A~0",VLOOKUP(J2190,[1]作法V!$B$1:$C$9,2,TRUE))</f>
        <v>A~0</v>
      </c>
    </row>
    <row r="2191" spans="1:12">
      <c r="A2191">
        <v>1205</v>
      </c>
      <c r="B2191" t="s">
        <v>98</v>
      </c>
      <c r="C2191" s="3">
        <v>38645</v>
      </c>
      <c r="D2191" s="3">
        <v>38686</v>
      </c>
      <c r="E2191" t="s">
        <v>17</v>
      </c>
      <c r="F2191">
        <v>33.195</v>
      </c>
      <c r="G2191">
        <v>226.8</v>
      </c>
      <c r="H2191">
        <v>7529</v>
      </c>
      <c r="I2191" s="4">
        <v>38686</v>
      </c>
      <c r="J2191" s="5">
        <f t="shared" si="68"/>
        <v>0</v>
      </c>
      <c r="K2191" s="6" t="str">
        <f t="shared" si="69"/>
        <v>A~0</v>
      </c>
      <c r="L2191" t="str">
        <f>IF(J2191&lt;0,"A~0",VLOOKUP(J2191,[1]作法V!$B$1:$C$9,2,TRUE))</f>
        <v>A~0</v>
      </c>
    </row>
    <row r="2192" spans="1:12">
      <c r="A2192">
        <v>1205</v>
      </c>
      <c r="B2192" t="s">
        <v>98</v>
      </c>
      <c r="C2192" s="3">
        <v>38649</v>
      </c>
      <c r="D2192" s="3">
        <v>38686</v>
      </c>
      <c r="E2192" t="s">
        <v>17</v>
      </c>
      <c r="F2192">
        <v>33.4</v>
      </c>
      <c r="G2192">
        <v>2160.9</v>
      </c>
      <c r="H2192">
        <v>72174</v>
      </c>
      <c r="I2192" s="4">
        <v>38686</v>
      </c>
      <c r="J2192" s="5">
        <f t="shared" si="68"/>
        <v>0</v>
      </c>
      <c r="K2192" s="6" t="str">
        <f t="shared" si="69"/>
        <v>A~0</v>
      </c>
      <c r="L2192" t="str">
        <f>IF(J2192&lt;0,"A~0",VLOOKUP(J2192,[1]作法V!$B$1:$C$9,2,TRUE))</f>
        <v>A~0</v>
      </c>
    </row>
    <row r="2193" spans="1:12">
      <c r="A2193">
        <v>1205</v>
      </c>
      <c r="B2193" t="s">
        <v>98</v>
      </c>
      <c r="C2193" s="3">
        <v>38680</v>
      </c>
      <c r="D2193" s="3">
        <v>38716</v>
      </c>
      <c r="E2193" t="s">
        <v>17</v>
      </c>
      <c r="F2193">
        <v>33.409999999999997</v>
      </c>
      <c r="G2193">
        <v>1285.2</v>
      </c>
      <c r="H2193">
        <v>42939</v>
      </c>
      <c r="I2193" s="4">
        <v>38686</v>
      </c>
      <c r="J2193" s="5">
        <f t="shared" si="68"/>
        <v>-30</v>
      </c>
      <c r="K2193" s="6" t="str">
        <f t="shared" si="69"/>
        <v>A~0</v>
      </c>
      <c r="L2193" t="str">
        <f>IF(J2193&lt;0,"A~0",VLOOKUP(J2193,[1]作法V!$B$1:$C$9,2,TRUE))</f>
        <v>A~0</v>
      </c>
    </row>
    <row r="2194" spans="1:12">
      <c r="A2194">
        <v>1205</v>
      </c>
      <c r="B2194" t="s">
        <v>98</v>
      </c>
      <c r="C2194" s="3">
        <v>38681</v>
      </c>
      <c r="D2194" s="3">
        <v>38716</v>
      </c>
      <c r="E2194" t="s">
        <v>17</v>
      </c>
      <c r="F2194">
        <v>33.409999999999997</v>
      </c>
      <c r="G2194">
        <v>2427.6</v>
      </c>
      <c r="H2194">
        <v>81106</v>
      </c>
      <c r="I2194" s="4">
        <v>38686</v>
      </c>
      <c r="J2194" s="5">
        <f t="shared" si="68"/>
        <v>-30</v>
      </c>
      <c r="K2194" s="6" t="str">
        <f t="shared" si="69"/>
        <v>A~0</v>
      </c>
      <c r="L2194" t="str">
        <f>IF(J2194&lt;0,"A~0",VLOOKUP(J2194,[1]作法V!$B$1:$C$9,2,TRUE))</f>
        <v>A~0</v>
      </c>
    </row>
    <row r="2195" spans="1:12">
      <c r="A2195">
        <v>1213</v>
      </c>
      <c r="B2195" t="s">
        <v>113</v>
      </c>
      <c r="C2195" s="3">
        <v>37573</v>
      </c>
      <c r="D2195" s="3">
        <v>37646</v>
      </c>
      <c r="E2195" t="s">
        <v>17</v>
      </c>
      <c r="F2195">
        <v>34.708911999999998</v>
      </c>
      <c r="G2195">
        <v>5075.53</v>
      </c>
      <c r="H2195">
        <v>176166</v>
      </c>
      <c r="I2195" s="4">
        <v>38686</v>
      </c>
      <c r="J2195" s="5">
        <f t="shared" si="68"/>
        <v>1040</v>
      </c>
      <c r="K2195" s="6" t="str">
        <f t="shared" si="69"/>
        <v>H361~</v>
      </c>
      <c r="L2195" t="str">
        <f>IF(J2195&lt;0,"A~0",VLOOKUP(J2195,[1]作法V!$B$1:$C$9,2,TRUE))</f>
        <v>H361~</v>
      </c>
    </row>
    <row r="2196" spans="1:12">
      <c r="A2196">
        <v>1213</v>
      </c>
      <c r="B2196" t="s">
        <v>113</v>
      </c>
      <c r="C2196" s="3">
        <v>37669</v>
      </c>
      <c r="D2196" s="3">
        <v>37736</v>
      </c>
      <c r="E2196" t="s">
        <v>17</v>
      </c>
      <c r="F2196">
        <v>34.608116000000003</v>
      </c>
      <c r="G2196">
        <v>3434.05</v>
      </c>
      <c r="H2196">
        <v>118846</v>
      </c>
      <c r="I2196" s="4">
        <v>38686</v>
      </c>
      <c r="J2196" s="5">
        <f t="shared" si="68"/>
        <v>950</v>
      </c>
      <c r="K2196" s="6" t="str">
        <f t="shared" si="69"/>
        <v>H361~</v>
      </c>
      <c r="L2196" t="str">
        <f>IF(J2196&lt;0,"A~0",VLOOKUP(J2196,[1]作法V!$B$1:$C$9,2,TRUE))</f>
        <v>H361~</v>
      </c>
    </row>
    <row r="2197" spans="1:12">
      <c r="A2197">
        <v>1214</v>
      </c>
      <c r="B2197" t="s">
        <v>115</v>
      </c>
      <c r="C2197" s="3">
        <v>37281</v>
      </c>
      <c r="D2197" s="3">
        <v>37417</v>
      </c>
      <c r="E2197" t="s">
        <v>17</v>
      </c>
      <c r="F2197">
        <v>35</v>
      </c>
      <c r="G2197">
        <v>693.34</v>
      </c>
      <c r="H2197">
        <v>24267</v>
      </c>
      <c r="I2197" s="4">
        <v>38686</v>
      </c>
      <c r="J2197" s="5">
        <f t="shared" si="68"/>
        <v>1269</v>
      </c>
      <c r="K2197" s="6" t="str">
        <f t="shared" si="69"/>
        <v>H361~</v>
      </c>
      <c r="L2197" t="str">
        <f>IF(J2197&lt;0,"A~0",VLOOKUP(J2197,[1]作法V!$B$1:$C$9,2,TRUE))</f>
        <v>H361~</v>
      </c>
    </row>
    <row r="2198" spans="1:12">
      <c r="A2198">
        <v>1214</v>
      </c>
      <c r="B2198" t="s">
        <v>115</v>
      </c>
      <c r="C2198" s="3">
        <v>37312</v>
      </c>
      <c r="D2198" s="3">
        <v>37447</v>
      </c>
      <c r="E2198" t="s">
        <v>17</v>
      </c>
      <c r="F2198">
        <v>35</v>
      </c>
      <c r="G2198">
        <v>1874.66</v>
      </c>
      <c r="H2198">
        <v>65613</v>
      </c>
      <c r="I2198" s="4">
        <v>38686</v>
      </c>
      <c r="J2198" s="5">
        <f t="shared" si="68"/>
        <v>1239</v>
      </c>
      <c r="K2198" s="6" t="str">
        <f t="shared" si="69"/>
        <v>H361~</v>
      </c>
      <c r="L2198" t="str">
        <f>IF(J2198&lt;0,"A~0",VLOOKUP(J2198,[1]作法V!$B$1:$C$9,2,TRUE))</f>
        <v>H361~</v>
      </c>
    </row>
    <row r="2199" spans="1:12">
      <c r="A2199">
        <v>1214</v>
      </c>
      <c r="B2199" t="s">
        <v>115</v>
      </c>
      <c r="C2199" s="3">
        <v>37414</v>
      </c>
      <c r="D2199" s="3">
        <v>37539</v>
      </c>
      <c r="E2199" t="s">
        <v>17</v>
      </c>
      <c r="F2199">
        <v>34.354809000000003</v>
      </c>
      <c r="G2199">
        <v>1071</v>
      </c>
      <c r="H2199">
        <v>36794</v>
      </c>
      <c r="I2199" s="4">
        <v>38686</v>
      </c>
      <c r="J2199" s="5">
        <f t="shared" si="68"/>
        <v>1147</v>
      </c>
      <c r="K2199" s="6" t="str">
        <f t="shared" si="69"/>
        <v>H361~</v>
      </c>
      <c r="L2199" t="str">
        <f>IF(J2199&lt;0,"A~0",VLOOKUP(J2199,[1]作法V!$B$1:$C$9,2,TRUE))</f>
        <v>H361~</v>
      </c>
    </row>
    <row r="2200" spans="1:12">
      <c r="A2200">
        <v>1214</v>
      </c>
      <c r="B2200" t="s">
        <v>115</v>
      </c>
      <c r="C2200" s="3">
        <v>37434</v>
      </c>
      <c r="D2200" s="3">
        <v>37570</v>
      </c>
      <c r="E2200" t="s">
        <v>17</v>
      </c>
      <c r="F2200">
        <v>34.049788999999997</v>
      </c>
      <c r="G2200">
        <v>2534.6999999999998</v>
      </c>
      <c r="H2200">
        <v>86306</v>
      </c>
      <c r="I2200" s="4">
        <v>38686</v>
      </c>
      <c r="J2200" s="5">
        <f t="shared" si="68"/>
        <v>1116</v>
      </c>
      <c r="K2200" s="6" t="str">
        <f t="shared" si="69"/>
        <v>H361~</v>
      </c>
      <c r="L2200" t="str">
        <f>IF(J2200&lt;0,"A~0",VLOOKUP(J2200,[1]作法V!$B$1:$C$9,2,TRUE))</f>
        <v>H361~</v>
      </c>
    </row>
    <row r="2201" spans="1:12">
      <c r="A2201">
        <v>1214</v>
      </c>
      <c r="B2201" t="s">
        <v>115</v>
      </c>
      <c r="C2201" s="3">
        <v>37434</v>
      </c>
      <c r="D2201" s="3">
        <v>37570</v>
      </c>
      <c r="E2201" t="s">
        <v>17</v>
      </c>
      <c r="F2201">
        <v>34.049999999999997</v>
      </c>
      <c r="G2201">
        <v>200</v>
      </c>
      <c r="H2201">
        <v>6810</v>
      </c>
      <c r="I2201" s="4">
        <v>38686</v>
      </c>
      <c r="J2201" s="5">
        <f t="shared" si="68"/>
        <v>1116</v>
      </c>
      <c r="K2201" s="6" t="str">
        <f t="shared" si="69"/>
        <v>H361~</v>
      </c>
      <c r="L2201" t="str">
        <f>IF(J2201&lt;0,"A~0",VLOOKUP(J2201,[1]作法V!$B$1:$C$9,2,TRUE))</f>
        <v>H361~</v>
      </c>
    </row>
    <row r="2202" spans="1:12">
      <c r="A2202">
        <v>1214</v>
      </c>
      <c r="B2202" t="s">
        <v>115</v>
      </c>
      <c r="C2202" s="3">
        <v>37435</v>
      </c>
      <c r="D2202" s="3">
        <v>37570</v>
      </c>
      <c r="E2202" t="s">
        <v>17</v>
      </c>
      <c r="F2202">
        <v>34.049458999999999</v>
      </c>
      <c r="G2202">
        <v>647</v>
      </c>
      <c r="H2202">
        <v>22030</v>
      </c>
      <c r="I2202" s="4">
        <v>38686</v>
      </c>
      <c r="J2202" s="5">
        <f t="shared" si="68"/>
        <v>1116</v>
      </c>
      <c r="K2202" s="6" t="str">
        <f t="shared" si="69"/>
        <v>H361~</v>
      </c>
      <c r="L2202" t="str">
        <f>IF(J2202&lt;0,"A~0",VLOOKUP(J2202,[1]作法V!$B$1:$C$9,2,TRUE))</f>
        <v>H361~</v>
      </c>
    </row>
    <row r="2203" spans="1:12">
      <c r="A2203">
        <v>1214</v>
      </c>
      <c r="B2203" t="s">
        <v>115</v>
      </c>
      <c r="C2203" s="3">
        <v>37494</v>
      </c>
      <c r="D2203" s="3">
        <v>37631</v>
      </c>
      <c r="E2203" t="s">
        <v>17</v>
      </c>
      <c r="F2203">
        <v>33.784906999999997</v>
      </c>
      <c r="G2203">
        <v>120.32</v>
      </c>
      <c r="H2203">
        <v>4065</v>
      </c>
      <c r="I2203" s="4">
        <v>38686</v>
      </c>
      <c r="J2203" s="5">
        <f t="shared" si="68"/>
        <v>1055</v>
      </c>
      <c r="K2203" s="6" t="str">
        <f t="shared" si="69"/>
        <v>H361~</v>
      </c>
      <c r="L2203" t="str">
        <f>IF(J2203&lt;0,"A~0",VLOOKUP(J2203,[1]作法V!$B$1:$C$9,2,TRUE))</f>
        <v>H361~</v>
      </c>
    </row>
    <row r="2204" spans="1:12">
      <c r="A2204">
        <v>1215</v>
      </c>
      <c r="B2204" t="s">
        <v>111</v>
      </c>
      <c r="C2204" s="3">
        <v>38558</v>
      </c>
      <c r="D2204" s="3">
        <v>38696</v>
      </c>
      <c r="E2204" t="s">
        <v>18</v>
      </c>
      <c r="F2204">
        <v>1</v>
      </c>
      <c r="G2204">
        <v>13125</v>
      </c>
      <c r="H2204">
        <v>13125</v>
      </c>
      <c r="I2204" s="4">
        <v>38686</v>
      </c>
      <c r="J2204" s="5">
        <f t="shared" si="68"/>
        <v>-10</v>
      </c>
      <c r="K2204" s="6" t="str">
        <f t="shared" si="69"/>
        <v>A~0</v>
      </c>
      <c r="L2204" t="str">
        <f>IF(J2204&lt;0,"A~0",VLOOKUP(J2204,[1]作法V!$B$1:$C$9,2,TRUE))</f>
        <v>A~0</v>
      </c>
    </row>
    <row r="2205" spans="1:12">
      <c r="A2205">
        <v>1216</v>
      </c>
      <c r="B2205" t="s">
        <v>86</v>
      </c>
      <c r="C2205" s="3">
        <v>37693</v>
      </c>
      <c r="D2205" s="3">
        <v>37766</v>
      </c>
      <c r="E2205" t="s">
        <v>17</v>
      </c>
      <c r="F2205">
        <v>34.540869999999998</v>
      </c>
      <c r="G2205">
        <v>852.7</v>
      </c>
      <c r="H2205">
        <v>29453</v>
      </c>
      <c r="I2205" s="4">
        <v>38686</v>
      </c>
      <c r="J2205" s="5">
        <f t="shared" si="68"/>
        <v>920</v>
      </c>
      <c r="K2205" s="6" t="str">
        <f t="shared" si="69"/>
        <v>H361~</v>
      </c>
      <c r="L2205" t="str">
        <f>IF(J2205&lt;0,"A~0",VLOOKUP(J2205,[1]作法V!$B$1:$C$9,2,TRUE))</f>
        <v>H361~</v>
      </c>
    </row>
    <row r="2206" spans="1:12">
      <c r="A2206">
        <v>1216</v>
      </c>
      <c r="B2206" t="s">
        <v>86</v>
      </c>
      <c r="C2206" s="3">
        <v>37966</v>
      </c>
      <c r="D2206" s="3">
        <v>38071</v>
      </c>
      <c r="E2206" t="s">
        <v>17</v>
      </c>
      <c r="F2206">
        <v>34.049999999999997</v>
      </c>
      <c r="G2206">
        <v>13.2</v>
      </c>
      <c r="H2206">
        <v>449</v>
      </c>
      <c r="I2206" s="4">
        <v>38686</v>
      </c>
      <c r="J2206" s="5">
        <f t="shared" si="68"/>
        <v>615</v>
      </c>
      <c r="K2206" s="6" t="str">
        <f t="shared" si="69"/>
        <v>H361~</v>
      </c>
      <c r="L2206" t="str">
        <f>IF(J2206&lt;0,"A~0",VLOOKUP(J2206,[1]作法V!$B$1:$C$9,2,TRUE))</f>
        <v>H361~</v>
      </c>
    </row>
    <row r="2207" spans="1:12">
      <c r="A2207">
        <v>1216</v>
      </c>
      <c r="B2207" t="s">
        <v>86</v>
      </c>
      <c r="C2207" s="3">
        <v>37966</v>
      </c>
      <c r="D2207" s="3">
        <v>38071</v>
      </c>
      <c r="E2207" t="s">
        <v>17</v>
      </c>
      <c r="F2207">
        <v>34.049999999999997</v>
      </c>
      <c r="G2207">
        <v>5.94</v>
      </c>
      <c r="H2207">
        <v>202</v>
      </c>
      <c r="I2207" s="4">
        <v>38686</v>
      </c>
      <c r="J2207" s="5">
        <f t="shared" si="68"/>
        <v>615</v>
      </c>
      <c r="K2207" s="6" t="str">
        <f t="shared" si="69"/>
        <v>H361~</v>
      </c>
      <c r="L2207" t="str">
        <f>IF(J2207&lt;0,"A~0",VLOOKUP(J2207,[1]作法V!$B$1:$C$9,2,TRUE))</f>
        <v>H361~</v>
      </c>
    </row>
    <row r="2208" spans="1:12">
      <c r="A2208">
        <v>1225</v>
      </c>
      <c r="B2208" t="s">
        <v>100</v>
      </c>
      <c r="C2208" s="3">
        <v>38660</v>
      </c>
      <c r="D2208" s="3">
        <v>38758</v>
      </c>
      <c r="E2208" t="s">
        <v>18</v>
      </c>
      <c r="F2208">
        <v>1</v>
      </c>
      <c r="G2208">
        <v>23940</v>
      </c>
      <c r="H2208">
        <v>23940</v>
      </c>
      <c r="I2208" s="4">
        <v>38686</v>
      </c>
      <c r="J2208" s="5">
        <f t="shared" si="68"/>
        <v>-72</v>
      </c>
      <c r="K2208" s="6" t="str">
        <f t="shared" si="69"/>
        <v>A~0</v>
      </c>
      <c r="L2208" t="str">
        <f>IF(J2208&lt;0,"A~0",VLOOKUP(J2208,[1]作法V!$B$1:$C$9,2,TRUE))</f>
        <v>A~0</v>
      </c>
    </row>
    <row r="2209" spans="1:12">
      <c r="A2209">
        <v>1225</v>
      </c>
      <c r="B2209" t="s">
        <v>100</v>
      </c>
      <c r="C2209" s="3">
        <v>38673</v>
      </c>
      <c r="D2209" s="3">
        <v>38758</v>
      </c>
      <c r="E2209" t="s">
        <v>18</v>
      </c>
      <c r="F2209">
        <v>1</v>
      </c>
      <c r="G2209">
        <v>43546</v>
      </c>
      <c r="H2209">
        <v>43546</v>
      </c>
      <c r="I2209" s="4">
        <v>38686</v>
      </c>
      <c r="J2209" s="5">
        <f t="shared" si="68"/>
        <v>-72</v>
      </c>
      <c r="K2209" s="6" t="str">
        <f t="shared" si="69"/>
        <v>A~0</v>
      </c>
      <c r="L2209" t="str">
        <f>IF(J2209&lt;0,"A~0",VLOOKUP(J2209,[1]作法V!$B$1:$C$9,2,TRUE))</f>
        <v>A~0</v>
      </c>
    </row>
    <row r="2210" spans="1:12">
      <c r="A2210">
        <v>1225</v>
      </c>
      <c r="B2210" t="s">
        <v>100</v>
      </c>
      <c r="C2210" s="3">
        <v>38677</v>
      </c>
      <c r="D2210" s="3">
        <v>38758</v>
      </c>
      <c r="E2210" t="s">
        <v>18</v>
      </c>
      <c r="F2210">
        <v>1</v>
      </c>
      <c r="G2210">
        <v>6854</v>
      </c>
      <c r="H2210">
        <v>6854</v>
      </c>
      <c r="I2210" s="4">
        <v>38686</v>
      </c>
      <c r="J2210" s="5">
        <f t="shared" si="68"/>
        <v>-72</v>
      </c>
      <c r="K2210" s="6" t="str">
        <f t="shared" si="69"/>
        <v>A~0</v>
      </c>
      <c r="L2210" t="str">
        <f>IF(J2210&lt;0,"A~0",VLOOKUP(J2210,[1]作法V!$B$1:$C$9,2,TRUE))</f>
        <v>A~0</v>
      </c>
    </row>
    <row r="2211" spans="1:12">
      <c r="A2211">
        <v>1226</v>
      </c>
      <c r="B2211" t="s">
        <v>117</v>
      </c>
      <c r="C2211" s="3">
        <v>38212</v>
      </c>
      <c r="D2211" s="3">
        <v>38331</v>
      </c>
      <c r="E2211" t="s">
        <v>17</v>
      </c>
      <c r="F2211">
        <v>34.090000000000003</v>
      </c>
      <c r="G2211">
        <v>75.86</v>
      </c>
      <c r="H2211">
        <v>2586</v>
      </c>
      <c r="I2211" s="4">
        <v>38686</v>
      </c>
      <c r="J2211" s="5">
        <f t="shared" si="68"/>
        <v>355</v>
      </c>
      <c r="K2211" s="6" t="str">
        <f t="shared" si="69"/>
        <v>G181~360</v>
      </c>
      <c r="L2211" t="str">
        <f>IF(J2211&lt;0,"A~0",VLOOKUP(J2211,[1]作法V!$B$1:$C$9,2,TRUE))</f>
        <v>G181~360</v>
      </c>
    </row>
    <row r="2212" spans="1:12">
      <c r="A2212">
        <v>1226</v>
      </c>
      <c r="B2212" t="s">
        <v>117</v>
      </c>
      <c r="C2212" s="3">
        <v>38217</v>
      </c>
      <c r="D2212" s="3">
        <v>38331</v>
      </c>
      <c r="E2212" t="s">
        <v>17</v>
      </c>
      <c r="F2212">
        <v>34.090000000000003</v>
      </c>
      <c r="G2212">
        <v>201.78</v>
      </c>
      <c r="H2212">
        <v>6879</v>
      </c>
      <c r="I2212" s="4">
        <v>38686</v>
      </c>
      <c r="J2212" s="5">
        <f t="shared" si="68"/>
        <v>355</v>
      </c>
      <c r="K2212" s="6" t="str">
        <f t="shared" si="69"/>
        <v>G181~360</v>
      </c>
      <c r="L2212" t="str">
        <f>IF(J2212&lt;0,"A~0",VLOOKUP(J2212,[1]作法V!$B$1:$C$9,2,TRUE))</f>
        <v>G181~360</v>
      </c>
    </row>
    <row r="2213" spans="1:12">
      <c r="A2213">
        <v>1226</v>
      </c>
      <c r="B2213" t="s">
        <v>117</v>
      </c>
      <c r="C2213" s="3">
        <v>38230</v>
      </c>
      <c r="D2213" s="3">
        <v>38362</v>
      </c>
      <c r="E2213" t="s">
        <v>17</v>
      </c>
      <c r="F2213">
        <v>34.14</v>
      </c>
      <c r="G2213">
        <v>100.43</v>
      </c>
      <c r="H2213">
        <v>3429</v>
      </c>
      <c r="I2213" s="4">
        <v>38686</v>
      </c>
      <c r="J2213" s="5">
        <f t="shared" si="68"/>
        <v>324</v>
      </c>
      <c r="K2213" s="6" t="str">
        <f t="shared" si="69"/>
        <v>G181~360</v>
      </c>
      <c r="L2213" t="str">
        <f>IF(J2213&lt;0,"A~0",VLOOKUP(J2213,[1]作法V!$B$1:$C$9,2,TRUE))</f>
        <v>G181~360</v>
      </c>
    </row>
    <row r="2214" spans="1:12">
      <c r="A2214">
        <v>1226</v>
      </c>
      <c r="B2214" t="s">
        <v>117</v>
      </c>
      <c r="C2214" s="3">
        <v>38637</v>
      </c>
      <c r="D2214" s="3">
        <v>38758</v>
      </c>
      <c r="E2214" t="s">
        <v>17</v>
      </c>
      <c r="F2214">
        <v>33.195</v>
      </c>
      <c r="G2214">
        <v>504.7</v>
      </c>
      <c r="H2214">
        <v>16754</v>
      </c>
      <c r="I2214" s="4">
        <v>38686</v>
      </c>
      <c r="J2214" s="5">
        <f t="shared" si="68"/>
        <v>-72</v>
      </c>
      <c r="K2214" s="6" t="str">
        <f t="shared" si="69"/>
        <v>A~0</v>
      </c>
      <c r="L2214" t="str">
        <f>IF(J2214&lt;0,"A~0",VLOOKUP(J2214,[1]作法V!$B$1:$C$9,2,TRUE))</f>
        <v>A~0</v>
      </c>
    </row>
    <row r="2215" spans="1:12">
      <c r="A2215">
        <v>1226</v>
      </c>
      <c r="B2215" t="s">
        <v>117</v>
      </c>
      <c r="C2215" s="3">
        <v>38637</v>
      </c>
      <c r="D2215" s="3">
        <v>38758</v>
      </c>
      <c r="E2215" t="s">
        <v>17</v>
      </c>
      <c r="F2215">
        <v>33.195</v>
      </c>
      <c r="G2215">
        <v>5961.34</v>
      </c>
      <c r="H2215">
        <v>197887</v>
      </c>
      <c r="I2215" s="4">
        <v>38686</v>
      </c>
      <c r="J2215" s="5">
        <f t="shared" si="68"/>
        <v>-72</v>
      </c>
      <c r="K2215" s="6" t="str">
        <f t="shared" si="69"/>
        <v>A~0</v>
      </c>
      <c r="L2215" t="str">
        <f>IF(J2215&lt;0,"A~0",VLOOKUP(J2215,[1]作法V!$B$1:$C$9,2,TRUE))</f>
        <v>A~0</v>
      </c>
    </row>
    <row r="2216" spans="1:12">
      <c r="A2216">
        <v>1226</v>
      </c>
      <c r="B2216" t="s">
        <v>117</v>
      </c>
      <c r="C2216" s="3">
        <v>38637</v>
      </c>
      <c r="D2216" s="3">
        <v>38758</v>
      </c>
      <c r="E2216" t="s">
        <v>17</v>
      </c>
      <c r="F2216">
        <v>33.195</v>
      </c>
      <c r="G2216">
        <v>2368.66</v>
      </c>
      <c r="H2216">
        <v>78628</v>
      </c>
      <c r="I2216" s="4">
        <v>38686</v>
      </c>
      <c r="J2216" s="5">
        <f t="shared" si="68"/>
        <v>-72</v>
      </c>
      <c r="K2216" s="6" t="str">
        <f t="shared" si="69"/>
        <v>A~0</v>
      </c>
      <c r="L2216" t="str">
        <f>IF(J2216&lt;0,"A~0",VLOOKUP(J2216,[1]作法V!$B$1:$C$9,2,TRUE))</f>
        <v>A~0</v>
      </c>
    </row>
    <row r="2217" spans="1:12">
      <c r="A2217">
        <v>1226</v>
      </c>
      <c r="B2217" t="s">
        <v>117</v>
      </c>
      <c r="C2217" s="3">
        <v>38637</v>
      </c>
      <c r="D2217" s="3">
        <v>38758</v>
      </c>
      <c r="E2217" t="s">
        <v>17</v>
      </c>
      <c r="F2217">
        <v>33.195</v>
      </c>
      <c r="G2217">
        <v>1291.6400000000001</v>
      </c>
      <c r="H2217">
        <v>42876</v>
      </c>
      <c r="I2217" s="4">
        <v>38686</v>
      </c>
      <c r="J2217" s="5">
        <f t="shared" si="68"/>
        <v>-72</v>
      </c>
      <c r="K2217" s="6" t="str">
        <f t="shared" si="69"/>
        <v>A~0</v>
      </c>
      <c r="L2217" t="str">
        <f>IF(J2217&lt;0,"A~0",VLOOKUP(J2217,[1]作法V!$B$1:$C$9,2,TRUE))</f>
        <v>A~0</v>
      </c>
    </row>
    <row r="2218" spans="1:12">
      <c r="A2218">
        <v>1226</v>
      </c>
      <c r="B2218" t="s">
        <v>117</v>
      </c>
      <c r="C2218" s="3">
        <v>38637</v>
      </c>
      <c r="D2218" s="3">
        <v>38758</v>
      </c>
      <c r="E2218" t="s">
        <v>17</v>
      </c>
      <c r="F2218">
        <v>33.195</v>
      </c>
      <c r="G2218">
        <v>2940</v>
      </c>
      <c r="H2218">
        <v>97593</v>
      </c>
      <c r="I2218" s="4">
        <v>38686</v>
      </c>
      <c r="J2218" s="5">
        <f t="shared" si="68"/>
        <v>-72</v>
      </c>
      <c r="K2218" s="6" t="str">
        <f t="shared" si="69"/>
        <v>A~0</v>
      </c>
      <c r="L2218" t="str">
        <f>IF(J2218&lt;0,"A~0",VLOOKUP(J2218,[1]作法V!$B$1:$C$9,2,TRUE))</f>
        <v>A~0</v>
      </c>
    </row>
    <row r="2219" spans="1:12">
      <c r="A2219">
        <v>1226</v>
      </c>
      <c r="B2219" t="s">
        <v>117</v>
      </c>
      <c r="C2219" s="3">
        <v>38637</v>
      </c>
      <c r="D2219" s="3">
        <v>38758</v>
      </c>
      <c r="E2219" t="s">
        <v>17</v>
      </c>
      <c r="F2219">
        <v>33.195</v>
      </c>
      <c r="G2219">
        <v>3920</v>
      </c>
      <c r="H2219">
        <v>130124</v>
      </c>
      <c r="I2219" s="4">
        <v>38686</v>
      </c>
      <c r="J2219" s="5">
        <f t="shared" si="68"/>
        <v>-72</v>
      </c>
      <c r="K2219" s="6" t="str">
        <f t="shared" si="69"/>
        <v>A~0</v>
      </c>
      <c r="L2219" t="str">
        <f>IF(J2219&lt;0,"A~0",VLOOKUP(J2219,[1]作法V!$B$1:$C$9,2,TRUE))</f>
        <v>A~0</v>
      </c>
    </row>
    <row r="2220" spans="1:12">
      <c r="A2220">
        <v>1226</v>
      </c>
      <c r="B2220" t="s">
        <v>117</v>
      </c>
      <c r="C2220" s="3">
        <v>38637</v>
      </c>
      <c r="D2220" s="3">
        <v>38758</v>
      </c>
      <c r="E2220" t="s">
        <v>17</v>
      </c>
      <c r="F2220">
        <v>33.195</v>
      </c>
      <c r="G2220">
        <v>5680.08</v>
      </c>
      <c r="H2220">
        <v>188550</v>
      </c>
      <c r="I2220" s="4">
        <v>38686</v>
      </c>
      <c r="J2220" s="5">
        <f t="shared" si="68"/>
        <v>-72</v>
      </c>
      <c r="K2220" s="6" t="str">
        <f t="shared" si="69"/>
        <v>A~0</v>
      </c>
      <c r="L2220" t="str">
        <f>IF(J2220&lt;0,"A~0",VLOOKUP(J2220,[1]作法V!$B$1:$C$9,2,TRUE))</f>
        <v>A~0</v>
      </c>
    </row>
    <row r="2221" spans="1:12">
      <c r="A2221">
        <v>1226</v>
      </c>
      <c r="B2221" t="s">
        <v>117</v>
      </c>
      <c r="C2221" s="3">
        <v>38637</v>
      </c>
      <c r="D2221" s="3">
        <v>38758</v>
      </c>
      <c r="E2221" t="s">
        <v>17</v>
      </c>
      <c r="F2221">
        <v>33.195</v>
      </c>
      <c r="G2221">
        <v>395.92</v>
      </c>
      <c r="H2221">
        <v>13143</v>
      </c>
      <c r="I2221" s="4">
        <v>38686</v>
      </c>
      <c r="J2221" s="5">
        <f t="shared" si="68"/>
        <v>-72</v>
      </c>
      <c r="K2221" s="6" t="str">
        <f t="shared" si="69"/>
        <v>A~0</v>
      </c>
      <c r="L2221" t="str">
        <f>IF(J2221&lt;0,"A~0",VLOOKUP(J2221,[1]作法V!$B$1:$C$9,2,TRUE))</f>
        <v>A~0</v>
      </c>
    </row>
    <row r="2222" spans="1:12">
      <c r="A2222">
        <v>1226</v>
      </c>
      <c r="B2222" t="s">
        <v>117</v>
      </c>
      <c r="C2222" s="3">
        <v>38637</v>
      </c>
      <c r="D2222" s="3">
        <v>38758</v>
      </c>
      <c r="E2222" t="s">
        <v>17</v>
      </c>
      <c r="F2222">
        <v>33.195</v>
      </c>
      <c r="G2222">
        <v>5680.08</v>
      </c>
      <c r="H2222">
        <v>188550</v>
      </c>
      <c r="I2222" s="4">
        <v>38686</v>
      </c>
      <c r="J2222" s="5">
        <f t="shared" si="68"/>
        <v>-72</v>
      </c>
      <c r="K2222" s="6" t="str">
        <f t="shared" si="69"/>
        <v>A~0</v>
      </c>
      <c r="L2222" t="str">
        <f>IF(J2222&lt;0,"A~0",VLOOKUP(J2222,[1]作法V!$B$1:$C$9,2,TRUE))</f>
        <v>A~0</v>
      </c>
    </row>
    <row r="2223" spans="1:12">
      <c r="A2223">
        <v>1226</v>
      </c>
      <c r="B2223" t="s">
        <v>117</v>
      </c>
      <c r="C2223" s="3">
        <v>38637</v>
      </c>
      <c r="D2223" s="3">
        <v>38758</v>
      </c>
      <c r="E2223" t="s">
        <v>17</v>
      </c>
      <c r="F2223">
        <v>33.195</v>
      </c>
      <c r="G2223">
        <v>7937.02</v>
      </c>
      <c r="H2223">
        <v>263469</v>
      </c>
      <c r="I2223" s="4">
        <v>38686</v>
      </c>
      <c r="J2223" s="5">
        <f t="shared" si="68"/>
        <v>-72</v>
      </c>
      <c r="K2223" s="6" t="str">
        <f t="shared" si="69"/>
        <v>A~0</v>
      </c>
      <c r="L2223" t="str">
        <f>IF(J2223&lt;0,"A~0",VLOOKUP(J2223,[1]作法V!$B$1:$C$9,2,TRUE))</f>
        <v>A~0</v>
      </c>
    </row>
    <row r="2224" spans="1:12">
      <c r="A2224">
        <v>1287</v>
      </c>
      <c r="B2224" t="s">
        <v>47</v>
      </c>
      <c r="C2224" s="3">
        <v>37256</v>
      </c>
      <c r="D2224" s="3">
        <v>37356</v>
      </c>
      <c r="E2224" t="s">
        <v>17</v>
      </c>
      <c r="F2224">
        <v>34.880000000000003</v>
      </c>
      <c r="G2224">
        <v>299.27999999999997</v>
      </c>
      <c r="H2224">
        <v>10439</v>
      </c>
      <c r="I2224" s="4">
        <v>38686</v>
      </c>
      <c r="J2224" s="5">
        <f t="shared" si="68"/>
        <v>1330</v>
      </c>
      <c r="K2224" s="6" t="str">
        <f t="shared" si="69"/>
        <v>H361~</v>
      </c>
      <c r="L2224" t="str">
        <f>IF(J2224&lt;0,"A~0",VLOOKUP(J2224,[1]作法V!$B$1:$C$9,2,TRUE))</f>
        <v>H361~</v>
      </c>
    </row>
    <row r="2225" spans="1:12">
      <c r="A2225">
        <v>1287</v>
      </c>
      <c r="B2225" t="s">
        <v>47</v>
      </c>
      <c r="C2225" s="3">
        <v>37790</v>
      </c>
      <c r="D2225" s="3">
        <v>37874</v>
      </c>
      <c r="E2225" t="s">
        <v>17</v>
      </c>
      <c r="F2225">
        <v>34.61532175</v>
      </c>
      <c r="G2225">
        <v>1223.6199999999999</v>
      </c>
      <c r="H2225">
        <v>42356</v>
      </c>
      <c r="I2225" s="4">
        <v>38686</v>
      </c>
      <c r="J2225" s="5">
        <f t="shared" si="68"/>
        <v>812</v>
      </c>
      <c r="K2225" s="6" t="str">
        <f t="shared" si="69"/>
        <v>H361~</v>
      </c>
      <c r="L2225" t="str">
        <f>IF(J2225&lt;0,"A~0",VLOOKUP(J2225,[1]作法V!$B$1:$C$9,2,TRUE))</f>
        <v>H361~</v>
      </c>
    </row>
    <row r="2226" spans="1:12">
      <c r="A2226">
        <v>1293</v>
      </c>
      <c r="B2226" t="s">
        <v>90</v>
      </c>
      <c r="C2226" s="3">
        <v>38670</v>
      </c>
      <c r="D2226" s="3">
        <v>38716</v>
      </c>
      <c r="E2226" t="s">
        <v>18</v>
      </c>
      <c r="F2226">
        <v>1</v>
      </c>
      <c r="G2226">
        <v>48720</v>
      </c>
      <c r="H2226">
        <v>48720</v>
      </c>
      <c r="I2226" s="4">
        <v>38686</v>
      </c>
      <c r="J2226" s="5">
        <f t="shared" si="68"/>
        <v>-30</v>
      </c>
      <c r="K2226" s="6" t="str">
        <f t="shared" si="69"/>
        <v>A~0</v>
      </c>
      <c r="L2226" t="str">
        <f>IF(J2226&lt;0,"A~0",VLOOKUP(J2226,[1]作法V!$B$1:$C$9,2,TRUE))</f>
        <v>A~0</v>
      </c>
    </row>
    <row r="2227" spans="1:12">
      <c r="A2227">
        <v>1293</v>
      </c>
      <c r="B2227" t="s">
        <v>90</v>
      </c>
      <c r="C2227" s="3">
        <v>38674</v>
      </c>
      <c r="D2227" s="3">
        <v>38716</v>
      </c>
      <c r="E2227" t="s">
        <v>18</v>
      </c>
      <c r="F2227">
        <v>1</v>
      </c>
      <c r="G2227">
        <v>60900</v>
      </c>
      <c r="H2227">
        <v>60900</v>
      </c>
      <c r="I2227" s="4">
        <v>38686</v>
      </c>
      <c r="J2227" s="5">
        <f t="shared" si="68"/>
        <v>-30</v>
      </c>
      <c r="K2227" s="6" t="str">
        <f t="shared" si="69"/>
        <v>A~0</v>
      </c>
      <c r="L2227" t="str">
        <f>IF(J2227&lt;0,"A~0",VLOOKUP(J2227,[1]作法V!$B$1:$C$9,2,TRUE))</f>
        <v>A~0</v>
      </c>
    </row>
    <row r="2228" spans="1:12">
      <c r="A2228">
        <v>1300</v>
      </c>
      <c r="B2228" t="s">
        <v>30</v>
      </c>
      <c r="C2228" s="3">
        <v>38408</v>
      </c>
      <c r="D2228" s="3">
        <v>38508</v>
      </c>
      <c r="E2228" t="s">
        <v>18</v>
      </c>
      <c r="F2228">
        <v>1</v>
      </c>
      <c r="G2228">
        <v>70000</v>
      </c>
      <c r="H2228">
        <v>70000</v>
      </c>
      <c r="I2228" s="4">
        <v>38686</v>
      </c>
      <c r="J2228" s="5">
        <f t="shared" si="68"/>
        <v>178</v>
      </c>
      <c r="K2228" s="6" t="str">
        <f t="shared" si="69"/>
        <v>F121~180</v>
      </c>
      <c r="L2228" t="str">
        <f>IF(J2228&lt;0,"A~0",VLOOKUP(J2228,[1]作法V!$B$1:$C$9,2,TRUE))</f>
        <v>F121~180</v>
      </c>
    </row>
    <row r="2229" spans="1:12">
      <c r="A2229">
        <v>1300</v>
      </c>
      <c r="B2229" t="s">
        <v>30</v>
      </c>
      <c r="C2229" s="3">
        <v>38408</v>
      </c>
      <c r="D2229" s="3">
        <v>38508</v>
      </c>
      <c r="E2229" t="s">
        <v>18</v>
      </c>
      <c r="F2229">
        <v>1</v>
      </c>
      <c r="G2229">
        <v>5440</v>
      </c>
      <c r="H2229">
        <v>5440</v>
      </c>
      <c r="I2229" s="4">
        <v>38686</v>
      </c>
      <c r="J2229" s="5">
        <f t="shared" si="68"/>
        <v>178</v>
      </c>
      <c r="K2229" s="6" t="str">
        <f t="shared" si="69"/>
        <v>F121~180</v>
      </c>
      <c r="L2229" t="str">
        <f>IF(J2229&lt;0,"A~0",VLOOKUP(J2229,[1]作法V!$B$1:$C$9,2,TRUE))</f>
        <v>F121~180</v>
      </c>
    </row>
    <row r="2230" spans="1:12">
      <c r="A2230">
        <v>1300</v>
      </c>
      <c r="B2230" t="s">
        <v>30</v>
      </c>
      <c r="C2230" s="3">
        <v>38408</v>
      </c>
      <c r="D2230" s="3">
        <v>38508</v>
      </c>
      <c r="E2230" t="s">
        <v>18</v>
      </c>
      <c r="F2230">
        <v>1</v>
      </c>
      <c r="G2230">
        <v>5440</v>
      </c>
      <c r="H2230">
        <v>5440</v>
      </c>
      <c r="I2230" s="4">
        <v>38686</v>
      </c>
      <c r="J2230" s="5">
        <f t="shared" si="68"/>
        <v>178</v>
      </c>
      <c r="K2230" s="6" t="str">
        <f t="shared" si="69"/>
        <v>F121~180</v>
      </c>
      <c r="L2230" t="str">
        <f>IF(J2230&lt;0,"A~0",VLOOKUP(J2230,[1]作法V!$B$1:$C$9,2,TRUE))</f>
        <v>F121~180</v>
      </c>
    </row>
    <row r="2231" spans="1:12">
      <c r="A2231">
        <v>1300</v>
      </c>
      <c r="B2231" t="s">
        <v>30</v>
      </c>
      <c r="C2231" s="3">
        <v>38408</v>
      </c>
      <c r="D2231" s="3">
        <v>38508</v>
      </c>
      <c r="E2231" t="s">
        <v>18</v>
      </c>
      <c r="F2231">
        <v>1</v>
      </c>
      <c r="G2231">
        <v>26400</v>
      </c>
      <c r="H2231">
        <v>26400</v>
      </c>
      <c r="I2231" s="4">
        <v>38686</v>
      </c>
      <c r="J2231" s="5">
        <f t="shared" si="68"/>
        <v>178</v>
      </c>
      <c r="K2231" s="6" t="str">
        <f t="shared" si="69"/>
        <v>F121~180</v>
      </c>
      <c r="L2231" t="str">
        <f>IF(J2231&lt;0,"A~0",VLOOKUP(J2231,[1]作法V!$B$1:$C$9,2,TRUE))</f>
        <v>F121~180</v>
      </c>
    </row>
    <row r="2232" spans="1:12">
      <c r="A2232">
        <v>1300</v>
      </c>
      <c r="B2232" t="s">
        <v>30</v>
      </c>
      <c r="C2232" s="3">
        <v>38408</v>
      </c>
      <c r="D2232" s="3">
        <v>38508</v>
      </c>
      <c r="E2232" t="s">
        <v>18</v>
      </c>
      <c r="F2232">
        <v>1</v>
      </c>
      <c r="G2232">
        <v>70000</v>
      </c>
      <c r="H2232">
        <v>70000</v>
      </c>
      <c r="I2232" s="4">
        <v>38686</v>
      </c>
      <c r="J2232" s="5">
        <f t="shared" si="68"/>
        <v>178</v>
      </c>
      <c r="K2232" s="6" t="str">
        <f t="shared" si="69"/>
        <v>F121~180</v>
      </c>
      <c r="L2232" t="str">
        <f>IF(J2232&lt;0,"A~0",VLOOKUP(J2232,[1]作法V!$B$1:$C$9,2,TRUE))</f>
        <v>F121~180</v>
      </c>
    </row>
    <row r="2233" spans="1:12">
      <c r="A2233">
        <v>1300</v>
      </c>
      <c r="B2233" t="s">
        <v>30</v>
      </c>
      <c r="C2233" s="3">
        <v>38408</v>
      </c>
      <c r="D2233" s="3">
        <v>38508</v>
      </c>
      <c r="E2233" t="s">
        <v>18</v>
      </c>
      <c r="F2233">
        <v>1</v>
      </c>
      <c r="G2233">
        <v>5440</v>
      </c>
      <c r="H2233">
        <v>5440</v>
      </c>
      <c r="I2233" s="4">
        <v>38686</v>
      </c>
      <c r="J2233" s="5">
        <f t="shared" si="68"/>
        <v>178</v>
      </c>
      <c r="K2233" s="6" t="str">
        <f t="shared" si="69"/>
        <v>F121~180</v>
      </c>
      <c r="L2233" t="str">
        <f>IF(J2233&lt;0,"A~0",VLOOKUP(J2233,[1]作法V!$B$1:$C$9,2,TRUE))</f>
        <v>F121~180</v>
      </c>
    </row>
    <row r="2234" spans="1:12">
      <c r="A2234">
        <v>1300</v>
      </c>
      <c r="B2234" t="s">
        <v>30</v>
      </c>
      <c r="C2234" s="3">
        <v>38476</v>
      </c>
      <c r="D2234" s="3">
        <v>38600</v>
      </c>
      <c r="E2234" t="s">
        <v>18</v>
      </c>
      <c r="F2234">
        <v>1</v>
      </c>
      <c r="G2234">
        <v>69190</v>
      </c>
      <c r="H2234">
        <v>69190</v>
      </c>
      <c r="I2234" s="4">
        <v>38686</v>
      </c>
      <c r="J2234" s="5">
        <f t="shared" si="68"/>
        <v>86</v>
      </c>
      <c r="K2234" s="6" t="str">
        <f t="shared" si="69"/>
        <v>D61~90</v>
      </c>
      <c r="L2234" t="str">
        <f>IF(J2234&lt;0,"A~0",VLOOKUP(J2234,[1]作法V!$B$1:$C$9,2,TRUE))</f>
        <v>D61-90</v>
      </c>
    </row>
    <row r="2235" spans="1:12">
      <c r="A2235">
        <v>1300</v>
      </c>
      <c r="B2235" t="s">
        <v>30</v>
      </c>
      <c r="C2235" s="3">
        <v>38478</v>
      </c>
      <c r="D2235" s="3">
        <v>38600</v>
      </c>
      <c r="E2235" t="s">
        <v>18</v>
      </c>
      <c r="F2235">
        <v>1</v>
      </c>
      <c r="G2235">
        <v>16358</v>
      </c>
      <c r="H2235">
        <v>16358</v>
      </c>
      <c r="I2235" s="4">
        <v>38686</v>
      </c>
      <c r="J2235" s="5">
        <f t="shared" si="68"/>
        <v>86</v>
      </c>
      <c r="K2235" s="6" t="str">
        <f t="shared" si="69"/>
        <v>D61~90</v>
      </c>
      <c r="L2235" t="str">
        <f>IF(J2235&lt;0,"A~0",VLOOKUP(J2235,[1]作法V!$B$1:$C$9,2,TRUE))</f>
        <v>D61-90</v>
      </c>
    </row>
    <row r="2236" spans="1:12">
      <c r="A2236">
        <v>1300</v>
      </c>
      <c r="B2236" t="s">
        <v>30</v>
      </c>
      <c r="C2236" s="3">
        <v>38478</v>
      </c>
      <c r="D2236" s="3">
        <v>38600</v>
      </c>
      <c r="E2236" t="s">
        <v>18</v>
      </c>
      <c r="F2236">
        <v>1</v>
      </c>
      <c r="G2236">
        <v>53465</v>
      </c>
      <c r="H2236">
        <v>53465</v>
      </c>
      <c r="I2236" s="4">
        <v>38686</v>
      </c>
      <c r="J2236" s="5">
        <f t="shared" si="68"/>
        <v>86</v>
      </c>
      <c r="K2236" s="6" t="str">
        <f t="shared" si="69"/>
        <v>D61~90</v>
      </c>
      <c r="L2236" t="str">
        <f>IF(J2236&lt;0,"A~0",VLOOKUP(J2236,[1]作法V!$B$1:$C$9,2,TRUE))</f>
        <v>D61-90</v>
      </c>
    </row>
    <row r="2237" spans="1:12">
      <c r="A2237">
        <v>1300</v>
      </c>
      <c r="B2237" t="s">
        <v>30</v>
      </c>
      <c r="C2237" s="3">
        <v>38483</v>
      </c>
      <c r="D2237" s="3">
        <v>38600</v>
      </c>
      <c r="E2237" t="s">
        <v>18</v>
      </c>
      <c r="F2237">
        <v>1</v>
      </c>
      <c r="G2237">
        <v>21250</v>
      </c>
      <c r="H2237">
        <v>21250</v>
      </c>
      <c r="I2237" s="4">
        <v>38686</v>
      </c>
      <c r="J2237" s="5">
        <f t="shared" si="68"/>
        <v>86</v>
      </c>
      <c r="K2237" s="6" t="str">
        <f t="shared" si="69"/>
        <v>D61~90</v>
      </c>
      <c r="L2237" t="str">
        <f>IF(J2237&lt;0,"A~0",VLOOKUP(J2237,[1]作法V!$B$1:$C$9,2,TRUE))</f>
        <v>D61-90</v>
      </c>
    </row>
    <row r="2238" spans="1:12">
      <c r="A2238">
        <v>1300</v>
      </c>
      <c r="B2238" t="s">
        <v>30</v>
      </c>
      <c r="C2238" s="3">
        <v>38483</v>
      </c>
      <c r="D2238" s="3">
        <v>38600</v>
      </c>
      <c r="E2238" t="s">
        <v>18</v>
      </c>
      <c r="F2238">
        <v>1</v>
      </c>
      <c r="G2238">
        <v>37500</v>
      </c>
      <c r="H2238">
        <v>37500</v>
      </c>
      <c r="I2238" s="4">
        <v>38686</v>
      </c>
      <c r="J2238" s="5">
        <f t="shared" si="68"/>
        <v>86</v>
      </c>
      <c r="K2238" s="6" t="str">
        <f t="shared" si="69"/>
        <v>D61~90</v>
      </c>
      <c r="L2238" t="str">
        <f>IF(J2238&lt;0,"A~0",VLOOKUP(J2238,[1]作法V!$B$1:$C$9,2,TRUE))</f>
        <v>D61-90</v>
      </c>
    </row>
    <row r="2239" spans="1:12">
      <c r="A2239">
        <v>1300</v>
      </c>
      <c r="B2239" t="s">
        <v>30</v>
      </c>
      <c r="C2239" s="3">
        <v>38490</v>
      </c>
      <c r="D2239" s="3">
        <v>38569</v>
      </c>
      <c r="E2239" t="s">
        <v>18</v>
      </c>
      <c r="F2239">
        <v>1</v>
      </c>
      <c r="G2239">
        <v>4800</v>
      </c>
      <c r="H2239">
        <v>4800</v>
      </c>
      <c r="I2239" s="4">
        <v>38686</v>
      </c>
      <c r="J2239" s="5">
        <f t="shared" si="68"/>
        <v>117</v>
      </c>
      <c r="K2239" s="6" t="str">
        <f t="shared" si="69"/>
        <v>E91~120</v>
      </c>
      <c r="L2239" t="str">
        <f>IF(J2239&lt;0,"A~0",VLOOKUP(J2239,[1]作法V!$B$1:$C$9,2,TRUE))</f>
        <v>E91~120</v>
      </c>
    </row>
    <row r="2240" spans="1:12">
      <c r="A2240">
        <v>1300</v>
      </c>
      <c r="B2240" t="s">
        <v>30</v>
      </c>
      <c r="C2240" s="3">
        <v>38490</v>
      </c>
      <c r="D2240" s="3">
        <v>38569</v>
      </c>
      <c r="E2240" t="s">
        <v>18</v>
      </c>
      <c r="F2240">
        <v>1</v>
      </c>
      <c r="G2240">
        <v>1400</v>
      </c>
      <c r="H2240">
        <v>1400</v>
      </c>
      <c r="I2240" s="4">
        <v>38686</v>
      </c>
      <c r="J2240" s="5">
        <f t="shared" si="68"/>
        <v>117</v>
      </c>
      <c r="K2240" s="6" t="str">
        <f t="shared" si="69"/>
        <v>E91~120</v>
      </c>
      <c r="L2240" t="str">
        <f>IF(J2240&lt;0,"A~0",VLOOKUP(J2240,[1]作法V!$B$1:$C$9,2,TRUE))</f>
        <v>E91~120</v>
      </c>
    </row>
    <row r="2241" spans="1:12">
      <c r="A2241">
        <v>1300</v>
      </c>
      <c r="B2241" t="s">
        <v>30</v>
      </c>
      <c r="C2241" s="3">
        <v>38490</v>
      </c>
      <c r="D2241" s="3">
        <v>38569</v>
      </c>
      <c r="E2241" t="s">
        <v>18</v>
      </c>
      <c r="F2241">
        <v>1</v>
      </c>
      <c r="G2241">
        <v>4800</v>
      </c>
      <c r="H2241">
        <v>4800</v>
      </c>
      <c r="I2241" s="4">
        <v>38686</v>
      </c>
      <c r="J2241" s="5">
        <f t="shared" si="68"/>
        <v>117</v>
      </c>
      <c r="K2241" s="6" t="str">
        <f t="shared" si="69"/>
        <v>E91~120</v>
      </c>
      <c r="L2241" t="str">
        <f>IF(J2241&lt;0,"A~0",VLOOKUP(J2241,[1]作法V!$B$1:$C$9,2,TRUE))</f>
        <v>E91~120</v>
      </c>
    </row>
    <row r="2242" spans="1:12">
      <c r="A2242">
        <v>1300</v>
      </c>
      <c r="B2242" t="s">
        <v>30</v>
      </c>
      <c r="C2242" s="3">
        <v>38490</v>
      </c>
      <c r="D2242" s="3">
        <v>38569</v>
      </c>
      <c r="E2242" t="s">
        <v>18</v>
      </c>
      <c r="F2242">
        <v>1</v>
      </c>
      <c r="G2242">
        <v>22400</v>
      </c>
      <c r="H2242">
        <v>22400</v>
      </c>
      <c r="I2242" s="4">
        <v>38686</v>
      </c>
      <c r="J2242" s="5">
        <f t="shared" ref="J2242:J2305" si="70">I2242-D2242</f>
        <v>117</v>
      </c>
      <c r="K2242" s="6" t="str">
        <f t="shared" ref="K2242:K2305" si="71">IF(J2242&lt;1,"A~0",IF(J2242&lt;31,"B1~30",IF(J2242&lt;61,"C31~60",IF(J2242&lt;91,"D61~90",IF(J2242&lt;121,"E91~120",IF(J2242&lt;181,"F121~180",IF(J2242&lt;361,"G181~360","H361~")))))))</f>
        <v>E91~120</v>
      </c>
      <c r="L2242" t="str">
        <f>IF(J2242&lt;0,"A~0",VLOOKUP(J2242,[1]作法V!$B$1:$C$9,2,TRUE))</f>
        <v>E91~120</v>
      </c>
    </row>
    <row r="2243" spans="1:12">
      <c r="A2243">
        <v>1300</v>
      </c>
      <c r="B2243" t="s">
        <v>30</v>
      </c>
      <c r="C2243" s="3">
        <v>38490</v>
      </c>
      <c r="D2243" s="3">
        <v>38569</v>
      </c>
      <c r="E2243" t="s">
        <v>18</v>
      </c>
      <c r="F2243">
        <v>1</v>
      </c>
      <c r="G2243">
        <v>16800</v>
      </c>
      <c r="H2243">
        <v>16800</v>
      </c>
      <c r="I2243" s="4">
        <v>38686</v>
      </c>
      <c r="J2243" s="5">
        <f t="shared" si="70"/>
        <v>117</v>
      </c>
      <c r="K2243" s="6" t="str">
        <f t="shared" si="71"/>
        <v>E91~120</v>
      </c>
      <c r="L2243" t="str">
        <f>IF(J2243&lt;0,"A~0",VLOOKUP(J2243,[1]作法V!$B$1:$C$9,2,TRUE))</f>
        <v>E91~120</v>
      </c>
    </row>
    <row r="2244" spans="1:12">
      <c r="A2244">
        <v>1300</v>
      </c>
      <c r="B2244" t="s">
        <v>30</v>
      </c>
      <c r="C2244" s="3">
        <v>38490</v>
      </c>
      <c r="D2244" s="3">
        <v>38569</v>
      </c>
      <c r="E2244" t="s">
        <v>18</v>
      </c>
      <c r="F2244">
        <v>1</v>
      </c>
      <c r="G2244">
        <v>5600</v>
      </c>
      <c r="H2244">
        <v>5600</v>
      </c>
      <c r="I2244" s="4">
        <v>38686</v>
      </c>
      <c r="J2244" s="5">
        <f t="shared" si="70"/>
        <v>117</v>
      </c>
      <c r="K2244" s="6" t="str">
        <f t="shared" si="71"/>
        <v>E91~120</v>
      </c>
      <c r="L2244" t="str">
        <f>IF(J2244&lt;0,"A~0",VLOOKUP(J2244,[1]作法V!$B$1:$C$9,2,TRUE))</f>
        <v>E91~120</v>
      </c>
    </row>
    <row r="2245" spans="1:12">
      <c r="A2245">
        <v>1300</v>
      </c>
      <c r="B2245" t="s">
        <v>30</v>
      </c>
      <c r="C2245" s="3">
        <v>38490</v>
      </c>
      <c r="D2245" s="3">
        <v>38569</v>
      </c>
      <c r="E2245" t="s">
        <v>18</v>
      </c>
      <c r="F2245">
        <v>1</v>
      </c>
      <c r="G2245">
        <v>28000</v>
      </c>
      <c r="H2245">
        <v>28000</v>
      </c>
      <c r="I2245" s="4">
        <v>38686</v>
      </c>
      <c r="J2245" s="5">
        <f t="shared" si="70"/>
        <v>117</v>
      </c>
      <c r="K2245" s="6" t="str">
        <f t="shared" si="71"/>
        <v>E91~120</v>
      </c>
      <c r="L2245" t="str">
        <f>IF(J2245&lt;0,"A~0",VLOOKUP(J2245,[1]作法V!$B$1:$C$9,2,TRUE))</f>
        <v>E91~120</v>
      </c>
    </row>
    <row r="2246" spans="1:12">
      <c r="A2246">
        <v>1300</v>
      </c>
      <c r="B2246" t="s">
        <v>30</v>
      </c>
      <c r="C2246" s="3">
        <v>38503</v>
      </c>
      <c r="D2246" s="3">
        <v>38630</v>
      </c>
      <c r="E2246" t="s">
        <v>18</v>
      </c>
      <c r="F2246">
        <v>1</v>
      </c>
      <c r="G2246">
        <v>23500</v>
      </c>
      <c r="H2246">
        <v>23500</v>
      </c>
      <c r="I2246" s="4">
        <v>38686</v>
      </c>
      <c r="J2246" s="5">
        <f t="shared" si="70"/>
        <v>56</v>
      </c>
      <c r="K2246" s="6" t="str">
        <f t="shared" si="71"/>
        <v>C31~60</v>
      </c>
      <c r="L2246" t="str">
        <f>IF(J2246&lt;0,"A~0",VLOOKUP(J2246,[1]作法V!$B$1:$C$9,2,TRUE))</f>
        <v>C31~60</v>
      </c>
    </row>
    <row r="2247" spans="1:12">
      <c r="A2247">
        <v>1300</v>
      </c>
      <c r="B2247" t="s">
        <v>30</v>
      </c>
      <c r="C2247" s="3">
        <v>38510</v>
      </c>
      <c r="D2247" s="3">
        <v>38630</v>
      </c>
      <c r="E2247" t="s">
        <v>18</v>
      </c>
      <c r="F2247">
        <v>1</v>
      </c>
      <c r="G2247">
        <v>8554</v>
      </c>
      <c r="H2247">
        <v>8554</v>
      </c>
      <c r="I2247" s="4">
        <v>38686</v>
      </c>
      <c r="J2247" s="5">
        <f t="shared" si="70"/>
        <v>56</v>
      </c>
      <c r="K2247" s="6" t="str">
        <f t="shared" si="71"/>
        <v>C31~60</v>
      </c>
      <c r="L2247" t="str">
        <f>IF(J2247&lt;0,"A~0",VLOOKUP(J2247,[1]作法V!$B$1:$C$9,2,TRUE))</f>
        <v>C31~60</v>
      </c>
    </row>
    <row r="2248" spans="1:12">
      <c r="A2248">
        <v>1300</v>
      </c>
      <c r="B2248" t="s">
        <v>30</v>
      </c>
      <c r="C2248" s="3">
        <v>38510</v>
      </c>
      <c r="D2248" s="3">
        <v>38630</v>
      </c>
      <c r="E2248" t="s">
        <v>18</v>
      </c>
      <c r="F2248">
        <v>1</v>
      </c>
      <c r="G2248">
        <v>23171</v>
      </c>
      <c r="H2248">
        <v>23171</v>
      </c>
      <c r="I2248" s="4">
        <v>38686</v>
      </c>
      <c r="J2248" s="5">
        <f t="shared" si="70"/>
        <v>56</v>
      </c>
      <c r="K2248" s="6" t="str">
        <f t="shared" si="71"/>
        <v>C31~60</v>
      </c>
      <c r="L2248" t="str">
        <f>IF(J2248&lt;0,"A~0",VLOOKUP(J2248,[1]作法V!$B$1:$C$9,2,TRUE))</f>
        <v>C31~60</v>
      </c>
    </row>
    <row r="2249" spans="1:12">
      <c r="A2249">
        <v>1300</v>
      </c>
      <c r="B2249" t="s">
        <v>30</v>
      </c>
      <c r="C2249" s="3">
        <v>38510</v>
      </c>
      <c r="D2249" s="3">
        <v>38630</v>
      </c>
      <c r="E2249" t="s">
        <v>18</v>
      </c>
      <c r="F2249">
        <v>1</v>
      </c>
      <c r="G2249">
        <v>9471</v>
      </c>
      <c r="H2249">
        <v>9471</v>
      </c>
      <c r="I2249" s="4">
        <v>38686</v>
      </c>
      <c r="J2249" s="5">
        <f t="shared" si="70"/>
        <v>56</v>
      </c>
      <c r="K2249" s="6" t="str">
        <f t="shared" si="71"/>
        <v>C31~60</v>
      </c>
      <c r="L2249" t="str">
        <f>IF(J2249&lt;0,"A~0",VLOOKUP(J2249,[1]作法V!$B$1:$C$9,2,TRUE))</f>
        <v>C31~60</v>
      </c>
    </row>
    <row r="2250" spans="1:12">
      <c r="A2250">
        <v>1300</v>
      </c>
      <c r="B2250" t="s">
        <v>30</v>
      </c>
      <c r="C2250" s="3">
        <v>38513</v>
      </c>
      <c r="D2250" s="3">
        <v>38630</v>
      </c>
      <c r="E2250" t="s">
        <v>18</v>
      </c>
      <c r="F2250">
        <v>1</v>
      </c>
      <c r="G2250">
        <v>12500</v>
      </c>
      <c r="H2250">
        <v>12500</v>
      </c>
      <c r="I2250" s="4">
        <v>38686</v>
      </c>
      <c r="J2250" s="5">
        <f t="shared" si="70"/>
        <v>56</v>
      </c>
      <c r="K2250" s="6" t="str">
        <f t="shared" si="71"/>
        <v>C31~60</v>
      </c>
      <c r="L2250" t="str">
        <f>IF(J2250&lt;0,"A~0",VLOOKUP(J2250,[1]作法V!$B$1:$C$9,2,TRUE))</f>
        <v>C31~60</v>
      </c>
    </row>
    <row r="2251" spans="1:12">
      <c r="A2251">
        <v>1300</v>
      </c>
      <c r="B2251" t="s">
        <v>30</v>
      </c>
      <c r="C2251" s="3">
        <v>38513</v>
      </c>
      <c r="D2251" s="3">
        <v>38630</v>
      </c>
      <c r="E2251" t="s">
        <v>18</v>
      </c>
      <c r="F2251">
        <v>1</v>
      </c>
      <c r="G2251">
        <v>12500</v>
      </c>
      <c r="H2251">
        <v>12500</v>
      </c>
      <c r="I2251" s="4">
        <v>38686</v>
      </c>
      <c r="J2251" s="5">
        <f t="shared" si="70"/>
        <v>56</v>
      </c>
      <c r="K2251" s="6" t="str">
        <f t="shared" si="71"/>
        <v>C31~60</v>
      </c>
      <c r="L2251" t="str">
        <f>IF(J2251&lt;0,"A~0",VLOOKUP(J2251,[1]作法V!$B$1:$C$9,2,TRUE))</f>
        <v>C31~60</v>
      </c>
    </row>
    <row r="2252" spans="1:12">
      <c r="A2252">
        <v>1300</v>
      </c>
      <c r="B2252" t="s">
        <v>30</v>
      </c>
      <c r="C2252" s="3">
        <v>38513</v>
      </c>
      <c r="D2252" s="3">
        <v>38630</v>
      </c>
      <c r="E2252" t="s">
        <v>18</v>
      </c>
      <c r="F2252">
        <v>1</v>
      </c>
      <c r="G2252">
        <v>12500</v>
      </c>
      <c r="H2252">
        <v>12500</v>
      </c>
      <c r="I2252" s="4">
        <v>38686</v>
      </c>
      <c r="J2252" s="5">
        <f t="shared" si="70"/>
        <v>56</v>
      </c>
      <c r="K2252" s="6" t="str">
        <f t="shared" si="71"/>
        <v>C31~60</v>
      </c>
      <c r="L2252" t="str">
        <f>IF(J2252&lt;0,"A~0",VLOOKUP(J2252,[1]作法V!$B$1:$C$9,2,TRUE))</f>
        <v>C31~60</v>
      </c>
    </row>
    <row r="2253" spans="1:12">
      <c r="A2253">
        <v>1300</v>
      </c>
      <c r="B2253" t="s">
        <v>30</v>
      </c>
      <c r="C2253" s="3">
        <v>38513</v>
      </c>
      <c r="D2253" s="3">
        <v>38630</v>
      </c>
      <c r="E2253" t="s">
        <v>18</v>
      </c>
      <c r="F2253">
        <v>1</v>
      </c>
      <c r="G2253">
        <v>12500</v>
      </c>
      <c r="H2253">
        <v>12500</v>
      </c>
      <c r="I2253" s="4">
        <v>38686</v>
      </c>
      <c r="J2253" s="5">
        <f t="shared" si="70"/>
        <v>56</v>
      </c>
      <c r="K2253" s="6" t="str">
        <f t="shared" si="71"/>
        <v>C31~60</v>
      </c>
      <c r="L2253" t="str">
        <f>IF(J2253&lt;0,"A~0",VLOOKUP(J2253,[1]作法V!$B$1:$C$9,2,TRUE))</f>
        <v>C31~60</v>
      </c>
    </row>
    <row r="2254" spans="1:12">
      <c r="A2254">
        <v>1300</v>
      </c>
      <c r="B2254" t="s">
        <v>30</v>
      </c>
      <c r="C2254" s="3">
        <v>38513</v>
      </c>
      <c r="D2254" s="3">
        <v>38630</v>
      </c>
      <c r="E2254" t="s">
        <v>18</v>
      </c>
      <c r="F2254">
        <v>1</v>
      </c>
      <c r="G2254">
        <v>12500</v>
      </c>
      <c r="H2254">
        <v>12500</v>
      </c>
      <c r="I2254" s="4">
        <v>38686</v>
      </c>
      <c r="J2254" s="5">
        <f t="shared" si="70"/>
        <v>56</v>
      </c>
      <c r="K2254" s="6" t="str">
        <f t="shared" si="71"/>
        <v>C31~60</v>
      </c>
      <c r="L2254" t="str">
        <f>IF(J2254&lt;0,"A~0",VLOOKUP(J2254,[1]作法V!$B$1:$C$9,2,TRUE))</f>
        <v>C31~60</v>
      </c>
    </row>
    <row r="2255" spans="1:12">
      <c r="A2255">
        <v>1300</v>
      </c>
      <c r="B2255" t="s">
        <v>30</v>
      </c>
      <c r="C2255" s="3">
        <v>38520</v>
      </c>
      <c r="D2255" s="3">
        <v>38630</v>
      </c>
      <c r="E2255" t="s">
        <v>18</v>
      </c>
      <c r="F2255">
        <v>1</v>
      </c>
      <c r="G2255">
        <v>9142</v>
      </c>
      <c r="H2255">
        <v>9142</v>
      </c>
      <c r="I2255" s="4">
        <v>38686</v>
      </c>
      <c r="J2255" s="5">
        <f t="shared" si="70"/>
        <v>56</v>
      </c>
      <c r="K2255" s="6" t="str">
        <f t="shared" si="71"/>
        <v>C31~60</v>
      </c>
      <c r="L2255" t="str">
        <f>IF(J2255&lt;0,"A~0",VLOOKUP(J2255,[1]作法V!$B$1:$C$9,2,TRUE))</f>
        <v>C31~60</v>
      </c>
    </row>
    <row r="2256" spans="1:12">
      <c r="A2256">
        <v>1300</v>
      </c>
      <c r="B2256" t="s">
        <v>30</v>
      </c>
      <c r="C2256" s="3">
        <v>38520</v>
      </c>
      <c r="D2256" s="3">
        <v>38630</v>
      </c>
      <c r="E2256" t="s">
        <v>18</v>
      </c>
      <c r="F2256">
        <v>1</v>
      </c>
      <c r="G2256">
        <v>14359</v>
      </c>
      <c r="H2256">
        <v>14359</v>
      </c>
      <c r="I2256" s="4">
        <v>38686</v>
      </c>
      <c r="J2256" s="5">
        <f t="shared" si="70"/>
        <v>56</v>
      </c>
      <c r="K2256" s="6" t="str">
        <f t="shared" si="71"/>
        <v>C31~60</v>
      </c>
      <c r="L2256" t="str">
        <f>IF(J2256&lt;0,"A~0",VLOOKUP(J2256,[1]作法V!$B$1:$C$9,2,TRUE))</f>
        <v>C31~60</v>
      </c>
    </row>
    <row r="2257" spans="1:12">
      <c r="A2257">
        <v>1300</v>
      </c>
      <c r="B2257" t="s">
        <v>30</v>
      </c>
      <c r="C2257" s="3">
        <v>38537</v>
      </c>
      <c r="D2257" s="3">
        <v>38661</v>
      </c>
      <c r="E2257" t="s">
        <v>18</v>
      </c>
      <c r="F2257">
        <v>1</v>
      </c>
      <c r="G2257">
        <v>165000</v>
      </c>
      <c r="H2257">
        <v>165000</v>
      </c>
      <c r="I2257" s="4">
        <v>38686</v>
      </c>
      <c r="J2257" s="5">
        <f t="shared" si="70"/>
        <v>25</v>
      </c>
      <c r="K2257" s="6" t="str">
        <f t="shared" si="71"/>
        <v>B1~30</v>
      </c>
      <c r="L2257" t="str">
        <f>IF(J2257&lt;0,"A~0",VLOOKUP(J2257,[1]作法V!$B$1:$C$9,2,TRUE))</f>
        <v>B1~30</v>
      </c>
    </row>
    <row r="2258" spans="1:12">
      <c r="A2258">
        <v>1300</v>
      </c>
      <c r="B2258" t="s">
        <v>30</v>
      </c>
      <c r="C2258" s="3">
        <v>38539</v>
      </c>
      <c r="D2258" s="3">
        <v>38661</v>
      </c>
      <c r="E2258" t="s">
        <v>18</v>
      </c>
      <c r="F2258">
        <v>1</v>
      </c>
      <c r="G2258">
        <v>219800</v>
      </c>
      <c r="H2258">
        <v>219800</v>
      </c>
      <c r="I2258" s="4">
        <v>38686</v>
      </c>
      <c r="J2258" s="5">
        <f t="shared" si="70"/>
        <v>25</v>
      </c>
      <c r="K2258" s="6" t="str">
        <f t="shared" si="71"/>
        <v>B1~30</v>
      </c>
      <c r="L2258" t="str">
        <f>IF(J2258&lt;0,"A~0",VLOOKUP(J2258,[1]作法V!$B$1:$C$9,2,TRUE))</f>
        <v>B1~30</v>
      </c>
    </row>
    <row r="2259" spans="1:12">
      <c r="A2259">
        <v>1300</v>
      </c>
      <c r="B2259" t="s">
        <v>30</v>
      </c>
      <c r="C2259" s="3">
        <v>38539</v>
      </c>
      <c r="D2259" s="3">
        <v>38661</v>
      </c>
      <c r="E2259" t="s">
        <v>18</v>
      </c>
      <c r="F2259">
        <v>1</v>
      </c>
      <c r="G2259">
        <v>345400</v>
      </c>
      <c r="H2259">
        <v>345400</v>
      </c>
      <c r="I2259" s="4">
        <v>38686</v>
      </c>
      <c r="J2259" s="5">
        <f t="shared" si="70"/>
        <v>25</v>
      </c>
      <c r="K2259" s="6" t="str">
        <f t="shared" si="71"/>
        <v>B1~30</v>
      </c>
      <c r="L2259" t="str">
        <f>IF(J2259&lt;0,"A~0",VLOOKUP(J2259,[1]作法V!$B$1:$C$9,2,TRUE))</f>
        <v>B1~30</v>
      </c>
    </row>
    <row r="2260" spans="1:12">
      <c r="A2260">
        <v>1300</v>
      </c>
      <c r="B2260" t="s">
        <v>30</v>
      </c>
      <c r="C2260" s="3">
        <v>38541</v>
      </c>
      <c r="D2260" s="3">
        <v>38661</v>
      </c>
      <c r="E2260" t="s">
        <v>18</v>
      </c>
      <c r="F2260">
        <v>1</v>
      </c>
      <c r="G2260">
        <v>5400</v>
      </c>
      <c r="H2260">
        <v>5400</v>
      </c>
      <c r="I2260" s="4">
        <v>38686</v>
      </c>
      <c r="J2260" s="5">
        <f t="shared" si="70"/>
        <v>25</v>
      </c>
      <c r="K2260" s="6" t="str">
        <f t="shared" si="71"/>
        <v>B1~30</v>
      </c>
      <c r="L2260" t="str">
        <f>IF(J2260&lt;0,"A~0",VLOOKUP(J2260,[1]作法V!$B$1:$C$9,2,TRUE))</f>
        <v>B1~30</v>
      </c>
    </row>
    <row r="2261" spans="1:12">
      <c r="A2261">
        <v>1300</v>
      </c>
      <c r="B2261" t="s">
        <v>30</v>
      </c>
      <c r="C2261" s="3">
        <v>38541</v>
      </c>
      <c r="D2261" s="3">
        <v>38661</v>
      </c>
      <c r="E2261" t="s">
        <v>18</v>
      </c>
      <c r="F2261">
        <v>1</v>
      </c>
      <c r="G2261">
        <v>112000</v>
      </c>
      <c r="H2261">
        <v>112000</v>
      </c>
      <c r="I2261" s="4">
        <v>38686</v>
      </c>
      <c r="J2261" s="5">
        <f t="shared" si="70"/>
        <v>25</v>
      </c>
      <c r="K2261" s="6" t="str">
        <f t="shared" si="71"/>
        <v>B1~30</v>
      </c>
      <c r="L2261" t="str">
        <f>IF(J2261&lt;0,"A~0",VLOOKUP(J2261,[1]作法V!$B$1:$C$9,2,TRUE))</f>
        <v>B1~30</v>
      </c>
    </row>
    <row r="2262" spans="1:12">
      <c r="A2262">
        <v>1300</v>
      </c>
      <c r="B2262" t="s">
        <v>30</v>
      </c>
      <c r="C2262" s="3">
        <v>38541</v>
      </c>
      <c r="D2262" s="3">
        <v>38661</v>
      </c>
      <c r="E2262" t="s">
        <v>18</v>
      </c>
      <c r="F2262">
        <v>1</v>
      </c>
      <c r="G2262">
        <v>16000</v>
      </c>
      <c r="H2262">
        <v>16000</v>
      </c>
      <c r="I2262" s="4">
        <v>38686</v>
      </c>
      <c r="J2262" s="5">
        <f t="shared" si="70"/>
        <v>25</v>
      </c>
      <c r="K2262" s="6" t="str">
        <f t="shared" si="71"/>
        <v>B1~30</v>
      </c>
      <c r="L2262" t="str">
        <f>IF(J2262&lt;0,"A~0",VLOOKUP(J2262,[1]作法V!$B$1:$C$9,2,TRUE))</f>
        <v>B1~30</v>
      </c>
    </row>
    <row r="2263" spans="1:12">
      <c r="A2263">
        <v>1300</v>
      </c>
      <c r="B2263" t="s">
        <v>30</v>
      </c>
      <c r="C2263" s="3">
        <v>38544</v>
      </c>
      <c r="D2263" s="3">
        <v>38661</v>
      </c>
      <c r="E2263" t="s">
        <v>18</v>
      </c>
      <c r="F2263">
        <v>1</v>
      </c>
      <c r="G2263">
        <v>132000</v>
      </c>
      <c r="H2263">
        <v>132000</v>
      </c>
      <c r="I2263" s="4">
        <v>38686</v>
      </c>
      <c r="J2263" s="5">
        <f t="shared" si="70"/>
        <v>25</v>
      </c>
      <c r="K2263" s="6" t="str">
        <f t="shared" si="71"/>
        <v>B1~30</v>
      </c>
      <c r="L2263" t="str">
        <f>IF(J2263&lt;0,"A~0",VLOOKUP(J2263,[1]作法V!$B$1:$C$9,2,TRUE))</f>
        <v>B1~30</v>
      </c>
    </row>
    <row r="2264" spans="1:12">
      <c r="A2264">
        <v>1300</v>
      </c>
      <c r="B2264" t="s">
        <v>30</v>
      </c>
      <c r="C2264" s="3">
        <v>38544</v>
      </c>
      <c r="D2264" s="3">
        <v>38661</v>
      </c>
      <c r="E2264" t="s">
        <v>18</v>
      </c>
      <c r="F2264">
        <v>1</v>
      </c>
      <c r="G2264">
        <v>565200</v>
      </c>
      <c r="H2264">
        <v>565200</v>
      </c>
      <c r="I2264" s="4">
        <v>38686</v>
      </c>
      <c r="J2264" s="5">
        <f t="shared" si="70"/>
        <v>25</v>
      </c>
      <c r="K2264" s="6" t="str">
        <f t="shared" si="71"/>
        <v>B1~30</v>
      </c>
      <c r="L2264" t="str">
        <f>IF(J2264&lt;0,"A~0",VLOOKUP(J2264,[1]作法V!$B$1:$C$9,2,TRUE))</f>
        <v>B1~30</v>
      </c>
    </row>
    <row r="2265" spans="1:12">
      <c r="A2265">
        <v>1300</v>
      </c>
      <c r="B2265" t="s">
        <v>30</v>
      </c>
      <c r="C2265" s="3">
        <v>38544</v>
      </c>
      <c r="D2265" s="3">
        <v>38666</v>
      </c>
      <c r="E2265" t="s">
        <v>17</v>
      </c>
      <c r="F2265">
        <v>31.95</v>
      </c>
      <c r="G2265">
        <v>4959</v>
      </c>
      <c r="H2265">
        <v>158440</v>
      </c>
      <c r="I2265" s="4">
        <v>38686</v>
      </c>
      <c r="J2265" s="5">
        <f t="shared" si="70"/>
        <v>20</v>
      </c>
      <c r="K2265" s="6" t="str">
        <f t="shared" si="71"/>
        <v>B1~30</v>
      </c>
      <c r="L2265" t="str">
        <f>IF(J2265&lt;0,"A~0",VLOOKUP(J2265,[1]作法V!$B$1:$C$9,2,TRUE))</f>
        <v>B1~30</v>
      </c>
    </row>
    <row r="2266" spans="1:12">
      <c r="A2266">
        <v>1300</v>
      </c>
      <c r="B2266" t="s">
        <v>30</v>
      </c>
      <c r="C2266" s="3">
        <v>38545</v>
      </c>
      <c r="D2266" s="3">
        <v>38661</v>
      </c>
      <c r="E2266" t="s">
        <v>18</v>
      </c>
      <c r="F2266">
        <v>1</v>
      </c>
      <c r="G2266">
        <v>14359</v>
      </c>
      <c r="H2266">
        <v>14359</v>
      </c>
      <c r="I2266" s="4">
        <v>38686</v>
      </c>
      <c r="J2266" s="5">
        <f t="shared" si="70"/>
        <v>25</v>
      </c>
      <c r="K2266" s="6" t="str">
        <f t="shared" si="71"/>
        <v>B1~30</v>
      </c>
      <c r="L2266" t="str">
        <f>IF(J2266&lt;0,"A~0",VLOOKUP(J2266,[1]作法V!$B$1:$C$9,2,TRUE))</f>
        <v>B1~30</v>
      </c>
    </row>
    <row r="2267" spans="1:12">
      <c r="A2267">
        <v>1300</v>
      </c>
      <c r="B2267" t="s">
        <v>30</v>
      </c>
      <c r="C2267" s="3">
        <v>38545</v>
      </c>
      <c r="D2267" s="3">
        <v>38661</v>
      </c>
      <c r="E2267" t="s">
        <v>18</v>
      </c>
      <c r="F2267">
        <v>1</v>
      </c>
      <c r="G2267">
        <v>23500</v>
      </c>
      <c r="H2267">
        <v>23500</v>
      </c>
      <c r="I2267" s="4">
        <v>38686</v>
      </c>
      <c r="J2267" s="5">
        <f t="shared" si="70"/>
        <v>25</v>
      </c>
      <c r="K2267" s="6" t="str">
        <f t="shared" si="71"/>
        <v>B1~30</v>
      </c>
      <c r="L2267" t="str">
        <f>IF(J2267&lt;0,"A~0",VLOOKUP(J2267,[1]作法V!$B$1:$C$9,2,TRUE))</f>
        <v>B1~30</v>
      </c>
    </row>
    <row r="2268" spans="1:12">
      <c r="A2268">
        <v>1300</v>
      </c>
      <c r="B2268" t="s">
        <v>30</v>
      </c>
      <c r="C2268" s="3">
        <v>38545</v>
      </c>
      <c r="D2268" s="3">
        <v>38661</v>
      </c>
      <c r="E2268" t="s">
        <v>18</v>
      </c>
      <c r="F2268">
        <v>1</v>
      </c>
      <c r="G2268">
        <v>3502</v>
      </c>
      <c r="H2268">
        <v>3502</v>
      </c>
      <c r="I2268" s="4">
        <v>38686</v>
      </c>
      <c r="J2268" s="5">
        <f t="shared" si="70"/>
        <v>25</v>
      </c>
      <c r="K2268" s="6" t="str">
        <f t="shared" si="71"/>
        <v>B1~30</v>
      </c>
      <c r="L2268" t="str">
        <f>IF(J2268&lt;0,"A~0",VLOOKUP(J2268,[1]作法V!$B$1:$C$9,2,TRUE))</f>
        <v>B1~30</v>
      </c>
    </row>
    <row r="2269" spans="1:12">
      <c r="A2269">
        <v>1300</v>
      </c>
      <c r="B2269" t="s">
        <v>30</v>
      </c>
      <c r="C2269" s="3">
        <v>38545</v>
      </c>
      <c r="D2269" s="3">
        <v>38661</v>
      </c>
      <c r="E2269" t="s">
        <v>18</v>
      </c>
      <c r="F2269">
        <v>1</v>
      </c>
      <c r="G2269">
        <v>23500</v>
      </c>
      <c r="H2269">
        <v>23500</v>
      </c>
      <c r="I2269" s="4">
        <v>38686</v>
      </c>
      <c r="J2269" s="5">
        <f t="shared" si="70"/>
        <v>25</v>
      </c>
      <c r="K2269" s="6" t="str">
        <f t="shared" si="71"/>
        <v>B1~30</v>
      </c>
      <c r="L2269" t="str">
        <f>IF(J2269&lt;0,"A~0",VLOOKUP(J2269,[1]作法V!$B$1:$C$9,2,TRUE))</f>
        <v>B1~30</v>
      </c>
    </row>
    <row r="2270" spans="1:12">
      <c r="A2270">
        <v>1300</v>
      </c>
      <c r="B2270" t="s">
        <v>30</v>
      </c>
      <c r="C2270" s="3">
        <v>38545</v>
      </c>
      <c r="D2270" s="3">
        <v>38661</v>
      </c>
      <c r="E2270" t="s">
        <v>18</v>
      </c>
      <c r="F2270">
        <v>1</v>
      </c>
      <c r="G2270">
        <v>47000</v>
      </c>
      <c r="H2270">
        <v>47000</v>
      </c>
      <c r="I2270" s="4">
        <v>38686</v>
      </c>
      <c r="J2270" s="5">
        <f t="shared" si="70"/>
        <v>25</v>
      </c>
      <c r="K2270" s="6" t="str">
        <f t="shared" si="71"/>
        <v>B1~30</v>
      </c>
      <c r="L2270" t="str">
        <f>IF(J2270&lt;0,"A~0",VLOOKUP(J2270,[1]作法V!$B$1:$C$9,2,TRUE))</f>
        <v>B1~30</v>
      </c>
    </row>
    <row r="2271" spans="1:12">
      <c r="A2271">
        <v>1300</v>
      </c>
      <c r="B2271" t="s">
        <v>30</v>
      </c>
      <c r="C2271" s="3">
        <v>38545</v>
      </c>
      <c r="D2271" s="3">
        <v>38661</v>
      </c>
      <c r="E2271" t="s">
        <v>18</v>
      </c>
      <c r="F2271">
        <v>1</v>
      </c>
      <c r="G2271">
        <v>47000</v>
      </c>
      <c r="H2271">
        <v>47000</v>
      </c>
      <c r="I2271" s="4">
        <v>38686</v>
      </c>
      <c r="J2271" s="5">
        <f t="shared" si="70"/>
        <v>25</v>
      </c>
      <c r="K2271" s="6" t="str">
        <f t="shared" si="71"/>
        <v>B1~30</v>
      </c>
      <c r="L2271" t="str">
        <f>IF(J2271&lt;0,"A~0",VLOOKUP(J2271,[1]作法V!$B$1:$C$9,2,TRUE))</f>
        <v>B1~30</v>
      </c>
    </row>
    <row r="2272" spans="1:12">
      <c r="A2272">
        <v>1300</v>
      </c>
      <c r="B2272" t="s">
        <v>30</v>
      </c>
      <c r="C2272" s="3">
        <v>38545</v>
      </c>
      <c r="D2272" s="3">
        <v>38661</v>
      </c>
      <c r="E2272" t="s">
        <v>18</v>
      </c>
      <c r="F2272">
        <v>1</v>
      </c>
      <c r="G2272">
        <v>23500</v>
      </c>
      <c r="H2272">
        <v>23500</v>
      </c>
      <c r="I2272" s="4">
        <v>38686</v>
      </c>
      <c r="J2272" s="5">
        <f t="shared" si="70"/>
        <v>25</v>
      </c>
      <c r="K2272" s="6" t="str">
        <f t="shared" si="71"/>
        <v>B1~30</v>
      </c>
      <c r="L2272" t="str">
        <f>IF(J2272&lt;0,"A~0",VLOOKUP(J2272,[1]作法V!$B$1:$C$9,2,TRUE))</f>
        <v>B1~30</v>
      </c>
    </row>
    <row r="2273" spans="1:12">
      <c r="A2273">
        <v>1300</v>
      </c>
      <c r="B2273" t="s">
        <v>30</v>
      </c>
      <c r="C2273" s="3">
        <v>38545</v>
      </c>
      <c r="D2273" s="3">
        <v>38661</v>
      </c>
      <c r="E2273" t="s">
        <v>18</v>
      </c>
      <c r="F2273">
        <v>1</v>
      </c>
      <c r="G2273">
        <v>23500</v>
      </c>
      <c r="H2273">
        <v>23500</v>
      </c>
      <c r="I2273" s="4">
        <v>38686</v>
      </c>
      <c r="J2273" s="5">
        <f t="shared" si="70"/>
        <v>25</v>
      </c>
      <c r="K2273" s="6" t="str">
        <f t="shared" si="71"/>
        <v>B1~30</v>
      </c>
      <c r="L2273" t="str">
        <f>IF(J2273&lt;0,"A~0",VLOOKUP(J2273,[1]作法V!$B$1:$C$9,2,TRUE))</f>
        <v>B1~30</v>
      </c>
    </row>
    <row r="2274" spans="1:12">
      <c r="A2274">
        <v>1300</v>
      </c>
      <c r="B2274" t="s">
        <v>30</v>
      </c>
      <c r="C2274" s="3">
        <v>38545</v>
      </c>
      <c r="D2274" s="3">
        <v>38661</v>
      </c>
      <c r="E2274" t="s">
        <v>18</v>
      </c>
      <c r="F2274">
        <v>1</v>
      </c>
      <c r="G2274">
        <v>3502</v>
      </c>
      <c r="H2274">
        <v>3502</v>
      </c>
      <c r="I2274" s="4">
        <v>38686</v>
      </c>
      <c r="J2274" s="5">
        <f t="shared" si="70"/>
        <v>25</v>
      </c>
      <c r="K2274" s="6" t="str">
        <f t="shared" si="71"/>
        <v>B1~30</v>
      </c>
      <c r="L2274" t="str">
        <f>IF(J2274&lt;0,"A~0",VLOOKUP(J2274,[1]作法V!$B$1:$C$9,2,TRUE))</f>
        <v>B1~30</v>
      </c>
    </row>
    <row r="2275" spans="1:12">
      <c r="A2275">
        <v>1300</v>
      </c>
      <c r="B2275" t="s">
        <v>30</v>
      </c>
      <c r="C2275" s="3">
        <v>38545</v>
      </c>
      <c r="D2275" s="3">
        <v>38661</v>
      </c>
      <c r="E2275" t="s">
        <v>18</v>
      </c>
      <c r="F2275">
        <v>1</v>
      </c>
      <c r="G2275">
        <v>23500</v>
      </c>
      <c r="H2275">
        <v>23500</v>
      </c>
      <c r="I2275" s="4">
        <v>38686</v>
      </c>
      <c r="J2275" s="5">
        <f t="shared" si="70"/>
        <v>25</v>
      </c>
      <c r="K2275" s="6" t="str">
        <f t="shared" si="71"/>
        <v>B1~30</v>
      </c>
      <c r="L2275" t="str">
        <f>IF(J2275&lt;0,"A~0",VLOOKUP(J2275,[1]作法V!$B$1:$C$9,2,TRUE))</f>
        <v>B1~30</v>
      </c>
    </row>
    <row r="2276" spans="1:12">
      <c r="A2276">
        <v>1300</v>
      </c>
      <c r="B2276" t="s">
        <v>30</v>
      </c>
      <c r="C2276" s="3">
        <v>38545</v>
      </c>
      <c r="D2276" s="3">
        <v>38661</v>
      </c>
      <c r="E2276" t="s">
        <v>18</v>
      </c>
      <c r="F2276">
        <v>1</v>
      </c>
      <c r="G2276">
        <v>19999</v>
      </c>
      <c r="H2276">
        <v>19999</v>
      </c>
      <c r="I2276" s="4">
        <v>38686</v>
      </c>
      <c r="J2276" s="5">
        <f t="shared" si="70"/>
        <v>25</v>
      </c>
      <c r="K2276" s="6" t="str">
        <f t="shared" si="71"/>
        <v>B1~30</v>
      </c>
      <c r="L2276" t="str">
        <f>IF(J2276&lt;0,"A~0",VLOOKUP(J2276,[1]作法V!$B$1:$C$9,2,TRUE))</f>
        <v>B1~30</v>
      </c>
    </row>
    <row r="2277" spans="1:12">
      <c r="A2277">
        <v>1300</v>
      </c>
      <c r="B2277" t="s">
        <v>30</v>
      </c>
      <c r="C2277" s="3">
        <v>38545</v>
      </c>
      <c r="D2277" s="3">
        <v>38661</v>
      </c>
      <c r="E2277" t="s">
        <v>18</v>
      </c>
      <c r="F2277">
        <v>1</v>
      </c>
      <c r="G2277">
        <v>483</v>
      </c>
      <c r="H2277">
        <v>483</v>
      </c>
      <c r="I2277" s="4">
        <v>38686</v>
      </c>
      <c r="J2277" s="5">
        <f t="shared" si="70"/>
        <v>25</v>
      </c>
      <c r="K2277" s="6" t="str">
        <f t="shared" si="71"/>
        <v>B1~30</v>
      </c>
      <c r="L2277" t="str">
        <f>IF(J2277&lt;0,"A~0",VLOOKUP(J2277,[1]作法V!$B$1:$C$9,2,TRUE))</f>
        <v>B1~30</v>
      </c>
    </row>
    <row r="2278" spans="1:12">
      <c r="A2278">
        <v>1300</v>
      </c>
      <c r="B2278" t="s">
        <v>30</v>
      </c>
      <c r="C2278" s="3">
        <v>38545</v>
      </c>
      <c r="D2278" s="3">
        <v>38661</v>
      </c>
      <c r="E2278" t="s">
        <v>18</v>
      </c>
      <c r="F2278">
        <v>1</v>
      </c>
      <c r="G2278">
        <v>338</v>
      </c>
      <c r="H2278">
        <v>338</v>
      </c>
      <c r="I2278" s="4">
        <v>38686</v>
      </c>
      <c r="J2278" s="5">
        <f t="shared" si="70"/>
        <v>25</v>
      </c>
      <c r="K2278" s="6" t="str">
        <f t="shared" si="71"/>
        <v>B1~30</v>
      </c>
      <c r="L2278" t="str">
        <f>IF(J2278&lt;0,"A~0",VLOOKUP(J2278,[1]作法V!$B$1:$C$9,2,TRUE))</f>
        <v>B1~30</v>
      </c>
    </row>
    <row r="2279" spans="1:12">
      <c r="A2279">
        <v>1300</v>
      </c>
      <c r="B2279" t="s">
        <v>30</v>
      </c>
      <c r="C2279" s="3">
        <v>38545</v>
      </c>
      <c r="D2279" s="3">
        <v>38661</v>
      </c>
      <c r="E2279" t="s">
        <v>18</v>
      </c>
      <c r="F2279">
        <v>1</v>
      </c>
      <c r="G2279">
        <v>1208</v>
      </c>
      <c r="H2279">
        <v>1208</v>
      </c>
      <c r="I2279" s="4">
        <v>38686</v>
      </c>
      <c r="J2279" s="5">
        <f t="shared" si="70"/>
        <v>25</v>
      </c>
      <c r="K2279" s="6" t="str">
        <f t="shared" si="71"/>
        <v>B1~30</v>
      </c>
      <c r="L2279" t="str">
        <f>IF(J2279&lt;0,"A~0",VLOOKUP(J2279,[1]作法V!$B$1:$C$9,2,TRUE))</f>
        <v>B1~30</v>
      </c>
    </row>
    <row r="2280" spans="1:12">
      <c r="A2280">
        <v>1300</v>
      </c>
      <c r="B2280" t="s">
        <v>30</v>
      </c>
      <c r="C2280" s="3">
        <v>38547</v>
      </c>
      <c r="D2280" s="3">
        <v>38661</v>
      </c>
      <c r="E2280" t="s">
        <v>18</v>
      </c>
      <c r="F2280">
        <v>1</v>
      </c>
      <c r="G2280">
        <v>143000</v>
      </c>
      <c r="H2280">
        <v>143000</v>
      </c>
      <c r="I2280" s="4">
        <v>38686</v>
      </c>
      <c r="J2280" s="5">
        <f t="shared" si="70"/>
        <v>25</v>
      </c>
      <c r="K2280" s="6" t="str">
        <f t="shared" si="71"/>
        <v>B1~30</v>
      </c>
      <c r="L2280" t="str">
        <f>IF(J2280&lt;0,"A~0",VLOOKUP(J2280,[1]作法V!$B$1:$C$9,2,TRUE))</f>
        <v>B1~30</v>
      </c>
    </row>
    <row r="2281" spans="1:12">
      <c r="A2281">
        <v>1300</v>
      </c>
      <c r="B2281" t="s">
        <v>30</v>
      </c>
      <c r="C2281" s="3">
        <v>38553</v>
      </c>
      <c r="D2281" s="3">
        <v>38661</v>
      </c>
      <c r="E2281" t="s">
        <v>18</v>
      </c>
      <c r="F2281">
        <v>1</v>
      </c>
      <c r="G2281">
        <v>565200</v>
      </c>
      <c r="H2281">
        <v>565200</v>
      </c>
      <c r="I2281" s="4">
        <v>38686</v>
      </c>
      <c r="J2281" s="5">
        <f t="shared" si="70"/>
        <v>25</v>
      </c>
      <c r="K2281" s="6" t="str">
        <f t="shared" si="71"/>
        <v>B1~30</v>
      </c>
      <c r="L2281" t="str">
        <f>IF(J2281&lt;0,"A~0",VLOOKUP(J2281,[1]作法V!$B$1:$C$9,2,TRUE))</f>
        <v>B1~30</v>
      </c>
    </row>
    <row r="2282" spans="1:12">
      <c r="A2282">
        <v>1300</v>
      </c>
      <c r="B2282" t="s">
        <v>30</v>
      </c>
      <c r="C2282" s="3">
        <v>38554</v>
      </c>
      <c r="D2282" s="3">
        <v>38661</v>
      </c>
      <c r="E2282" t="s">
        <v>18</v>
      </c>
      <c r="F2282">
        <v>1</v>
      </c>
      <c r="G2282">
        <v>773</v>
      </c>
      <c r="H2282">
        <v>773</v>
      </c>
      <c r="I2282" s="4">
        <v>38686</v>
      </c>
      <c r="J2282" s="5">
        <f t="shared" si="70"/>
        <v>25</v>
      </c>
      <c r="K2282" s="6" t="str">
        <f t="shared" si="71"/>
        <v>B1~30</v>
      </c>
      <c r="L2282" t="str">
        <f>IF(J2282&lt;0,"A~0",VLOOKUP(J2282,[1]作法V!$B$1:$C$9,2,TRUE))</f>
        <v>B1~30</v>
      </c>
    </row>
    <row r="2283" spans="1:12">
      <c r="A2283">
        <v>1300</v>
      </c>
      <c r="B2283" t="s">
        <v>30</v>
      </c>
      <c r="C2283" s="3">
        <v>38554</v>
      </c>
      <c r="D2283" s="3">
        <v>38661</v>
      </c>
      <c r="E2283" t="s">
        <v>18</v>
      </c>
      <c r="F2283">
        <v>1</v>
      </c>
      <c r="G2283">
        <v>232360</v>
      </c>
      <c r="H2283">
        <v>232360</v>
      </c>
      <c r="I2283" s="4">
        <v>38686</v>
      </c>
      <c r="J2283" s="5">
        <f t="shared" si="70"/>
        <v>25</v>
      </c>
      <c r="K2283" s="6" t="str">
        <f t="shared" si="71"/>
        <v>B1~30</v>
      </c>
      <c r="L2283" t="str">
        <f>IF(J2283&lt;0,"A~0",VLOOKUP(J2283,[1]作法V!$B$1:$C$9,2,TRUE))</f>
        <v>B1~30</v>
      </c>
    </row>
    <row r="2284" spans="1:12">
      <c r="A2284">
        <v>1300</v>
      </c>
      <c r="B2284" t="s">
        <v>30</v>
      </c>
      <c r="C2284" s="3">
        <v>38554</v>
      </c>
      <c r="D2284" s="3">
        <v>38661</v>
      </c>
      <c r="E2284" t="s">
        <v>18</v>
      </c>
      <c r="F2284">
        <v>1</v>
      </c>
      <c r="G2284">
        <v>220000</v>
      </c>
      <c r="H2284">
        <v>220000</v>
      </c>
      <c r="I2284" s="4">
        <v>38686</v>
      </c>
      <c r="J2284" s="5">
        <f t="shared" si="70"/>
        <v>25</v>
      </c>
      <c r="K2284" s="6" t="str">
        <f t="shared" si="71"/>
        <v>B1~30</v>
      </c>
      <c r="L2284" t="str">
        <f>IF(J2284&lt;0,"A~0",VLOOKUP(J2284,[1]作法V!$B$1:$C$9,2,TRUE))</f>
        <v>B1~30</v>
      </c>
    </row>
    <row r="2285" spans="1:12">
      <c r="A2285">
        <v>1300</v>
      </c>
      <c r="B2285" t="s">
        <v>30</v>
      </c>
      <c r="C2285" s="3">
        <v>38558</v>
      </c>
      <c r="D2285" s="3">
        <v>38691</v>
      </c>
      <c r="E2285" t="s">
        <v>18</v>
      </c>
      <c r="F2285">
        <v>1</v>
      </c>
      <c r="G2285">
        <v>376800</v>
      </c>
      <c r="H2285">
        <v>376800</v>
      </c>
      <c r="I2285" s="4">
        <v>38686</v>
      </c>
      <c r="J2285" s="5">
        <f t="shared" si="70"/>
        <v>-5</v>
      </c>
      <c r="K2285" s="6" t="str">
        <f t="shared" si="71"/>
        <v>A~0</v>
      </c>
      <c r="L2285" t="str">
        <f>IF(J2285&lt;0,"A~0",VLOOKUP(J2285,[1]作法V!$B$1:$C$9,2,TRUE))</f>
        <v>A~0</v>
      </c>
    </row>
    <row r="2286" spans="1:12">
      <c r="A2286">
        <v>1300</v>
      </c>
      <c r="B2286" t="s">
        <v>30</v>
      </c>
      <c r="C2286" s="3">
        <v>38558</v>
      </c>
      <c r="D2286" s="3">
        <v>38691</v>
      </c>
      <c r="E2286" t="s">
        <v>18</v>
      </c>
      <c r="F2286">
        <v>1</v>
      </c>
      <c r="G2286">
        <v>31400</v>
      </c>
      <c r="H2286">
        <v>31400</v>
      </c>
      <c r="I2286" s="4">
        <v>38686</v>
      </c>
      <c r="J2286" s="5">
        <f t="shared" si="70"/>
        <v>-5</v>
      </c>
      <c r="K2286" s="6" t="str">
        <f t="shared" si="71"/>
        <v>A~0</v>
      </c>
      <c r="L2286" t="str">
        <f>IF(J2286&lt;0,"A~0",VLOOKUP(J2286,[1]作法V!$B$1:$C$9,2,TRUE))</f>
        <v>A~0</v>
      </c>
    </row>
    <row r="2287" spans="1:12">
      <c r="A2287">
        <v>1300</v>
      </c>
      <c r="B2287" t="s">
        <v>30</v>
      </c>
      <c r="C2287" s="3">
        <v>38558</v>
      </c>
      <c r="D2287" s="3">
        <v>38691</v>
      </c>
      <c r="E2287" t="s">
        <v>18</v>
      </c>
      <c r="F2287">
        <v>1</v>
      </c>
      <c r="G2287">
        <v>175840</v>
      </c>
      <c r="H2287">
        <v>175840</v>
      </c>
      <c r="I2287" s="4">
        <v>38686</v>
      </c>
      <c r="J2287" s="5">
        <f t="shared" si="70"/>
        <v>-5</v>
      </c>
      <c r="K2287" s="6" t="str">
        <f t="shared" si="71"/>
        <v>A~0</v>
      </c>
      <c r="L2287" t="str">
        <f>IF(J2287&lt;0,"A~0",VLOOKUP(J2287,[1]作法V!$B$1:$C$9,2,TRUE))</f>
        <v>A~0</v>
      </c>
    </row>
    <row r="2288" spans="1:12">
      <c r="A2288">
        <v>1300</v>
      </c>
      <c r="B2288" t="s">
        <v>30</v>
      </c>
      <c r="C2288" s="3">
        <v>38559</v>
      </c>
      <c r="D2288" s="3">
        <v>38691</v>
      </c>
      <c r="E2288" t="s">
        <v>18</v>
      </c>
      <c r="F2288">
        <v>1</v>
      </c>
      <c r="G2288">
        <v>12500</v>
      </c>
      <c r="H2288">
        <v>12500</v>
      </c>
      <c r="I2288" s="4">
        <v>38686</v>
      </c>
      <c r="J2288" s="5">
        <f t="shared" si="70"/>
        <v>-5</v>
      </c>
      <c r="K2288" s="6" t="str">
        <f t="shared" si="71"/>
        <v>A~0</v>
      </c>
      <c r="L2288" t="str">
        <f>IF(J2288&lt;0,"A~0",VLOOKUP(J2288,[1]作法V!$B$1:$C$9,2,TRUE))</f>
        <v>A~0</v>
      </c>
    </row>
    <row r="2289" spans="1:12">
      <c r="A2289">
        <v>1300</v>
      </c>
      <c r="B2289" t="s">
        <v>30</v>
      </c>
      <c r="C2289" s="3">
        <v>38559</v>
      </c>
      <c r="D2289" s="3">
        <v>38691</v>
      </c>
      <c r="E2289" t="s">
        <v>18</v>
      </c>
      <c r="F2289">
        <v>1</v>
      </c>
      <c r="G2289">
        <v>12500</v>
      </c>
      <c r="H2289">
        <v>12500</v>
      </c>
      <c r="I2289" s="4">
        <v>38686</v>
      </c>
      <c r="J2289" s="5">
        <f t="shared" si="70"/>
        <v>-5</v>
      </c>
      <c r="K2289" s="6" t="str">
        <f t="shared" si="71"/>
        <v>A~0</v>
      </c>
      <c r="L2289" t="str">
        <f>IF(J2289&lt;0,"A~0",VLOOKUP(J2289,[1]作法V!$B$1:$C$9,2,TRUE))</f>
        <v>A~0</v>
      </c>
    </row>
    <row r="2290" spans="1:12">
      <c r="A2290">
        <v>1300</v>
      </c>
      <c r="B2290" t="s">
        <v>30</v>
      </c>
      <c r="C2290" s="3">
        <v>38559</v>
      </c>
      <c r="D2290" s="3">
        <v>38691</v>
      </c>
      <c r="E2290" t="s">
        <v>18</v>
      </c>
      <c r="F2290">
        <v>1</v>
      </c>
      <c r="G2290">
        <v>12500</v>
      </c>
      <c r="H2290">
        <v>12500</v>
      </c>
      <c r="I2290" s="4">
        <v>38686</v>
      </c>
      <c r="J2290" s="5">
        <f t="shared" si="70"/>
        <v>-5</v>
      </c>
      <c r="K2290" s="6" t="str">
        <f t="shared" si="71"/>
        <v>A~0</v>
      </c>
      <c r="L2290" t="str">
        <f>IF(J2290&lt;0,"A~0",VLOOKUP(J2290,[1]作法V!$B$1:$C$9,2,TRUE))</f>
        <v>A~0</v>
      </c>
    </row>
    <row r="2291" spans="1:12">
      <c r="A2291">
        <v>1300</v>
      </c>
      <c r="B2291" t="s">
        <v>30</v>
      </c>
      <c r="C2291" s="3">
        <v>38559</v>
      </c>
      <c r="D2291" s="3">
        <v>38691</v>
      </c>
      <c r="E2291" t="s">
        <v>18</v>
      </c>
      <c r="F2291">
        <v>1</v>
      </c>
      <c r="G2291">
        <v>43499</v>
      </c>
      <c r="H2291">
        <v>43499</v>
      </c>
      <c r="I2291" s="4">
        <v>38686</v>
      </c>
      <c r="J2291" s="5">
        <f t="shared" si="70"/>
        <v>-5</v>
      </c>
      <c r="K2291" s="6" t="str">
        <f t="shared" si="71"/>
        <v>A~0</v>
      </c>
      <c r="L2291" t="str">
        <f>IF(J2291&lt;0,"A~0",VLOOKUP(J2291,[1]作法V!$B$1:$C$9,2,TRUE))</f>
        <v>A~0</v>
      </c>
    </row>
    <row r="2292" spans="1:12">
      <c r="A2292">
        <v>1300</v>
      </c>
      <c r="B2292" t="s">
        <v>30</v>
      </c>
      <c r="C2292" s="3">
        <v>38559</v>
      </c>
      <c r="D2292" s="3">
        <v>38691</v>
      </c>
      <c r="E2292" t="s">
        <v>18</v>
      </c>
      <c r="F2292">
        <v>1</v>
      </c>
      <c r="G2292">
        <v>27002</v>
      </c>
      <c r="H2292">
        <v>27002</v>
      </c>
      <c r="I2292" s="4">
        <v>38686</v>
      </c>
      <c r="J2292" s="5">
        <f t="shared" si="70"/>
        <v>-5</v>
      </c>
      <c r="K2292" s="6" t="str">
        <f t="shared" si="71"/>
        <v>A~0</v>
      </c>
      <c r="L2292" t="str">
        <f>IF(J2292&lt;0,"A~0",VLOOKUP(J2292,[1]作法V!$B$1:$C$9,2,TRUE))</f>
        <v>A~0</v>
      </c>
    </row>
    <row r="2293" spans="1:12">
      <c r="A2293">
        <v>1300</v>
      </c>
      <c r="B2293" t="s">
        <v>30</v>
      </c>
      <c r="C2293" s="3">
        <v>38562</v>
      </c>
      <c r="D2293" s="3">
        <v>38691</v>
      </c>
      <c r="E2293" t="s">
        <v>17</v>
      </c>
      <c r="F2293">
        <v>31.89</v>
      </c>
      <c r="G2293">
        <v>684.75</v>
      </c>
      <c r="H2293">
        <v>21837</v>
      </c>
      <c r="I2293" s="4">
        <v>38686</v>
      </c>
      <c r="J2293" s="5">
        <f t="shared" si="70"/>
        <v>-5</v>
      </c>
      <c r="K2293" s="6" t="str">
        <f t="shared" si="71"/>
        <v>A~0</v>
      </c>
      <c r="L2293" t="str">
        <f>IF(J2293&lt;0,"A~0",VLOOKUP(J2293,[1]作法V!$B$1:$C$9,2,TRUE))</f>
        <v>A~0</v>
      </c>
    </row>
    <row r="2294" spans="1:12">
      <c r="A2294">
        <v>1300</v>
      </c>
      <c r="B2294" t="s">
        <v>30</v>
      </c>
      <c r="C2294" s="3">
        <v>38562</v>
      </c>
      <c r="D2294" s="3">
        <v>38691</v>
      </c>
      <c r="E2294" t="s">
        <v>17</v>
      </c>
      <c r="F2294">
        <v>31.89</v>
      </c>
      <c r="G2294">
        <v>4897</v>
      </c>
      <c r="H2294">
        <v>156165</v>
      </c>
      <c r="I2294" s="4">
        <v>38686</v>
      </c>
      <c r="J2294" s="5">
        <f t="shared" si="70"/>
        <v>-5</v>
      </c>
      <c r="K2294" s="6" t="str">
        <f t="shared" si="71"/>
        <v>A~0</v>
      </c>
      <c r="L2294" t="str">
        <f>IF(J2294&lt;0,"A~0",VLOOKUP(J2294,[1]作法V!$B$1:$C$9,2,TRUE))</f>
        <v>A~0</v>
      </c>
    </row>
    <row r="2295" spans="1:12">
      <c r="A2295">
        <v>1300</v>
      </c>
      <c r="B2295" t="s">
        <v>30</v>
      </c>
      <c r="C2295" s="3">
        <v>38562</v>
      </c>
      <c r="D2295" s="3">
        <v>38691</v>
      </c>
      <c r="E2295" t="s">
        <v>17</v>
      </c>
      <c r="F2295">
        <v>31.89</v>
      </c>
      <c r="G2295">
        <v>16212</v>
      </c>
      <c r="H2295">
        <v>517001</v>
      </c>
      <c r="I2295" s="4">
        <v>38686</v>
      </c>
      <c r="J2295" s="5">
        <f t="shared" si="70"/>
        <v>-5</v>
      </c>
      <c r="K2295" s="6" t="str">
        <f t="shared" si="71"/>
        <v>A~0</v>
      </c>
      <c r="L2295" t="str">
        <f>IF(J2295&lt;0,"A~0",VLOOKUP(J2295,[1]作法V!$B$1:$C$9,2,TRUE))</f>
        <v>A~0</v>
      </c>
    </row>
    <row r="2296" spans="1:12">
      <c r="A2296">
        <v>1300</v>
      </c>
      <c r="B2296" t="s">
        <v>30</v>
      </c>
      <c r="C2296" s="3">
        <v>38575</v>
      </c>
      <c r="D2296" s="3">
        <v>38691</v>
      </c>
      <c r="E2296" t="s">
        <v>18</v>
      </c>
      <c r="F2296">
        <v>1</v>
      </c>
      <c r="G2296">
        <v>12500</v>
      </c>
      <c r="H2296">
        <v>12500</v>
      </c>
      <c r="I2296" s="4">
        <v>38686</v>
      </c>
      <c r="J2296" s="5">
        <f t="shared" si="70"/>
        <v>-5</v>
      </c>
      <c r="K2296" s="6" t="str">
        <f t="shared" si="71"/>
        <v>A~0</v>
      </c>
      <c r="L2296" t="str">
        <f>IF(J2296&lt;0,"A~0",VLOOKUP(J2296,[1]作法V!$B$1:$C$9,2,TRUE))</f>
        <v>A~0</v>
      </c>
    </row>
    <row r="2297" spans="1:12">
      <c r="A2297">
        <v>1300</v>
      </c>
      <c r="B2297" t="s">
        <v>30</v>
      </c>
      <c r="C2297" s="3">
        <v>38575</v>
      </c>
      <c r="D2297" s="3">
        <v>38691</v>
      </c>
      <c r="E2297" t="s">
        <v>18</v>
      </c>
      <c r="F2297">
        <v>1</v>
      </c>
      <c r="G2297">
        <v>12500</v>
      </c>
      <c r="H2297">
        <v>12500</v>
      </c>
      <c r="I2297" s="4">
        <v>38686</v>
      </c>
      <c r="J2297" s="5">
        <f t="shared" si="70"/>
        <v>-5</v>
      </c>
      <c r="K2297" s="6" t="str">
        <f t="shared" si="71"/>
        <v>A~0</v>
      </c>
      <c r="L2297" t="str">
        <f>IF(J2297&lt;0,"A~0",VLOOKUP(J2297,[1]作法V!$B$1:$C$9,2,TRUE))</f>
        <v>A~0</v>
      </c>
    </row>
    <row r="2298" spans="1:12">
      <c r="A2298">
        <v>1300</v>
      </c>
      <c r="B2298" t="s">
        <v>30</v>
      </c>
      <c r="C2298" s="3">
        <v>38579</v>
      </c>
      <c r="D2298" s="3">
        <v>38691</v>
      </c>
      <c r="E2298" t="s">
        <v>18</v>
      </c>
      <c r="F2298">
        <v>1</v>
      </c>
      <c r="G2298">
        <v>4200</v>
      </c>
      <c r="H2298">
        <v>4200</v>
      </c>
      <c r="I2298" s="4">
        <v>38686</v>
      </c>
      <c r="J2298" s="5">
        <f t="shared" si="70"/>
        <v>-5</v>
      </c>
      <c r="K2298" s="6" t="str">
        <f t="shared" si="71"/>
        <v>A~0</v>
      </c>
      <c r="L2298" t="str">
        <f>IF(J2298&lt;0,"A~0",VLOOKUP(J2298,[1]作法V!$B$1:$C$9,2,TRUE))</f>
        <v>A~0</v>
      </c>
    </row>
    <row r="2299" spans="1:12">
      <c r="A2299">
        <v>1300</v>
      </c>
      <c r="B2299" t="s">
        <v>30</v>
      </c>
      <c r="C2299" s="3">
        <v>38580</v>
      </c>
      <c r="D2299" s="3">
        <v>38691</v>
      </c>
      <c r="E2299" t="s">
        <v>18</v>
      </c>
      <c r="F2299">
        <v>1</v>
      </c>
      <c r="G2299">
        <v>30550</v>
      </c>
      <c r="H2299">
        <v>30550</v>
      </c>
      <c r="I2299" s="4">
        <v>38686</v>
      </c>
      <c r="J2299" s="5">
        <f t="shared" si="70"/>
        <v>-5</v>
      </c>
      <c r="K2299" s="6" t="str">
        <f t="shared" si="71"/>
        <v>A~0</v>
      </c>
      <c r="L2299" t="str">
        <f>IF(J2299&lt;0,"A~0",VLOOKUP(J2299,[1]作法V!$B$1:$C$9,2,TRUE))</f>
        <v>A~0</v>
      </c>
    </row>
    <row r="2300" spans="1:12">
      <c r="A2300">
        <v>1300</v>
      </c>
      <c r="B2300" t="s">
        <v>30</v>
      </c>
      <c r="C2300" s="3">
        <v>38581</v>
      </c>
      <c r="D2300" s="3">
        <v>38691</v>
      </c>
      <c r="E2300" t="s">
        <v>17</v>
      </c>
      <c r="F2300">
        <v>31.875</v>
      </c>
      <c r="G2300">
        <v>13915.3</v>
      </c>
      <c r="H2300">
        <v>443550</v>
      </c>
      <c r="I2300" s="4">
        <v>38686</v>
      </c>
      <c r="J2300" s="5">
        <f t="shared" si="70"/>
        <v>-5</v>
      </c>
      <c r="K2300" s="6" t="str">
        <f t="shared" si="71"/>
        <v>A~0</v>
      </c>
      <c r="L2300" t="str">
        <f>IF(J2300&lt;0,"A~0",VLOOKUP(J2300,[1]作法V!$B$1:$C$9,2,TRUE))</f>
        <v>A~0</v>
      </c>
    </row>
    <row r="2301" spans="1:12">
      <c r="A2301">
        <v>1300</v>
      </c>
      <c r="B2301" t="s">
        <v>30</v>
      </c>
      <c r="C2301" s="3">
        <v>38581</v>
      </c>
      <c r="D2301" s="3">
        <v>38691</v>
      </c>
      <c r="E2301" t="s">
        <v>17</v>
      </c>
      <c r="F2301">
        <v>31.875</v>
      </c>
      <c r="G2301">
        <v>2337.23</v>
      </c>
      <c r="H2301">
        <v>74499</v>
      </c>
      <c r="I2301" s="4">
        <v>38686</v>
      </c>
      <c r="J2301" s="5">
        <f t="shared" si="70"/>
        <v>-5</v>
      </c>
      <c r="K2301" s="6" t="str">
        <f t="shared" si="71"/>
        <v>A~0</v>
      </c>
      <c r="L2301" t="str">
        <f>IF(J2301&lt;0,"A~0",VLOOKUP(J2301,[1]作法V!$B$1:$C$9,2,TRUE))</f>
        <v>A~0</v>
      </c>
    </row>
    <row r="2302" spans="1:12">
      <c r="A2302">
        <v>1300</v>
      </c>
      <c r="B2302" t="s">
        <v>30</v>
      </c>
      <c r="C2302" s="3">
        <v>38581</v>
      </c>
      <c r="D2302" s="3">
        <v>38691</v>
      </c>
      <c r="E2302" t="s">
        <v>17</v>
      </c>
      <c r="F2302">
        <v>31.875</v>
      </c>
      <c r="G2302">
        <v>2900</v>
      </c>
      <c r="H2302">
        <v>92438</v>
      </c>
      <c r="I2302" s="4">
        <v>38686</v>
      </c>
      <c r="J2302" s="5">
        <f t="shared" si="70"/>
        <v>-5</v>
      </c>
      <c r="K2302" s="6" t="str">
        <f t="shared" si="71"/>
        <v>A~0</v>
      </c>
      <c r="L2302" t="str">
        <f>IF(J2302&lt;0,"A~0",VLOOKUP(J2302,[1]作法V!$B$1:$C$9,2,TRUE))</f>
        <v>A~0</v>
      </c>
    </row>
    <row r="2303" spans="1:12">
      <c r="A2303">
        <v>1300</v>
      </c>
      <c r="B2303" t="s">
        <v>30</v>
      </c>
      <c r="C2303" s="3">
        <v>38583</v>
      </c>
      <c r="D2303" s="3">
        <v>38691</v>
      </c>
      <c r="E2303" t="s">
        <v>18</v>
      </c>
      <c r="F2303">
        <v>1</v>
      </c>
      <c r="G2303">
        <v>25000</v>
      </c>
      <c r="H2303">
        <v>25000</v>
      </c>
      <c r="I2303" s="4">
        <v>38686</v>
      </c>
      <c r="J2303" s="5">
        <f t="shared" si="70"/>
        <v>-5</v>
      </c>
      <c r="K2303" s="6" t="str">
        <f t="shared" si="71"/>
        <v>A~0</v>
      </c>
      <c r="L2303" t="str">
        <f>IF(J2303&lt;0,"A~0",VLOOKUP(J2303,[1]作法V!$B$1:$C$9,2,TRUE))</f>
        <v>A~0</v>
      </c>
    </row>
    <row r="2304" spans="1:12">
      <c r="A2304">
        <v>1300</v>
      </c>
      <c r="B2304" t="s">
        <v>30</v>
      </c>
      <c r="C2304" s="3">
        <v>38588</v>
      </c>
      <c r="D2304" s="3">
        <v>38691</v>
      </c>
      <c r="E2304" t="s">
        <v>18</v>
      </c>
      <c r="F2304">
        <v>1</v>
      </c>
      <c r="G2304">
        <v>9600</v>
      </c>
      <c r="H2304">
        <v>9600</v>
      </c>
      <c r="I2304" s="4">
        <v>38686</v>
      </c>
      <c r="J2304" s="5">
        <f t="shared" si="70"/>
        <v>-5</v>
      </c>
      <c r="K2304" s="6" t="str">
        <f t="shared" si="71"/>
        <v>A~0</v>
      </c>
      <c r="L2304" t="str">
        <f>IF(J2304&lt;0,"A~0",VLOOKUP(J2304,[1]作法V!$B$1:$C$9,2,TRUE))</f>
        <v>A~0</v>
      </c>
    </row>
    <row r="2305" spans="1:12">
      <c r="A2305">
        <v>1300</v>
      </c>
      <c r="B2305" t="s">
        <v>30</v>
      </c>
      <c r="C2305" s="3">
        <v>38588</v>
      </c>
      <c r="D2305" s="3">
        <v>38691</v>
      </c>
      <c r="E2305" t="s">
        <v>17</v>
      </c>
      <c r="F2305">
        <v>31.905000000000001</v>
      </c>
      <c r="G2305">
        <v>2434.5</v>
      </c>
      <c r="H2305">
        <v>77673</v>
      </c>
      <c r="I2305" s="4">
        <v>38686</v>
      </c>
      <c r="J2305" s="5">
        <f t="shared" si="70"/>
        <v>-5</v>
      </c>
      <c r="K2305" s="6" t="str">
        <f t="shared" si="71"/>
        <v>A~0</v>
      </c>
      <c r="L2305" t="str">
        <f>IF(J2305&lt;0,"A~0",VLOOKUP(J2305,[1]作法V!$B$1:$C$9,2,TRUE))</f>
        <v>A~0</v>
      </c>
    </row>
    <row r="2306" spans="1:12">
      <c r="A2306">
        <v>1300</v>
      </c>
      <c r="B2306" t="s">
        <v>30</v>
      </c>
      <c r="C2306" s="3">
        <v>38588</v>
      </c>
      <c r="D2306" s="3">
        <v>38691</v>
      </c>
      <c r="E2306" t="s">
        <v>17</v>
      </c>
      <c r="F2306">
        <v>31.905000000000001</v>
      </c>
      <c r="G2306">
        <v>5986.29</v>
      </c>
      <c r="H2306">
        <v>190993</v>
      </c>
      <c r="I2306" s="4">
        <v>38686</v>
      </c>
      <c r="J2306" s="5">
        <f t="shared" ref="J2306:J2369" si="72">I2306-D2306</f>
        <v>-5</v>
      </c>
      <c r="K2306" s="6" t="str">
        <f t="shared" ref="K2306:K2369" si="73">IF(J2306&lt;1,"A~0",IF(J2306&lt;31,"B1~30",IF(J2306&lt;61,"C31~60",IF(J2306&lt;91,"D61~90",IF(J2306&lt;121,"E91~120",IF(J2306&lt;181,"F121~180",IF(J2306&lt;361,"G181~360","H361~")))))))</f>
        <v>A~0</v>
      </c>
      <c r="L2306" t="str">
        <f>IF(J2306&lt;0,"A~0",VLOOKUP(J2306,[1]作法V!$B$1:$C$9,2,TRUE))</f>
        <v>A~0</v>
      </c>
    </row>
    <row r="2307" spans="1:12">
      <c r="A2307">
        <v>1300</v>
      </c>
      <c r="B2307" t="s">
        <v>30</v>
      </c>
      <c r="C2307" s="3">
        <v>38588</v>
      </c>
      <c r="D2307" s="3">
        <v>38691</v>
      </c>
      <c r="E2307" t="s">
        <v>17</v>
      </c>
      <c r="F2307">
        <v>31.905000000000001</v>
      </c>
      <c r="G2307">
        <v>8273.52</v>
      </c>
      <c r="H2307">
        <v>263967</v>
      </c>
      <c r="I2307" s="4">
        <v>38686</v>
      </c>
      <c r="J2307" s="5">
        <f t="shared" si="72"/>
        <v>-5</v>
      </c>
      <c r="K2307" s="6" t="str">
        <f t="shared" si="73"/>
        <v>A~0</v>
      </c>
      <c r="L2307" t="str">
        <f>IF(J2307&lt;0,"A~0",VLOOKUP(J2307,[1]作法V!$B$1:$C$9,2,TRUE))</f>
        <v>A~0</v>
      </c>
    </row>
    <row r="2308" spans="1:12">
      <c r="A2308">
        <v>1300</v>
      </c>
      <c r="B2308" t="s">
        <v>30</v>
      </c>
      <c r="C2308" s="3">
        <v>38588</v>
      </c>
      <c r="D2308" s="3">
        <v>38691</v>
      </c>
      <c r="E2308" t="s">
        <v>17</v>
      </c>
      <c r="F2308">
        <v>31.905000000000001</v>
      </c>
      <c r="G2308">
        <v>746.03</v>
      </c>
      <c r="H2308">
        <v>23802</v>
      </c>
      <c r="I2308" s="4">
        <v>38686</v>
      </c>
      <c r="J2308" s="5">
        <f t="shared" si="72"/>
        <v>-5</v>
      </c>
      <c r="K2308" s="6" t="str">
        <f t="shared" si="73"/>
        <v>A~0</v>
      </c>
      <c r="L2308" t="str">
        <f>IF(J2308&lt;0,"A~0",VLOOKUP(J2308,[1]作法V!$B$1:$C$9,2,TRUE))</f>
        <v>A~0</v>
      </c>
    </row>
    <row r="2309" spans="1:12">
      <c r="A2309">
        <v>1300</v>
      </c>
      <c r="B2309" t="s">
        <v>30</v>
      </c>
      <c r="C2309" s="3">
        <v>38588</v>
      </c>
      <c r="D2309" s="3">
        <v>38691</v>
      </c>
      <c r="E2309" t="s">
        <v>17</v>
      </c>
      <c r="F2309">
        <v>31.905000000000001</v>
      </c>
      <c r="G2309">
        <v>746.03</v>
      </c>
      <c r="H2309">
        <v>23802</v>
      </c>
      <c r="I2309" s="4">
        <v>38686</v>
      </c>
      <c r="J2309" s="5">
        <f t="shared" si="72"/>
        <v>-5</v>
      </c>
      <c r="K2309" s="6" t="str">
        <f t="shared" si="73"/>
        <v>A~0</v>
      </c>
      <c r="L2309" t="str">
        <f>IF(J2309&lt;0,"A~0",VLOOKUP(J2309,[1]作法V!$B$1:$C$9,2,TRUE))</f>
        <v>A~0</v>
      </c>
    </row>
    <row r="2310" spans="1:12">
      <c r="A2310">
        <v>1300</v>
      </c>
      <c r="B2310" t="s">
        <v>30</v>
      </c>
      <c r="C2310" s="3">
        <v>38588</v>
      </c>
      <c r="D2310" s="3">
        <v>38691</v>
      </c>
      <c r="E2310" t="s">
        <v>17</v>
      </c>
      <c r="F2310">
        <v>31.905000000000001</v>
      </c>
      <c r="G2310">
        <v>1492.06</v>
      </c>
      <c r="H2310">
        <v>47604</v>
      </c>
      <c r="I2310" s="4">
        <v>38686</v>
      </c>
      <c r="J2310" s="5">
        <f t="shared" si="72"/>
        <v>-5</v>
      </c>
      <c r="K2310" s="6" t="str">
        <f t="shared" si="73"/>
        <v>A~0</v>
      </c>
      <c r="L2310" t="str">
        <f>IF(J2310&lt;0,"A~0",VLOOKUP(J2310,[1]作法V!$B$1:$C$9,2,TRUE))</f>
        <v>A~0</v>
      </c>
    </row>
    <row r="2311" spans="1:12">
      <c r="A2311">
        <v>1300</v>
      </c>
      <c r="B2311" t="s">
        <v>30</v>
      </c>
      <c r="C2311" s="3">
        <v>38588</v>
      </c>
      <c r="D2311" s="3">
        <v>38691</v>
      </c>
      <c r="E2311" t="s">
        <v>17</v>
      </c>
      <c r="F2311">
        <v>31.905000000000001</v>
      </c>
      <c r="G2311">
        <v>522.22</v>
      </c>
      <c r="H2311">
        <v>16661</v>
      </c>
      <c r="I2311" s="4">
        <v>38686</v>
      </c>
      <c r="J2311" s="5">
        <f t="shared" si="72"/>
        <v>-5</v>
      </c>
      <c r="K2311" s="6" t="str">
        <f t="shared" si="73"/>
        <v>A~0</v>
      </c>
      <c r="L2311" t="str">
        <f>IF(J2311&lt;0,"A~0",VLOOKUP(J2311,[1]作法V!$B$1:$C$9,2,TRUE))</f>
        <v>A~0</v>
      </c>
    </row>
    <row r="2312" spans="1:12">
      <c r="A2312">
        <v>1300</v>
      </c>
      <c r="B2312" t="s">
        <v>30</v>
      </c>
      <c r="C2312" s="3">
        <v>38590</v>
      </c>
      <c r="D2312" s="3">
        <v>38722</v>
      </c>
      <c r="E2312" t="s">
        <v>18</v>
      </c>
      <c r="F2312">
        <v>1</v>
      </c>
      <c r="G2312">
        <v>12500</v>
      </c>
      <c r="H2312">
        <v>12500</v>
      </c>
      <c r="I2312" s="4">
        <v>38686</v>
      </c>
      <c r="J2312" s="5">
        <f t="shared" si="72"/>
        <v>-36</v>
      </c>
      <c r="K2312" s="6" t="str">
        <f t="shared" si="73"/>
        <v>A~0</v>
      </c>
      <c r="L2312" t="str">
        <f>IF(J2312&lt;0,"A~0",VLOOKUP(J2312,[1]作法V!$B$1:$C$9,2,TRUE))</f>
        <v>A~0</v>
      </c>
    </row>
    <row r="2313" spans="1:12">
      <c r="A2313">
        <v>1300</v>
      </c>
      <c r="B2313" t="s">
        <v>30</v>
      </c>
      <c r="C2313" s="3">
        <v>38590</v>
      </c>
      <c r="D2313" s="3">
        <v>38722</v>
      </c>
      <c r="E2313" t="s">
        <v>18</v>
      </c>
      <c r="F2313">
        <v>1</v>
      </c>
      <c r="G2313">
        <v>12949</v>
      </c>
      <c r="H2313">
        <v>12949</v>
      </c>
      <c r="I2313" s="4">
        <v>38686</v>
      </c>
      <c r="J2313" s="5">
        <f t="shared" si="72"/>
        <v>-36</v>
      </c>
      <c r="K2313" s="6" t="str">
        <f t="shared" si="73"/>
        <v>A~0</v>
      </c>
      <c r="L2313" t="str">
        <f>IF(J2313&lt;0,"A~0",VLOOKUP(J2313,[1]作法V!$B$1:$C$9,2,TRUE))</f>
        <v>A~0</v>
      </c>
    </row>
    <row r="2314" spans="1:12">
      <c r="A2314">
        <v>1300</v>
      </c>
      <c r="B2314" t="s">
        <v>30</v>
      </c>
      <c r="C2314" s="3">
        <v>38590</v>
      </c>
      <c r="D2314" s="3">
        <v>38722</v>
      </c>
      <c r="E2314" t="s">
        <v>17</v>
      </c>
      <c r="F2314">
        <v>31.905000000000001</v>
      </c>
      <c r="G2314">
        <v>969.84</v>
      </c>
      <c r="H2314">
        <v>30943</v>
      </c>
      <c r="I2314" s="4">
        <v>38686</v>
      </c>
      <c r="J2314" s="5">
        <f t="shared" si="72"/>
        <v>-36</v>
      </c>
      <c r="K2314" s="6" t="str">
        <f t="shared" si="73"/>
        <v>A~0</v>
      </c>
      <c r="L2314" t="str">
        <f>IF(J2314&lt;0,"A~0",VLOOKUP(J2314,[1]作法V!$B$1:$C$9,2,TRUE))</f>
        <v>A~0</v>
      </c>
    </row>
    <row r="2315" spans="1:12">
      <c r="A2315">
        <v>1300</v>
      </c>
      <c r="B2315" t="s">
        <v>30</v>
      </c>
      <c r="C2315" s="3">
        <v>38590</v>
      </c>
      <c r="D2315" s="3">
        <v>38722</v>
      </c>
      <c r="E2315" t="s">
        <v>17</v>
      </c>
      <c r="F2315">
        <v>31.905000000000001</v>
      </c>
      <c r="G2315">
        <v>484.17</v>
      </c>
      <c r="H2315">
        <v>15447</v>
      </c>
      <c r="I2315" s="4">
        <v>38686</v>
      </c>
      <c r="J2315" s="5">
        <f t="shared" si="72"/>
        <v>-36</v>
      </c>
      <c r="K2315" s="6" t="str">
        <f t="shared" si="73"/>
        <v>A~0</v>
      </c>
      <c r="L2315" t="str">
        <f>IF(J2315&lt;0,"A~0",VLOOKUP(J2315,[1]作法V!$B$1:$C$9,2,TRUE))</f>
        <v>A~0</v>
      </c>
    </row>
    <row r="2316" spans="1:12">
      <c r="A2316">
        <v>1300</v>
      </c>
      <c r="B2316" t="s">
        <v>30</v>
      </c>
      <c r="C2316" s="3">
        <v>38593</v>
      </c>
      <c r="D2316" s="3">
        <v>38722</v>
      </c>
      <c r="E2316" t="s">
        <v>17</v>
      </c>
      <c r="F2316">
        <v>31.905000000000001</v>
      </c>
      <c r="G2316">
        <v>528</v>
      </c>
      <c r="H2316">
        <v>16846</v>
      </c>
      <c r="I2316" s="4">
        <v>38686</v>
      </c>
      <c r="J2316" s="5">
        <f t="shared" si="72"/>
        <v>-36</v>
      </c>
      <c r="K2316" s="6" t="str">
        <f t="shared" si="73"/>
        <v>A~0</v>
      </c>
      <c r="L2316" t="str">
        <f>IF(J2316&lt;0,"A~0",VLOOKUP(J2316,[1]作法V!$B$1:$C$9,2,TRUE))</f>
        <v>A~0</v>
      </c>
    </row>
    <row r="2317" spans="1:12">
      <c r="A2317">
        <v>1300</v>
      </c>
      <c r="B2317" t="s">
        <v>30</v>
      </c>
      <c r="C2317" s="3">
        <v>38593</v>
      </c>
      <c r="D2317" s="3">
        <v>38722</v>
      </c>
      <c r="E2317" t="s">
        <v>17</v>
      </c>
      <c r="F2317">
        <v>31.905000000000001</v>
      </c>
      <c r="G2317">
        <v>1250</v>
      </c>
      <c r="H2317">
        <v>39881</v>
      </c>
      <c r="I2317" s="4">
        <v>38686</v>
      </c>
      <c r="J2317" s="5">
        <f t="shared" si="72"/>
        <v>-36</v>
      </c>
      <c r="K2317" s="6" t="str">
        <f t="shared" si="73"/>
        <v>A~0</v>
      </c>
      <c r="L2317" t="str">
        <f>IF(J2317&lt;0,"A~0",VLOOKUP(J2317,[1]作法V!$B$1:$C$9,2,TRUE))</f>
        <v>A~0</v>
      </c>
    </row>
    <row r="2318" spans="1:12">
      <c r="A2318">
        <v>1300</v>
      </c>
      <c r="B2318" t="s">
        <v>30</v>
      </c>
      <c r="C2318" s="3">
        <v>38593</v>
      </c>
      <c r="D2318" s="3">
        <v>38722</v>
      </c>
      <c r="E2318" t="s">
        <v>17</v>
      </c>
      <c r="F2318">
        <v>31.905000000000001</v>
      </c>
      <c r="G2318">
        <v>1408</v>
      </c>
      <c r="H2318">
        <v>44922</v>
      </c>
      <c r="I2318" s="4">
        <v>38686</v>
      </c>
      <c r="J2318" s="5">
        <f t="shared" si="72"/>
        <v>-36</v>
      </c>
      <c r="K2318" s="6" t="str">
        <f t="shared" si="73"/>
        <v>A~0</v>
      </c>
      <c r="L2318" t="str">
        <f>IF(J2318&lt;0,"A~0",VLOOKUP(J2318,[1]作法V!$B$1:$C$9,2,TRUE))</f>
        <v>A~0</v>
      </c>
    </row>
    <row r="2319" spans="1:12">
      <c r="A2319">
        <v>1300</v>
      </c>
      <c r="B2319" t="s">
        <v>30</v>
      </c>
      <c r="C2319" s="3">
        <v>38595</v>
      </c>
      <c r="D2319" s="3">
        <v>38722</v>
      </c>
      <c r="E2319" t="s">
        <v>17</v>
      </c>
      <c r="F2319">
        <v>31.905000000000001</v>
      </c>
      <c r="G2319">
        <v>261.86</v>
      </c>
      <c r="H2319">
        <v>8355</v>
      </c>
      <c r="I2319" s="4">
        <v>38686</v>
      </c>
      <c r="J2319" s="5">
        <f t="shared" si="72"/>
        <v>-36</v>
      </c>
      <c r="K2319" s="6" t="str">
        <f t="shared" si="73"/>
        <v>A~0</v>
      </c>
      <c r="L2319" t="str">
        <f>IF(J2319&lt;0,"A~0",VLOOKUP(J2319,[1]作法V!$B$1:$C$9,2,TRUE))</f>
        <v>A~0</v>
      </c>
    </row>
    <row r="2320" spans="1:12">
      <c r="A2320">
        <v>1300</v>
      </c>
      <c r="B2320" t="s">
        <v>30</v>
      </c>
      <c r="C2320" s="3">
        <v>38597</v>
      </c>
      <c r="D2320" s="3">
        <v>38722</v>
      </c>
      <c r="E2320" t="s">
        <v>17</v>
      </c>
      <c r="F2320">
        <v>32.195</v>
      </c>
      <c r="G2320">
        <v>396.83</v>
      </c>
      <c r="H2320">
        <v>12776</v>
      </c>
      <c r="I2320" s="4">
        <v>38686</v>
      </c>
      <c r="J2320" s="5">
        <f t="shared" si="72"/>
        <v>-36</v>
      </c>
      <c r="K2320" s="6" t="str">
        <f t="shared" si="73"/>
        <v>A~0</v>
      </c>
      <c r="L2320" t="str">
        <f>IF(J2320&lt;0,"A~0",VLOOKUP(J2320,[1]作法V!$B$1:$C$9,2,TRUE))</f>
        <v>A~0</v>
      </c>
    </row>
    <row r="2321" spans="1:12">
      <c r="A2321">
        <v>1300</v>
      </c>
      <c r="B2321" t="s">
        <v>30</v>
      </c>
      <c r="C2321" s="3">
        <v>38597</v>
      </c>
      <c r="D2321" s="3">
        <v>38722</v>
      </c>
      <c r="E2321" t="s">
        <v>17</v>
      </c>
      <c r="F2321">
        <v>32.195</v>
      </c>
      <c r="G2321">
        <v>198.42</v>
      </c>
      <c r="H2321">
        <v>6388</v>
      </c>
      <c r="I2321" s="4">
        <v>38686</v>
      </c>
      <c r="J2321" s="5">
        <f t="shared" si="72"/>
        <v>-36</v>
      </c>
      <c r="K2321" s="6" t="str">
        <f t="shared" si="73"/>
        <v>A~0</v>
      </c>
      <c r="L2321" t="str">
        <f>IF(J2321&lt;0,"A~0",VLOOKUP(J2321,[1]作法V!$B$1:$C$9,2,TRUE))</f>
        <v>A~0</v>
      </c>
    </row>
    <row r="2322" spans="1:12">
      <c r="A2322">
        <v>1300</v>
      </c>
      <c r="B2322" t="s">
        <v>30</v>
      </c>
      <c r="C2322" s="3">
        <v>38597</v>
      </c>
      <c r="D2322" s="3">
        <v>38722</v>
      </c>
      <c r="E2322" t="s">
        <v>17</v>
      </c>
      <c r="F2322">
        <v>32.195</v>
      </c>
      <c r="G2322">
        <v>500</v>
      </c>
      <c r="H2322">
        <v>16098</v>
      </c>
      <c r="I2322" s="4">
        <v>38686</v>
      </c>
      <c r="J2322" s="5">
        <f t="shared" si="72"/>
        <v>-36</v>
      </c>
      <c r="K2322" s="6" t="str">
        <f t="shared" si="73"/>
        <v>A~0</v>
      </c>
      <c r="L2322" t="str">
        <f>IF(J2322&lt;0,"A~0",VLOOKUP(J2322,[1]作法V!$B$1:$C$9,2,TRUE))</f>
        <v>A~0</v>
      </c>
    </row>
    <row r="2323" spans="1:12">
      <c r="A2323">
        <v>1300</v>
      </c>
      <c r="B2323" t="s">
        <v>30</v>
      </c>
      <c r="C2323" s="3">
        <v>38597</v>
      </c>
      <c r="D2323" s="3">
        <v>38722</v>
      </c>
      <c r="E2323" t="s">
        <v>17</v>
      </c>
      <c r="F2323">
        <v>32.195</v>
      </c>
      <c r="G2323">
        <v>1000</v>
      </c>
      <c r="H2323">
        <v>32195</v>
      </c>
      <c r="I2323" s="4">
        <v>38686</v>
      </c>
      <c r="J2323" s="5">
        <f t="shared" si="72"/>
        <v>-36</v>
      </c>
      <c r="K2323" s="6" t="str">
        <f t="shared" si="73"/>
        <v>A~0</v>
      </c>
      <c r="L2323" t="str">
        <f>IF(J2323&lt;0,"A~0",VLOOKUP(J2323,[1]作法V!$B$1:$C$9,2,TRUE))</f>
        <v>A~0</v>
      </c>
    </row>
    <row r="2324" spans="1:12">
      <c r="A2324">
        <v>1300</v>
      </c>
      <c r="B2324" t="s">
        <v>30</v>
      </c>
      <c r="C2324" s="3">
        <v>38600</v>
      </c>
      <c r="D2324" s="3">
        <v>38722</v>
      </c>
      <c r="E2324" t="s">
        <v>17</v>
      </c>
      <c r="F2324">
        <v>32.195</v>
      </c>
      <c r="G2324">
        <v>5652.58</v>
      </c>
      <c r="H2324">
        <v>181985</v>
      </c>
      <c r="I2324" s="4">
        <v>38686</v>
      </c>
      <c r="J2324" s="5">
        <f t="shared" si="72"/>
        <v>-36</v>
      </c>
      <c r="K2324" s="6" t="str">
        <f t="shared" si="73"/>
        <v>A~0</v>
      </c>
      <c r="L2324" t="str">
        <f>IF(J2324&lt;0,"A~0",VLOOKUP(J2324,[1]作法V!$B$1:$C$9,2,TRUE))</f>
        <v>A~0</v>
      </c>
    </row>
    <row r="2325" spans="1:12">
      <c r="A2325">
        <v>1300</v>
      </c>
      <c r="B2325" t="s">
        <v>30</v>
      </c>
      <c r="C2325" s="3">
        <v>38600</v>
      </c>
      <c r="D2325" s="3">
        <v>38722</v>
      </c>
      <c r="E2325" t="s">
        <v>17</v>
      </c>
      <c r="F2325">
        <v>32.195</v>
      </c>
      <c r="G2325">
        <v>415</v>
      </c>
      <c r="H2325">
        <v>13361</v>
      </c>
      <c r="I2325" s="4">
        <v>38686</v>
      </c>
      <c r="J2325" s="5">
        <f t="shared" si="72"/>
        <v>-36</v>
      </c>
      <c r="K2325" s="6" t="str">
        <f t="shared" si="73"/>
        <v>A~0</v>
      </c>
      <c r="L2325" t="str">
        <f>IF(J2325&lt;0,"A~0",VLOOKUP(J2325,[1]作法V!$B$1:$C$9,2,TRUE))</f>
        <v>A~0</v>
      </c>
    </row>
    <row r="2326" spans="1:12">
      <c r="A2326">
        <v>1300</v>
      </c>
      <c r="B2326" t="s">
        <v>30</v>
      </c>
      <c r="C2326" s="3">
        <v>38602</v>
      </c>
      <c r="D2326" s="3">
        <v>38722</v>
      </c>
      <c r="E2326" t="s">
        <v>17</v>
      </c>
      <c r="F2326">
        <v>32.195</v>
      </c>
      <c r="G2326">
        <v>7600</v>
      </c>
      <c r="H2326">
        <v>244682</v>
      </c>
      <c r="I2326" s="4">
        <v>38686</v>
      </c>
      <c r="J2326" s="5">
        <f t="shared" si="72"/>
        <v>-36</v>
      </c>
      <c r="K2326" s="6" t="str">
        <f t="shared" si="73"/>
        <v>A~0</v>
      </c>
      <c r="L2326" t="str">
        <f>IF(J2326&lt;0,"A~0",VLOOKUP(J2326,[1]作法V!$B$1:$C$9,2,TRUE))</f>
        <v>A~0</v>
      </c>
    </row>
    <row r="2327" spans="1:12">
      <c r="A2327">
        <v>1300</v>
      </c>
      <c r="B2327" t="s">
        <v>30</v>
      </c>
      <c r="C2327" s="3">
        <v>38603</v>
      </c>
      <c r="D2327" s="3">
        <v>38722</v>
      </c>
      <c r="E2327" t="s">
        <v>17</v>
      </c>
      <c r="F2327">
        <v>32.195</v>
      </c>
      <c r="G2327">
        <v>793.66</v>
      </c>
      <c r="H2327">
        <v>25552</v>
      </c>
      <c r="I2327" s="4">
        <v>38686</v>
      </c>
      <c r="J2327" s="5">
        <f t="shared" si="72"/>
        <v>-36</v>
      </c>
      <c r="K2327" s="6" t="str">
        <f t="shared" si="73"/>
        <v>A~0</v>
      </c>
      <c r="L2327" t="str">
        <f>IF(J2327&lt;0,"A~0",VLOOKUP(J2327,[1]作法V!$B$1:$C$9,2,TRUE))</f>
        <v>A~0</v>
      </c>
    </row>
    <row r="2328" spans="1:12">
      <c r="A2328">
        <v>1300</v>
      </c>
      <c r="B2328" t="s">
        <v>30</v>
      </c>
      <c r="C2328" s="3">
        <v>38603</v>
      </c>
      <c r="D2328" s="3">
        <v>38722</v>
      </c>
      <c r="E2328" t="s">
        <v>17</v>
      </c>
      <c r="F2328">
        <v>32.195</v>
      </c>
      <c r="G2328">
        <v>793.66</v>
      </c>
      <c r="H2328">
        <v>25552</v>
      </c>
      <c r="I2328" s="4">
        <v>38686</v>
      </c>
      <c r="J2328" s="5">
        <f t="shared" si="72"/>
        <v>-36</v>
      </c>
      <c r="K2328" s="6" t="str">
        <f t="shared" si="73"/>
        <v>A~0</v>
      </c>
      <c r="L2328" t="str">
        <f>IF(J2328&lt;0,"A~0",VLOOKUP(J2328,[1]作法V!$B$1:$C$9,2,TRUE))</f>
        <v>A~0</v>
      </c>
    </row>
    <row r="2329" spans="1:12">
      <c r="A2329">
        <v>1300</v>
      </c>
      <c r="B2329" t="s">
        <v>30</v>
      </c>
      <c r="C2329" s="3">
        <v>38605</v>
      </c>
      <c r="D2329" s="3">
        <v>38722</v>
      </c>
      <c r="E2329" t="s">
        <v>17</v>
      </c>
      <c r="F2329">
        <v>32.195</v>
      </c>
      <c r="G2329">
        <v>2600</v>
      </c>
      <c r="H2329">
        <v>83707</v>
      </c>
      <c r="I2329" s="4">
        <v>38686</v>
      </c>
      <c r="J2329" s="5">
        <f t="shared" si="72"/>
        <v>-36</v>
      </c>
      <c r="K2329" s="6" t="str">
        <f t="shared" si="73"/>
        <v>A~0</v>
      </c>
      <c r="L2329" t="str">
        <f>IF(J2329&lt;0,"A~0",VLOOKUP(J2329,[1]作法V!$B$1:$C$9,2,TRUE))</f>
        <v>A~0</v>
      </c>
    </row>
    <row r="2330" spans="1:12">
      <c r="A2330">
        <v>1300</v>
      </c>
      <c r="B2330" t="s">
        <v>30</v>
      </c>
      <c r="C2330" s="3">
        <v>38607</v>
      </c>
      <c r="D2330" s="3">
        <v>38722</v>
      </c>
      <c r="E2330" t="s">
        <v>17</v>
      </c>
      <c r="F2330">
        <v>32.365000000000002</v>
      </c>
      <c r="G2330">
        <v>907.2</v>
      </c>
      <c r="H2330">
        <v>29362</v>
      </c>
      <c r="I2330" s="4">
        <v>38686</v>
      </c>
      <c r="J2330" s="5">
        <f t="shared" si="72"/>
        <v>-36</v>
      </c>
      <c r="K2330" s="6" t="str">
        <f t="shared" si="73"/>
        <v>A~0</v>
      </c>
      <c r="L2330" t="str">
        <f>IF(J2330&lt;0,"A~0",VLOOKUP(J2330,[1]作法V!$B$1:$C$9,2,TRUE))</f>
        <v>A~0</v>
      </c>
    </row>
    <row r="2331" spans="1:12">
      <c r="A2331">
        <v>1300</v>
      </c>
      <c r="B2331" t="s">
        <v>30</v>
      </c>
      <c r="C2331" s="3">
        <v>38608</v>
      </c>
      <c r="D2331" s="3">
        <v>38722</v>
      </c>
      <c r="E2331" t="s">
        <v>17</v>
      </c>
      <c r="F2331">
        <v>32.365000000000002</v>
      </c>
      <c r="G2331">
        <v>13.86</v>
      </c>
      <c r="H2331">
        <v>449</v>
      </c>
      <c r="I2331" s="4">
        <v>38686</v>
      </c>
      <c r="J2331" s="5">
        <f t="shared" si="72"/>
        <v>-36</v>
      </c>
      <c r="K2331" s="6" t="str">
        <f t="shared" si="73"/>
        <v>A~0</v>
      </c>
      <c r="L2331" t="str">
        <f>IF(J2331&lt;0,"A~0",VLOOKUP(J2331,[1]作法V!$B$1:$C$9,2,TRUE))</f>
        <v>A~0</v>
      </c>
    </row>
    <row r="2332" spans="1:12">
      <c r="A2332">
        <v>1300</v>
      </c>
      <c r="B2332" t="s">
        <v>30</v>
      </c>
      <c r="C2332" s="3">
        <v>38608</v>
      </c>
      <c r="D2332" s="3">
        <v>38722</v>
      </c>
      <c r="E2332" t="s">
        <v>17</v>
      </c>
      <c r="F2332">
        <v>32.365000000000002</v>
      </c>
      <c r="G2332">
        <v>750</v>
      </c>
      <c r="H2332">
        <v>24274</v>
      </c>
      <c r="I2332" s="4">
        <v>38686</v>
      </c>
      <c r="J2332" s="5">
        <f t="shared" si="72"/>
        <v>-36</v>
      </c>
      <c r="K2332" s="6" t="str">
        <f t="shared" si="73"/>
        <v>A~0</v>
      </c>
      <c r="L2332" t="str">
        <f>IF(J2332&lt;0,"A~0",VLOOKUP(J2332,[1]作法V!$B$1:$C$9,2,TRUE))</f>
        <v>A~0</v>
      </c>
    </row>
    <row r="2333" spans="1:12">
      <c r="A2333">
        <v>1300</v>
      </c>
      <c r="B2333" t="s">
        <v>30</v>
      </c>
      <c r="C2333" s="3">
        <v>38608</v>
      </c>
      <c r="D2333" s="3">
        <v>38722</v>
      </c>
      <c r="E2333" t="s">
        <v>17</v>
      </c>
      <c r="F2333">
        <v>32.365000000000002</v>
      </c>
      <c r="G2333">
        <v>154.13999999999999</v>
      </c>
      <c r="H2333">
        <v>4989</v>
      </c>
      <c r="I2333" s="4">
        <v>38686</v>
      </c>
      <c r="J2333" s="5">
        <f t="shared" si="72"/>
        <v>-36</v>
      </c>
      <c r="K2333" s="6" t="str">
        <f t="shared" si="73"/>
        <v>A~0</v>
      </c>
      <c r="L2333" t="str">
        <f>IF(J2333&lt;0,"A~0",VLOOKUP(J2333,[1]作法V!$B$1:$C$9,2,TRUE))</f>
        <v>A~0</v>
      </c>
    </row>
    <row r="2334" spans="1:12">
      <c r="A2334">
        <v>1300</v>
      </c>
      <c r="B2334" t="s">
        <v>30</v>
      </c>
      <c r="C2334" s="3">
        <v>38608</v>
      </c>
      <c r="D2334" s="3">
        <v>38722</v>
      </c>
      <c r="E2334" t="s">
        <v>17</v>
      </c>
      <c r="F2334">
        <v>32.365000000000002</v>
      </c>
      <c r="G2334">
        <v>250</v>
      </c>
      <c r="H2334">
        <v>8091</v>
      </c>
      <c r="I2334" s="4">
        <v>38686</v>
      </c>
      <c r="J2334" s="5">
        <f t="shared" si="72"/>
        <v>-36</v>
      </c>
      <c r="K2334" s="6" t="str">
        <f t="shared" si="73"/>
        <v>A~0</v>
      </c>
      <c r="L2334" t="str">
        <f>IF(J2334&lt;0,"A~0",VLOOKUP(J2334,[1]作法V!$B$1:$C$9,2,TRUE))</f>
        <v>A~0</v>
      </c>
    </row>
    <row r="2335" spans="1:12">
      <c r="A2335">
        <v>1300</v>
      </c>
      <c r="B2335" t="s">
        <v>30</v>
      </c>
      <c r="C2335" s="3">
        <v>38610</v>
      </c>
      <c r="D2335" s="3">
        <v>38722</v>
      </c>
      <c r="E2335" t="s">
        <v>17</v>
      </c>
      <c r="F2335">
        <v>32.365000000000002</v>
      </c>
      <c r="G2335">
        <v>352</v>
      </c>
      <c r="H2335">
        <v>11392</v>
      </c>
      <c r="I2335" s="4">
        <v>38686</v>
      </c>
      <c r="J2335" s="5">
        <f t="shared" si="72"/>
        <v>-36</v>
      </c>
      <c r="K2335" s="6" t="str">
        <f t="shared" si="73"/>
        <v>A~0</v>
      </c>
      <c r="L2335" t="str">
        <f>IF(J2335&lt;0,"A~0",VLOOKUP(J2335,[1]作法V!$B$1:$C$9,2,TRUE))</f>
        <v>A~0</v>
      </c>
    </row>
    <row r="2336" spans="1:12">
      <c r="A2336">
        <v>1300</v>
      </c>
      <c r="B2336" t="s">
        <v>30</v>
      </c>
      <c r="C2336" s="3">
        <v>38610</v>
      </c>
      <c r="D2336" s="3">
        <v>38722</v>
      </c>
      <c r="E2336" t="s">
        <v>17</v>
      </c>
      <c r="F2336">
        <v>32.365000000000002</v>
      </c>
      <c r="G2336">
        <v>2464</v>
      </c>
      <c r="H2336">
        <v>79747</v>
      </c>
      <c r="I2336" s="4">
        <v>38686</v>
      </c>
      <c r="J2336" s="5">
        <f t="shared" si="72"/>
        <v>-36</v>
      </c>
      <c r="K2336" s="6" t="str">
        <f t="shared" si="73"/>
        <v>A~0</v>
      </c>
      <c r="L2336" t="str">
        <f>IF(J2336&lt;0,"A~0",VLOOKUP(J2336,[1]作法V!$B$1:$C$9,2,TRUE))</f>
        <v>A~0</v>
      </c>
    </row>
    <row r="2337" spans="1:12">
      <c r="A2337">
        <v>1300</v>
      </c>
      <c r="B2337" t="s">
        <v>30</v>
      </c>
      <c r="C2337" s="3">
        <v>38610</v>
      </c>
      <c r="D2337" s="3">
        <v>38722</v>
      </c>
      <c r="E2337" t="s">
        <v>17</v>
      </c>
      <c r="F2337">
        <v>32.365000000000002</v>
      </c>
      <c r="G2337">
        <v>2464</v>
      </c>
      <c r="H2337">
        <v>79747</v>
      </c>
      <c r="I2337" s="4">
        <v>38686</v>
      </c>
      <c r="J2337" s="5">
        <f t="shared" si="72"/>
        <v>-36</v>
      </c>
      <c r="K2337" s="6" t="str">
        <f t="shared" si="73"/>
        <v>A~0</v>
      </c>
      <c r="L2337" t="str">
        <f>IF(J2337&lt;0,"A~0",VLOOKUP(J2337,[1]作法V!$B$1:$C$9,2,TRUE))</f>
        <v>A~0</v>
      </c>
    </row>
    <row r="2338" spans="1:12">
      <c r="A2338">
        <v>1300</v>
      </c>
      <c r="B2338" t="s">
        <v>30</v>
      </c>
      <c r="C2338" s="3">
        <v>38610</v>
      </c>
      <c r="D2338" s="3">
        <v>38722</v>
      </c>
      <c r="E2338" t="s">
        <v>17</v>
      </c>
      <c r="F2338">
        <v>32.365000000000002</v>
      </c>
      <c r="G2338">
        <v>750</v>
      </c>
      <c r="H2338">
        <v>24274</v>
      </c>
      <c r="I2338" s="4">
        <v>38686</v>
      </c>
      <c r="J2338" s="5">
        <f t="shared" si="72"/>
        <v>-36</v>
      </c>
      <c r="K2338" s="6" t="str">
        <f t="shared" si="73"/>
        <v>A~0</v>
      </c>
      <c r="L2338" t="str">
        <f>IF(J2338&lt;0,"A~0",VLOOKUP(J2338,[1]作法V!$B$1:$C$9,2,TRUE))</f>
        <v>A~0</v>
      </c>
    </row>
    <row r="2339" spans="1:12">
      <c r="A2339">
        <v>1300</v>
      </c>
      <c r="B2339" t="s">
        <v>30</v>
      </c>
      <c r="C2339" s="3">
        <v>38610</v>
      </c>
      <c r="D2339" s="3">
        <v>38722</v>
      </c>
      <c r="E2339" t="s">
        <v>17</v>
      </c>
      <c r="F2339">
        <v>32.365000000000002</v>
      </c>
      <c r="G2339">
        <v>152</v>
      </c>
      <c r="H2339">
        <v>4919</v>
      </c>
      <c r="I2339" s="4">
        <v>38686</v>
      </c>
      <c r="J2339" s="5">
        <f t="shared" si="72"/>
        <v>-36</v>
      </c>
      <c r="K2339" s="6" t="str">
        <f t="shared" si="73"/>
        <v>A~0</v>
      </c>
      <c r="L2339" t="str">
        <f>IF(J2339&lt;0,"A~0",VLOOKUP(J2339,[1]作法V!$B$1:$C$9,2,TRUE))</f>
        <v>A~0</v>
      </c>
    </row>
    <row r="2340" spans="1:12">
      <c r="A2340">
        <v>1300</v>
      </c>
      <c r="B2340" t="s">
        <v>30</v>
      </c>
      <c r="C2340" s="3">
        <v>38610</v>
      </c>
      <c r="D2340" s="3">
        <v>38722</v>
      </c>
      <c r="E2340" t="s">
        <v>17</v>
      </c>
      <c r="F2340">
        <v>32.365000000000002</v>
      </c>
      <c r="G2340">
        <v>750</v>
      </c>
      <c r="H2340">
        <v>24274</v>
      </c>
      <c r="I2340" s="4">
        <v>38686</v>
      </c>
      <c r="J2340" s="5">
        <f t="shared" si="72"/>
        <v>-36</v>
      </c>
      <c r="K2340" s="6" t="str">
        <f t="shared" si="73"/>
        <v>A~0</v>
      </c>
      <c r="L2340" t="str">
        <f>IF(J2340&lt;0,"A~0",VLOOKUP(J2340,[1]作法V!$B$1:$C$9,2,TRUE))</f>
        <v>A~0</v>
      </c>
    </row>
    <row r="2341" spans="1:12">
      <c r="A2341">
        <v>1300</v>
      </c>
      <c r="B2341" t="s">
        <v>30</v>
      </c>
      <c r="C2341" s="3">
        <v>38610</v>
      </c>
      <c r="D2341" s="3">
        <v>38722</v>
      </c>
      <c r="E2341" t="s">
        <v>17</v>
      </c>
      <c r="F2341">
        <v>32.365000000000002</v>
      </c>
      <c r="G2341">
        <v>5200</v>
      </c>
      <c r="H2341">
        <v>168298</v>
      </c>
      <c r="I2341" s="4">
        <v>38686</v>
      </c>
      <c r="J2341" s="5">
        <f t="shared" si="72"/>
        <v>-36</v>
      </c>
      <c r="K2341" s="6" t="str">
        <f t="shared" si="73"/>
        <v>A~0</v>
      </c>
      <c r="L2341" t="str">
        <f>IF(J2341&lt;0,"A~0",VLOOKUP(J2341,[1]作法V!$B$1:$C$9,2,TRUE))</f>
        <v>A~0</v>
      </c>
    </row>
    <row r="2342" spans="1:12">
      <c r="A2342">
        <v>1300</v>
      </c>
      <c r="B2342" t="s">
        <v>30</v>
      </c>
      <c r="C2342" s="3">
        <v>38610</v>
      </c>
      <c r="D2342" s="3">
        <v>38722</v>
      </c>
      <c r="E2342" t="s">
        <v>17</v>
      </c>
      <c r="F2342">
        <v>32.365000000000002</v>
      </c>
      <c r="G2342">
        <v>1300</v>
      </c>
      <c r="H2342">
        <v>42075</v>
      </c>
      <c r="I2342" s="4">
        <v>38686</v>
      </c>
      <c r="J2342" s="5">
        <f t="shared" si="72"/>
        <v>-36</v>
      </c>
      <c r="K2342" s="6" t="str">
        <f t="shared" si="73"/>
        <v>A~0</v>
      </c>
      <c r="L2342" t="str">
        <f>IF(J2342&lt;0,"A~0",VLOOKUP(J2342,[1]作法V!$B$1:$C$9,2,TRUE))</f>
        <v>A~0</v>
      </c>
    </row>
    <row r="2343" spans="1:12">
      <c r="A2343">
        <v>1300</v>
      </c>
      <c r="B2343" t="s">
        <v>30</v>
      </c>
      <c r="C2343" s="3">
        <v>38610</v>
      </c>
      <c r="D2343" s="3">
        <v>38722</v>
      </c>
      <c r="E2343" t="s">
        <v>17</v>
      </c>
      <c r="F2343">
        <v>32.365000000000002</v>
      </c>
      <c r="G2343">
        <v>1068.21</v>
      </c>
      <c r="H2343">
        <v>34573</v>
      </c>
      <c r="I2343" s="4">
        <v>38686</v>
      </c>
      <c r="J2343" s="5">
        <f t="shared" si="72"/>
        <v>-36</v>
      </c>
      <c r="K2343" s="6" t="str">
        <f t="shared" si="73"/>
        <v>A~0</v>
      </c>
      <c r="L2343" t="str">
        <f>IF(J2343&lt;0,"A~0",VLOOKUP(J2343,[1]作法V!$B$1:$C$9,2,TRUE))</f>
        <v>A~0</v>
      </c>
    </row>
    <row r="2344" spans="1:12">
      <c r="A2344">
        <v>1300</v>
      </c>
      <c r="B2344" t="s">
        <v>30</v>
      </c>
      <c r="C2344" s="3">
        <v>38610</v>
      </c>
      <c r="D2344" s="3">
        <v>38722</v>
      </c>
      <c r="E2344" t="s">
        <v>17</v>
      </c>
      <c r="F2344">
        <v>32.365000000000002</v>
      </c>
      <c r="G2344">
        <v>1871.14</v>
      </c>
      <c r="H2344">
        <v>60559</v>
      </c>
      <c r="I2344" s="4">
        <v>38686</v>
      </c>
      <c r="J2344" s="5">
        <f t="shared" si="72"/>
        <v>-36</v>
      </c>
      <c r="K2344" s="6" t="str">
        <f t="shared" si="73"/>
        <v>A~0</v>
      </c>
      <c r="L2344" t="str">
        <f>IF(J2344&lt;0,"A~0",VLOOKUP(J2344,[1]作法V!$B$1:$C$9,2,TRUE))</f>
        <v>A~0</v>
      </c>
    </row>
    <row r="2345" spans="1:12">
      <c r="A2345">
        <v>1300</v>
      </c>
      <c r="B2345" t="s">
        <v>30</v>
      </c>
      <c r="C2345" s="3">
        <v>38614</v>
      </c>
      <c r="D2345" s="3">
        <v>38722</v>
      </c>
      <c r="E2345" t="s">
        <v>17</v>
      </c>
      <c r="F2345">
        <v>32.365000000000002</v>
      </c>
      <c r="G2345">
        <v>1245</v>
      </c>
      <c r="H2345">
        <v>40294</v>
      </c>
      <c r="I2345" s="4">
        <v>38686</v>
      </c>
      <c r="J2345" s="5">
        <f t="shared" si="72"/>
        <v>-36</v>
      </c>
      <c r="K2345" s="6" t="str">
        <f t="shared" si="73"/>
        <v>A~0</v>
      </c>
      <c r="L2345" t="str">
        <f>IF(J2345&lt;0,"A~0",VLOOKUP(J2345,[1]作法V!$B$1:$C$9,2,TRUE))</f>
        <v>A~0</v>
      </c>
    </row>
    <row r="2346" spans="1:12">
      <c r="A2346">
        <v>1300</v>
      </c>
      <c r="B2346" t="s">
        <v>30</v>
      </c>
      <c r="C2346" s="3">
        <v>38614</v>
      </c>
      <c r="D2346" s="3">
        <v>38722</v>
      </c>
      <c r="E2346" t="s">
        <v>17</v>
      </c>
      <c r="F2346">
        <v>32.365000000000002</v>
      </c>
      <c r="G2346">
        <v>6755</v>
      </c>
      <c r="H2346">
        <v>218626</v>
      </c>
      <c r="I2346" s="4">
        <v>38686</v>
      </c>
      <c r="J2346" s="5">
        <f t="shared" si="72"/>
        <v>-36</v>
      </c>
      <c r="K2346" s="6" t="str">
        <f t="shared" si="73"/>
        <v>A~0</v>
      </c>
      <c r="L2346" t="str">
        <f>IF(J2346&lt;0,"A~0",VLOOKUP(J2346,[1]作法V!$B$1:$C$9,2,TRUE))</f>
        <v>A~0</v>
      </c>
    </row>
    <row r="2347" spans="1:12">
      <c r="A2347">
        <v>1300</v>
      </c>
      <c r="B2347" t="s">
        <v>30</v>
      </c>
      <c r="C2347" s="3">
        <v>38615</v>
      </c>
      <c r="D2347" s="3">
        <v>38722</v>
      </c>
      <c r="E2347" t="s">
        <v>17</v>
      </c>
      <c r="F2347">
        <v>32.365000000000002</v>
      </c>
      <c r="G2347">
        <v>1936</v>
      </c>
      <c r="H2347">
        <v>62659</v>
      </c>
      <c r="I2347" s="4">
        <v>38686</v>
      </c>
      <c r="J2347" s="5">
        <f t="shared" si="72"/>
        <v>-36</v>
      </c>
      <c r="K2347" s="6" t="str">
        <f t="shared" si="73"/>
        <v>A~0</v>
      </c>
      <c r="L2347" t="str">
        <f>IF(J2347&lt;0,"A~0",VLOOKUP(J2347,[1]作法V!$B$1:$C$9,2,TRUE))</f>
        <v>A~0</v>
      </c>
    </row>
    <row r="2348" spans="1:12">
      <c r="A2348">
        <v>1300</v>
      </c>
      <c r="B2348" t="s">
        <v>30</v>
      </c>
      <c r="C2348" s="3">
        <v>38615</v>
      </c>
      <c r="D2348" s="3">
        <v>38722</v>
      </c>
      <c r="E2348" t="s">
        <v>17</v>
      </c>
      <c r="F2348">
        <v>32.365000000000002</v>
      </c>
      <c r="G2348">
        <v>880</v>
      </c>
      <c r="H2348">
        <v>28481</v>
      </c>
      <c r="I2348" s="4">
        <v>38686</v>
      </c>
      <c r="J2348" s="5">
        <f t="shared" si="72"/>
        <v>-36</v>
      </c>
      <c r="K2348" s="6" t="str">
        <f t="shared" si="73"/>
        <v>A~0</v>
      </c>
      <c r="L2348" t="str">
        <f>IF(J2348&lt;0,"A~0",VLOOKUP(J2348,[1]作法V!$B$1:$C$9,2,TRUE))</f>
        <v>A~0</v>
      </c>
    </row>
    <row r="2349" spans="1:12">
      <c r="A2349">
        <v>1300</v>
      </c>
      <c r="B2349" t="s">
        <v>30</v>
      </c>
      <c r="C2349" s="3">
        <v>38615</v>
      </c>
      <c r="D2349" s="3">
        <v>38722</v>
      </c>
      <c r="E2349" t="s">
        <v>17</v>
      </c>
      <c r="F2349">
        <v>32.365000000000002</v>
      </c>
      <c r="G2349">
        <v>2000</v>
      </c>
      <c r="H2349">
        <v>64730</v>
      </c>
      <c r="I2349" s="4">
        <v>38686</v>
      </c>
      <c r="J2349" s="5">
        <f t="shared" si="72"/>
        <v>-36</v>
      </c>
      <c r="K2349" s="6" t="str">
        <f t="shared" si="73"/>
        <v>A~0</v>
      </c>
      <c r="L2349" t="str">
        <f>IF(J2349&lt;0,"A~0",VLOOKUP(J2349,[1]作法V!$B$1:$C$9,2,TRUE))</f>
        <v>A~0</v>
      </c>
    </row>
    <row r="2350" spans="1:12">
      <c r="A2350">
        <v>1300</v>
      </c>
      <c r="B2350" t="s">
        <v>30</v>
      </c>
      <c r="C2350" s="3">
        <v>38616</v>
      </c>
      <c r="D2350" s="3">
        <v>38722</v>
      </c>
      <c r="E2350" t="s">
        <v>17</v>
      </c>
      <c r="F2350">
        <v>32.799999999999997</v>
      </c>
      <c r="G2350">
        <v>7600</v>
      </c>
      <c r="H2350">
        <v>249280</v>
      </c>
      <c r="I2350" s="4">
        <v>38686</v>
      </c>
      <c r="J2350" s="5">
        <f t="shared" si="72"/>
        <v>-36</v>
      </c>
      <c r="K2350" s="6" t="str">
        <f t="shared" si="73"/>
        <v>A~0</v>
      </c>
      <c r="L2350" t="str">
        <f>IF(J2350&lt;0,"A~0",VLOOKUP(J2350,[1]作法V!$B$1:$C$9,2,TRUE))</f>
        <v>A~0</v>
      </c>
    </row>
    <row r="2351" spans="1:12">
      <c r="A2351">
        <v>1300</v>
      </c>
      <c r="B2351" t="s">
        <v>30</v>
      </c>
      <c r="C2351" s="3">
        <v>38616</v>
      </c>
      <c r="D2351" s="3">
        <v>38722</v>
      </c>
      <c r="E2351" t="s">
        <v>17</v>
      </c>
      <c r="F2351">
        <v>32.799999999999997</v>
      </c>
      <c r="G2351">
        <v>8037</v>
      </c>
      <c r="H2351">
        <v>263614</v>
      </c>
      <c r="I2351" s="4">
        <v>38686</v>
      </c>
      <c r="J2351" s="5">
        <f t="shared" si="72"/>
        <v>-36</v>
      </c>
      <c r="K2351" s="6" t="str">
        <f t="shared" si="73"/>
        <v>A~0</v>
      </c>
      <c r="L2351" t="str">
        <f>IF(J2351&lt;0,"A~0",VLOOKUP(J2351,[1]作法V!$B$1:$C$9,2,TRUE))</f>
        <v>A~0</v>
      </c>
    </row>
    <row r="2352" spans="1:12">
      <c r="A2352">
        <v>1300</v>
      </c>
      <c r="B2352" t="s">
        <v>30</v>
      </c>
      <c r="C2352" s="3">
        <v>38618</v>
      </c>
      <c r="D2352" s="3">
        <v>38722</v>
      </c>
      <c r="E2352" t="s">
        <v>17</v>
      </c>
      <c r="F2352">
        <v>32.799999999999997</v>
      </c>
      <c r="G2352">
        <v>422.47</v>
      </c>
      <c r="H2352">
        <v>13857</v>
      </c>
      <c r="I2352" s="4">
        <v>38686</v>
      </c>
      <c r="J2352" s="5">
        <f t="shared" si="72"/>
        <v>-36</v>
      </c>
      <c r="K2352" s="6" t="str">
        <f t="shared" si="73"/>
        <v>A~0</v>
      </c>
      <c r="L2352" t="str">
        <f>IF(J2352&lt;0,"A~0",VLOOKUP(J2352,[1]作法V!$B$1:$C$9,2,TRUE))</f>
        <v>A~0</v>
      </c>
    </row>
    <row r="2353" spans="1:12">
      <c r="A2353">
        <v>1300</v>
      </c>
      <c r="B2353" t="s">
        <v>30</v>
      </c>
      <c r="C2353" s="3">
        <v>38618</v>
      </c>
      <c r="D2353" s="3">
        <v>38722</v>
      </c>
      <c r="E2353" t="s">
        <v>17</v>
      </c>
      <c r="F2353">
        <v>32.799999999999997</v>
      </c>
      <c r="G2353">
        <v>23618.32</v>
      </c>
      <c r="H2353">
        <v>774681</v>
      </c>
      <c r="I2353" s="4">
        <v>38686</v>
      </c>
      <c r="J2353" s="5">
        <f t="shared" si="72"/>
        <v>-36</v>
      </c>
      <c r="K2353" s="6" t="str">
        <f t="shared" si="73"/>
        <v>A~0</v>
      </c>
      <c r="L2353" t="str">
        <f>IF(J2353&lt;0,"A~0",VLOOKUP(J2353,[1]作法V!$B$1:$C$9,2,TRUE))</f>
        <v>A~0</v>
      </c>
    </row>
    <row r="2354" spans="1:12">
      <c r="A2354">
        <v>1300</v>
      </c>
      <c r="B2354" t="s">
        <v>30</v>
      </c>
      <c r="C2354" s="3">
        <v>38618</v>
      </c>
      <c r="D2354" s="3">
        <v>38722</v>
      </c>
      <c r="E2354" t="s">
        <v>17</v>
      </c>
      <c r="F2354">
        <v>32.799999999999997</v>
      </c>
      <c r="G2354">
        <v>31413</v>
      </c>
      <c r="H2354">
        <v>1030346</v>
      </c>
      <c r="I2354" s="4">
        <v>38686</v>
      </c>
      <c r="J2354" s="5">
        <f t="shared" si="72"/>
        <v>-36</v>
      </c>
      <c r="K2354" s="6" t="str">
        <f t="shared" si="73"/>
        <v>A~0</v>
      </c>
      <c r="L2354" t="str">
        <f>IF(J2354&lt;0,"A~0",VLOOKUP(J2354,[1]作法V!$B$1:$C$9,2,TRUE))</f>
        <v>A~0</v>
      </c>
    </row>
    <row r="2355" spans="1:12">
      <c r="A2355">
        <v>1300</v>
      </c>
      <c r="B2355" t="s">
        <v>30</v>
      </c>
      <c r="C2355" s="3">
        <v>38622</v>
      </c>
      <c r="D2355" s="3">
        <v>38753</v>
      </c>
      <c r="E2355" t="s">
        <v>17</v>
      </c>
      <c r="F2355">
        <v>32.799999999999997</v>
      </c>
      <c r="G2355">
        <v>1500</v>
      </c>
      <c r="H2355">
        <v>49200</v>
      </c>
      <c r="I2355" s="4">
        <v>38686</v>
      </c>
      <c r="J2355" s="5">
        <f t="shared" si="72"/>
        <v>-67</v>
      </c>
      <c r="K2355" s="6" t="str">
        <f t="shared" si="73"/>
        <v>A~0</v>
      </c>
      <c r="L2355" t="str">
        <f>IF(J2355&lt;0,"A~0",VLOOKUP(J2355,[1]作法V!$B$1:$C$9,2,TRUE))</f>
        <v>A~0</v>
      </c>
    </row>
    <row r="2356" spans="1:12">
      <c r="A2356">
        <v>1300</v>
      </c>
      <c r="B2356" t="s">
        <v>30</v>
      </c>
      <c r="C2356" s="3">
        <v>38622</v>
      </c>
      <c r="D2356" s="3">
        <v>38753</v>
      </c>
      <c r="E2356" t="s">
        <v>17</v>
      </c>
      <c r="F2356">
        <v>32.799999999999997</v>
      </c>
      <c r="G2356">
        <v>1500</v>
      </c>
      <c r="H2356">
        <v>49200</v>
      </c>
      <c r="I2356" s="4">
        <v>38686</v>
      </c>
      <c r="J2356" s="5">
        <f t="shared" si="72"/>
        <v>-67</v>
      </c>
      <c r="K2356" s="6" t="str">
        <f t="shared" si="73"/>
        <v>A~0</v>
      </c>
      <c r="L2356" t="str">
        <f>IF(J2356&lt;0,"A~0",VLOOKUP(J2356,[1]作法V!$B$1:$C$9,2,TRUE))</f>
        <v>A~0</v>
      </c>
    </row>
    <row r="2357" spans="1:12">
      <c r="A2357">
        <v>1300</v>
      </c>
      <c r="B2357" t="s">
        <v>30</v>
      </c>
      <c r="C2357" s="3">
        <v>38622</v>
      </c>
      <c r="D2357" s="3">
        <v>38753</v>
      </c>
      <c r="E2357" t="s">
        <v>17</v>
      </c>
      <c r="F2357">
        <v>32.799999999999997</v>
      </c>
      <c r="G2357">
        <v>1760</v>
      </c>
      <c r="H2357">
        <v>57728</v>
      </c>
      <c r="I2357" s="4">
        <v>38686</v>
      </c>
      <c r="J2357" s="5">
        <f t="shared" si="72"/>
        <v>-67</v>
      </c>
      <c r="K2357" s="6" t="str">
        <f t="shared" si="73"/>
        <v>A~0</v>
      </c>
      <c r="L2357" t="str">
        <f>IF(J2357&lt;0,"A~0",VLOOKUP(J2357,[1]作法V!$B$1:$C$9,2,TRUE))</f>
        <v>A~0</v>
      </c>
    </row>
    <row r="2358" spans="1:12">
      <c r="A2358">
        <v>1300</v>
      </c>
      <c r="B2358" t="s">
        <v>30</v>
      </c>
      <c r="C2358" s="3">
        <v>38623</v>
      </c>
      <c r="D2358" s="3">
        <v>38753</v>
      </c>
      <c r="E2358" t="s">
        <v>17</v>
      </c>
      <c r="F2358">
        <v>32.799999999999997</v>
      </c>
      <c r="G2358">
        <v>2075</v>
      </c>
      <c r="H2358">
        <v>68060</v>
      </c>
      <c r="I2358" s="4">
        <v>38686</v>
      </c>
      <c r="J2358" s="5">
        <f t="shared" si="72"/>
        <v>-67</v>
      </c>
      <c r="K2358" s="6" t="str">
        <f t="shared" si="73"/>
        <v>A~0</v>
      </c>
      <c r="L2358" t="str">
        <f>IF(J2358&lt;0,"A~0",VLOOKUP(J2358,[1]作法V!$B$1:$C$9,2,TRUE))</f>
        <v>A~0</v>
      </c>
    </row>
    <row r="2359" spans="1:12">
      <c r="A2359">
        <v>1300</v>
      </c>
      <c r="B2359" t="s">
        <v>30</v>
      </c>
      <c r="C2359" s="3">
        <v>38623</v>
      </c>
      <c r="D2359" s="3">
        <v>38753</v>
      </c>
      <c r="E2359" t="s">
        <v>17</v>
      </c>
      <c r="F2359">
        <v>32.799999999999997</v>
      </c>
      <c r="G2359">
        <v>6755</v>
      </c>
      <c r="H2359">
        <v>221564</v>
      </c>
      <c r="I2359" s="4">
        <v>38686</v>
      </c>
      <c r="J2359" s="5">
        <f t="shared" si="72"/>
        <v>-67</v>
      </c>
      <c r="K2359" s="6" t="str">
        <f t="shared" si="73"/>
        <v>A~0</v>
      </c>
      <c r="L2359" t="str">
        <f>IF(J2359&lt;0,"A~0",VLOOKUP(J2359,[1]作法V!$B$1:$C$9,2,TRUE))</f>
        <v>A~0</v>
      </c>
    </row>
    <row r="2360" spans="1:12">
      <c r="A2360">
        <v>1300</v>
      </c>
      <c r="B2360" t="s">
        <v>30</v>
      </c>
      <c r="C2360" s="3">
        <v>38623</v>
      </c>
      <c r="D2360" s="3">
        <v>38753</v>
      </c>
      <c r="E2360" t="s">
        <v>18</v>
      </c>
      <c r="F2360">
        <v>1</v>
      </c>
      <c r="G2360">
        <v>496120</v>
      </c>
      <c r="H2360">
        <v>496120</v>
      </c>
      <c r="I2360" s="4">
        <v>38686</v>
      </c>
      <c r="J2360" s="5">
        <f t="shared" si="72"/>
        <v>-67</v>
      </c>
      <c r="K2360" s="6" t="str">
        <f t="shared" si="73"/>
        <v>A~0</v>
      </c>
      <c r="L2360" t="str">
        <f>IF(J2360&lt;0,"A~0",VLOOKUP(J2360,[1]作法V!$B$1:$C$9,2,TRUE))</f>
        <v>A~0</v>
      </c>
    </row>
    <row r="2361" spans="1:12">
      <c r="A2361">
        <v>1300</v>
      </c>
      <c r="B2361" t="s">
        <v>30</v>
      </c>
      <c r="C2361" s="3">
        <v>38623</v>
      </c>
      <c r="D2361" s="3">
        <v>38753</v>
      </c>
      <c r="E2361" t="s">
        <v>17</v>
      </c>
      <c r="F2361">
        <v>32.799999999999997</v>
      </c>
      <c r="G2361">
        <v>9100</v>
      </c>
      <c r="H2361">
        <v>298480</v>
      </c>
      <c r="I2361" s="4">
        <v>38686</v>
      </c>
      <c r="J2361" s="5">
        <f t="shared" si="72"/>
        <v>-67</v>
      </c>
      <c r="K2361" s="6" t="str">
        <f t="shared" si="73"/>
        <v>A~0</v>
      </c>
      <c r="L2361" t="str">
        <f>IF(J2361&lt;0,"A~0",VLOOKUP(J2361,[1]作法V!$B$1:$C$9,2,TRUE))</f>
        <v>A~0</v>
      </c>
    </row>
    <row r="2362" spans="1:12">
      <c r="A2362">
        <v>1300</v>
      </c>
      <c r="B2362" t="s">
        <v>30</v>
      </c>
      <c r="C2362" s="3">
        <v>38623</v>
      </c>
      <c r="D2362" s="3">
        <v>38753</v>
      </c>
      <c r="E2362" t="s">
        <v>17</v>
      </c>
      <c r="F2362">
        <v>32.799999999999997</v>
      </c>
      <c r="G2362">
        <v>16200</v>
      </c>
      <c r="H2362">
        <v>531360</v>
      </c>
      <c r="I2362" s="4">
        <v>38686</v>
      </c>
      <c r="J2362" s="5">
        <f t="shared" si="72"/>
        <v>-67</v>
      </c>
      <c r="K2362" s="6" t="str">
        <f t="shared" si="73"/>
        <v>A~0</v>
      </c>
      <c r="L2362" t="str">
        <f>IF(J2362&lt;0,"A~0",VLOOKUP(J2362,[1]作法V!$B$1:$C$9,2,TRUE))</f>
        <v>A~0</v>
      </c>
    </row>
    <row r="2363" spans="1:12">
      <c r="A2363">
        <v>1300</v>
      </c>
      <c r="B2363" t="s">
        <v>30</v>
      </c>
      <c r="C2363" s="3">
        <v>38631</v>
      </c>
      <c r="D2363" s="3">
        <v>38753</v>
      </c>
      <c r="E2363" t="s">
        <v>17</v>
      </c>
      <c r="F2363">
        <v>33.15</v>
      </c>
      <c r="G2363">
        <v>1584</v>
      </c>
      <c r="H2363">
        <v>52510</v>
      </c>
      <c r="I2363" s="4">
        <v>38686</v>
      </c>
      <c r="J2363" s="5">
        <f t="shared" si="72"/>
        <v>-67</v>
      </c>
      <c r="K2363" s="6" t="str">
        <f t="shared" si="73"/>
        <v>A~0</v>
      </c>
      <c r="L2363" t="str">
        <f>IF(J2363&lt;0,"A~0",VLOOKUP(J2363,[1]作法V!$B$1:$C$9,2,TRUE))</f>
        <v>A~0</v>
      </c>
    </row>
    <row r="2364" spans="1:12">
      <c r="A2364">
        <v>1300</v>
      </c>
      <c r="B2364" t="s">
        <v>30</v>
      </c>
      <c r="C2364" s="3">
        <v>38631</v>
      </c>
      <c r="D2364" s="3">
        <v>38753</v>
      </c>
      <c r="E2364" t="s">
        <v>17</v>
      </c>
      <c r="F2364">
        <v>33.15</v>
      </c>
      <c r="G2364">
        <v>1750</v>
      </c>
      <c r="H2364">
        <v>58013</v>
      </c>
      <c r="I2364" s="4">
        <v>38686</v>
      </c>
      <c r="J2364" s="5">
        <f t="shared" si="72"/>
        <v>-67</v>
      </c>
      <c r="K2364" s="6" t="str">
        <f t="shared" si="73"/>
        <v>A~0</v>
      </c>
      <c r="L2364" t="str">
        <f>IF(J2364&lt;0,"A~0",VLOOKUP(J2364,[1]作法V!$B$1:$C$9,2,TRUE))</f>
        <v>A~0</v>
      </c>
    </row>
    <row r="2365" spans="1:12">
      <c r="A2365">
        <v>1300</v>
      </c>
      <c r="B2365" t="s">
        <v>30</v>
      </c>
      <c r="C2365" s="3">
        <v>38631</v>
      </c>
      <c r="D2365" s="3">
        <v>38753</v>
      </c>
      <c r="E2365" t="s">
        <v>17</v>
      </c>
      <c r="F2365">
        <v>33.15</v>
      </c>
      <c r="G2365">
        <v>15</v>
      </c>
      <c r="H2365">
        <v>497</v>
      </c>
      <c r="I2365" s="4">
        <v>38686</v>
      </c>
      <c r="J2365" s="5">
        <f t="shared" si="72"/>
        <v>-67</v>
      </c>
      <c r="K2365" s="6" t="str">
        <f t="shared" si="73"/>
        <v>A~0</v>
      </c>
      <c r="L2365" t="str">
        <f>IF(J2365&lt;0,"A~0",VLOOKUP(J2365,[1]作法V!$B$1:$C$9,2,TRUE))</f>
        <v>A~0</v>
      </c>
    </row>
    <row r="2366" spans="1:12">
      <c r="A2366">
        <v>1300</v>
      </c>
      <c r="B2366" t="s">
        <v>30</v>
      </c>
      <c r="C2366" s="3">
        <v>38631</v>
      </c>
      <c r="D2366" s="3">
        <v>38753</v>
      </c>
      <c r="E2366" t="s">
        <v>17</v>
      </c>
      <c r="F2366">
        <v>33.15</v>
      </c>
      <c r="G2366">
        <v>250</v>
      </c>
      <c r="H2366">
        <v>8288</v>
      </c>
      <c r="I2366" s="4">
        <v>38686</v>
      </c>
      <c r="J2366" s="5">
        <f t="shared" si="72"/>
        <v>-67</v>
      </c>
      <c r="K2366" s="6" t="str">
        <f t="shared" si="73"/>
        <v>A~0</v>
      </c>
      <c r="L2366" t="str">
        <f>IF(J2366&lt;0,"A~0",VLOOKUP(J2366,[1]作法V!$B$1:$C$9,2,TRUE))</f>
        <v>A~0</v>
      </c>
    </row>
    <row r="2367" spans="1:12">
      <c r="A2367">
        <v>1300</v>
      </c>
      <c r="B2367" t="s">
        <v>30</v>
      </c>
      <c r="C2367" s="3">
        <v>38631</v>
      </c>
      <c r="D2367" s="3">
        <v>38753</v>
      </c>
      <c r="E2367" t="s">
        <v>17</v>
      </c>
      <c r="F2367">
        <v>33.15</v>
      </c>
      <c r="G2367">
        <v>250</v>
      </c>
      <c r="H2367">
        <v>8288</v>
      </c>
      <c r="I2367" s="4">
        <v>38686</v>
      </c>
      <c r="J2367" s="5">
        <f t="shared" si="72"/>
        <v>-67</v>
      </c>
      <c r="K2367" s="6" t="str">
        <f t="shared" si="73"/>
        <v>A~0</v>
      </c>
      <c r="L2367" t="str">
        <f>IF(J2367&lt;0,"A~0",VLOOKUP(J2367,[1]作法V!$B$1:$C$9,2,TRUE))</f>
        <v>A~0</v>
      </c>
    </row>
    <row r="2368" spans="1:12">
      <c r="A2368">
        <v>1300</v>
      </c>
      <c r="B2368" t="s">
        <v>30</v>
      </c>
      <c r="C2368" s="3">
        <v>38632</v>
      </c>
      <c r="D2368" s="3">
        <v>38753</v>
      </c>
      <c r="E2368" t="s">
        <v>17</v>
      </c>
      <c r="F2368">
        <v>33.15</v>
      </c>
      <c r="G2368">
        <v>16329.6</v>
      </c>
      <c r="H2368">
        <v>541326</v>
      </c>
      <c r="I2368" s="4">
        <v>38686</v>
      </c>
      <c r="J2368" s="5">
        <f t="shared" si="72"/>
        <v>-67</v>
      </c>
      <c r="K2368" s="6" t="str">
        <f t="shared" si="73"/>
        <v>A~0</v>
      </c>
      <c r="L2368" t="str">
        <f>IF(J2368&lt;0,"A~0",VLOOKUP(J2368,[1]作法V!$B$1:$C$9,2,TRUE))</f>
        <v>A~0</v>
      </c>
    </row>
    <row r="2369" spans="1:12">
      <c r="A2369">
        <v>1300</v>
      </c>
      <c r="B2369" t="s">
        <v>30</v>
      </c>
      <c r="C2369" s="3">
        <v>38637</v>
      </c>
      <c r="D2369" s="3">
        <v>38753</v>
      </c>
      <c r="E2369" t="s">
        <v>17</v>
      </c>
      <c r="F2369">
        <v>33.195</v>
      </c>
      <c r="G2369">
        <v>1250</v>
      </c>
      <c r="H2369">
        <v>41494</v>
      </c>
      <c r="I2369" s="4">
        <v>38686</v>
      </c>
      <c r="J2369" s="5">
        <f t="shared" si="72"/>
        <v>-67</v>
      </c>
      <c r="K2369" s="6" t="str">
        <f t="shared" si="73"/>
        <v>A~0</v>
      </c>
      <c r="L2369" t="str">
        <f>IF(J2369&lt;0,"A~0",VLOOKUP(J2369,[1]作法V!$B$1:$C$9,2,TRUE))</f>
        <v>A~0</v>
      </c>
    </row>
    <row r="2370" spans="1:12">
      <c r="A2370">
        <v>1300</v>
      </c>
      <c r="B2370" t="s">
        <v>30</v>
      </c>
      <c r="C2370" s="3">
        <v>38637</v>
      </c>
      <c r="D2370" s="3">
        <v>38753</v>
      </c>
      <c r="E2370" t="s">
        <v>17</v>
      </c>
      <c r="F2370">
        <v>33.195</v>
      </c>
      <c r="G2370">
        <v>528</v>
      </c>
      <c r="H2370">
        <v>17527</v>
      </c>
      <c r="I2370" s="4">
        <v>38686</v>
      </c>
      <c r="J2370" s="5">
        <f t="shared" ref="J2370:J2433" si="74">I2370-D2370</f>
        <v>-67</v>
      </c>
      <c r="K2370" s="6" t="str">
        <f t="shared" ref="K2370:K2433" si="75">IF(J2370&lt;1,"A~0",IF(J2370&lt;31,"B1~30",IF(J2370&lt;61,"C31~60",IF(J2370&lt;91,"D61~90",IF(J2370&lt;121,"E91~120",IF(J2370&lt;181,"F121~180",IF(J2370&lt;361,"G181~360","H361~")))))))</f>
        <v>A~0</v>
      </c>
      <c r="L2370" t="str">
        <f>IF(J2370&lt;0,"A~0",VLOOKUP(J2370,[1]作法V!$B$1:$C$9,2,TRUE))</f>
        <v>A~0</v>
      </c>
    </row>
    <row r="2371" spans="1:12">
      <c r="A2371">
        <v>1300</v>
      </c>
      <c r="B2371" t="s">
        <v>30</v>
      </c>
      <c r="C2371" s="3">
        <v>38637</v>
      </c>
      <c r="D2371" s="3">
        <v>38753</v>
      </c>
      <c r="E2371" t="s">
        <v>17</v>
      </c>
      <c r="F2371">
        <v>33.195</v>
      </c>
      <c r="G2371">
        <v>176</v>
      </c>
      <c r="H2371">
        <v>5842</v>
      </c>
      <c r="I2371" s="4">
        <v>38686</v>
      </c>
      <c r="J2371" s="5">
        <f t="shared" si="74"/>
        <v>-67</v>
      </c>
      <c r="K2371" s="6" t="str">
        <f t="shared" si="75"/>
        <v>A~0</v>
      </c>
      <c r="L2371" t="str">
        <f>IF(J2371&lt;0,"A~0",VLOOKUP(J2371,[1]作法V!$B$1:$C$9,2,TRUE))</f>
        <v>A~0</v>
      </c>
    </row>
    <row r="2372" spans="1:12">
      <c r="A2372">
        <v>1300</v>
      </c>
      <c r="B2372" t="s">
        <v>30</v>
      </c>
      <c r="C2372" s="3">
        <v>38638</v>
      </c>
      <c r="D2372" s="3">
        <v>38753</v>
      </c>
      <c r="E2372" t="s">
        <v>17</v>
      </c>
      <c r="F2372">
        <v>33.195</v>
      </c>
      <c r="G2372">
        <v>8450</v>
      </c>
      <c r="H2372">
        <v>280498</v>
      </c>
      <c r="I2372" s="4">
        <v>38686</v>
      </c>
      <c r="J2372" s="5">
        <f t="shared" si="74"/>
        <v>-67</v>
      </c>
      <c r="K2372" s="6" t="str">
        <f t="shared" si="75"/>
        <v>A~0</v>
      </c>
      <c r="L2372" t="str">
        <f>IF(J2372&lt;0,"A~0",VLOOKUP(J2372,[1]作法V!$B$1:$C$9,2,TRUE))</f>
        <v>A~0</v>
      </c>
    </row>
    <row r="2373" spans="1:12">
      <c r="A2373">
        <v>1300</v>
      </c>
      <c r="B2373" t="s">
        <v>30</v>
      </c>
      <c r="C2373" s="3">
        <v>38638</v>
      </c>
      <c r="D2373" s="3">
        <v>38753</v>
      </c>
      <c r="E2373" t="s">
        <v>17</v>
      </c>
      <c r="F2373">
        <v>33.195</v>
      </c>
      <c r="G2373">
        <v>2580</v>
      </c>
      <c r="H2373">
        <v>85643</v>
      </c>
      <c r="I2373" s="4">
        <v>38686</v>
      </c>
      <c r="J2373" s="5">
        <f t="shared" si="74"/>
        <v>-67</v>
      </c>
      <c r="K2373" s="6" t="str">
        <f t="shared" si="75"/>
        <v>A~0</v>
      </c>
      <c r="L2373" t="str">
        <f>IF(J2373&lt;0,"A~0",VLOOKUP(J2373,[1]作法V!$B$1:$C$9,2,TRUE))</f>
        <v>A~0</v>
      </c>
    </row>
    <row r="2374" spans="1:12">
      <c r="A2374">
        <v>1300</v>
      </c>
      <c r="B2374" t="s">
        <v>30</v>
      </c>
      <c r="C2374" s="3">
        <v>38638</v>
      </c>
      <c r="D2374" s="3">
        <v>38753</v>
      </c>
      <c r="E2374" t="s">
        <v>17</v>
      </c>
      <c r="F2374">
        <v>33.195</v>
      </c>
      <c r="G2374">
        <v>4399.42</v>
      </c>
      <c r="H2374">
        <v>146039</v>
      </c>
      <c r="I2374" s="4">
        <v>38686</v>
      </c>
      <c r="J2374" s="5">
        <f t="shared" si="74"/>
        <v>-67</v>
      </c>
      <c r="K2374" s="6" t="str">
        <f t="shared" si="75"/>
        <v>A~0</v>
      </c>
      <c r="L2374" t="str">
        <f>IF(J2374&lt;0,"A~0",VLOOKUP(J2374,[1]作法V!$B$1:$C$9,2,TRUE))</f>
        <v>A~0</v>
      </c>
    </row>
    <row r="2375" spans="1:12">
      <c r="A2375">
        <v>1300</v>
      </c>
      <c r="B2375" t="s">
        <v>30</v>
      </c>
      <c r="C2375" s="3">
        <v>38638</v>
      </c>
      <c r="D2375" s="3">
        <v>38753</v>
      </c>
      <c r="E2375" t="s">
        <v>17</v>
      </c>
      <c r="F2375">
        <v>33.195</v>
      </c>
      <c r="G2375">
        <v>4415.07</v>
      </c>
      <c r="H2375">
        <v>146558</v>
      </c>
      <c r="I2375" s="4">
        <v>38686</v>
      </c>
      <c r="J2375" s="5">
        <f t="shared" si="74"/>
        <v>-67</v>
      </c>
      <c r="K2375" s="6" t="str">
        <f t="shared" si="75"/>
        <v>A~0</v>
      </c>
      <c r="L2375" t="str">
        <f>IF(J2375&lt;0,"A~0",VLOOKUP(J2375,[1]作法V!$B$1:$C$9,2,TRUE))</f>
        <v>A~0</v>
      </c>
    </row>
    <row r="2376" spans="1:12">
      <c r="A2376">
        <v>1300</v>
      </c>
      <c r="B2376" t="s">
        <v>30</v>
      </c>
      <c r="C2376" s="3">
        <v>38638</v>
      </c>
      <c r="D2376" s="3">
        <v>38753</v>
      </c>
      <c r="E2376" t="s">
        <v>17</v>
      </c>
      <c r="F2376">
        <v>33.195</v>
      </c>
      <c r="G2376">
        <v>17769.7</v>
      </c>
      <c r="H2376">
        <v>589865</v>
      </c>
      <c r="I2376" s="4">
        <v>38686</v>
      </c>
      <c r="J2376" s="5">
        <f t="shared" si="74"/>
        <v>-67</v>
      </c>
      <c r="K2376" s="6" t="str">
        <f t="shared" si="75"/>
        <v>A~0</v>
      </c>
      <c r="L2376" t="str">
        <f>IF(J2376&lt;0,"A~0",VLOOKUP(J2376,[1]作法V!$B$1:$C$9,2,TRUE))</f>
        <v>A~0</v>
      </c>
    </row>
    <row r="2377" spans="1:12">
      <c r="A2377">
        <v>1300</v>
      </c>
      <c r="B2377" t="s">
        <v>30</v>
      </c>
      <c r="C2377" s="3">
        <v>38639</v>
      </c>
      <c r="D2377" s="3">
        <v>38753</v>
      </c>
      <c r="E2377" t="s">
        <v>17</v>
      </c>
      <c r="F2377">
        <v>33.195</v>
      </c>
      <c r="G2377">
        <v>4550</v>
      </c>
      <c r="H2377">
        <v>151037</v>
      </c>
      <c r="I2377" s="4">
        <v>38686</v>
      </c>
      <c r="J2377" s="5">
        <f t="shared" si="74"/>
        <v>-67</v>
      </c>
      <c r="K2377" s="6" t="str">
        <f t="shared" si="75"/>
        <v>A~0</v>
      </c>
      <c r="L2377" t="str">
        <f>IF(J2377&lt;0,"A~0",VLOOKUP(J2377,[1]作法V!$B$1:$C$9,2,TRUE))</f>
        <v>A~0</v>
      </c>
    </row>
    <row r="2378" spans="1:12">
      <c r="A2378">
        <v>1300</v>
      </c>
      <c r="B2378" t="s">
        <v>30</v>
      </c>
      <c r="C2378" s="3">
        <v>38642</v>
      </c>
      <c r="D2378" s="3">
        <v>38753</v>
      </c>
      <c r="E2378" t="s">
        <v>17</v>
      </c>
      <c r="F2378">
        <v>33.195</v>
      </c>
      <c r="G2378">
        <v>1232</v>
      </c>
      <c r="H2378">
        <v>40896</v>
      </c>
      <c r="I2378" s="4">
        <v>38686</v>
      </c>
      <c r="J2378" s="5">
        <f t="shared" si="74"/>
        <v>-67</v>
      </c>
      <c r="K2378" s="6" t="str">
        <f t="shared" si="75"/>
        <v>A~0</v>
      </c>
      <c r="L2378" t="str">
        <f>IF(J2378&lt;0,"A~0",VLOOKUP(J2378,[1]作法V!$B$1:$C$9,2,TRUE))</f>
        <v>A~0</v>
      </c>
    </row>
    <row r="2379" spans="1:12">
      <c r="A2379">
        <v>1300</v>
      </c>
      <c r="B2379" t="s">
        <v>30</v>
      </c>
      <c r="C2379" s="3">
        <v>38642</v>
      </c>
      <c r="D2379" s="3">
        <v>38753</v>
      </c>
      <c r="E2379" t="s">
        <v>17</v>
      </c>
      <c r="F2379">
        <v>33.195</v>
      </c>
      <c r="G2379">
        <v>704</v>
      </c>
      <c r="H2379">
        <v>23369</v>
      </c>
      <c r="I2379" s="4">
        <v>38686</v>
      </c>
      <c r="J2379" s="5">
        <f t="shared" si="74"/>
        <v>-67</v>
      </c>
      <c r="K2379" s="6" t="str">
        <f t="shared" si="75"/>
        <v>A~0</v>
      </c>
      <c r="L2379" t="str">
        <f>IF(J2379&lt;0,"A~0",VLOOKUP(J2379,[1]作法V!$B$1:$C$9,2,TRUE))</f>
        <v>A~0</v>
      </c>
    </row>
    <row r="2380" spans="1:12">
      <c r="A2380">
        <v>1300</v>
      </c>
      <c r="B2380" t="s">
        <v>30</v>
      </c>
      <c r="C2380" s="3">
        <v>38642</v>
      </c>
      <c r="D2380" s="3">
        <v>38753</v>
      </c>
      <c r="E2380" t="s">
        <v>17</v>
      </c>
      <c r="F2380">
        <v>33.195</v>
      </c>
      <c r="G2380">
        <v>1750</v>
      </c>
      <c r="H2380">
        <v>58091</v>
      </c>
      <c r="I2380" s="4">
        <v>38686</v>
      </c>
      <c r="J2380" s="5">
        <f t="shared" si="74"/>
        <v>-67</v>
      </c>
      <c r="K2380" s="6" t="str">
        <f t="shared" si="75"/>
        <v>A~0</v>
      </c>
      <c r="L2380" t="str">
        <f>IF(J2380&lt;0,"A~0",VLOOKUP(J2380,[1]作法V!$B$1:$C$9,2,TRUE))</f>
        <v>A~0</v>
      </c>
    </row>
    <row r="2381" spans="1:12">
      <c r="A2381">
        <v>1300</v>
      </c>
      <c r="B2381" t="s">
        <v>30</v>
      </c>
      <c r="C2381" s="3">
        <v>38642</v>
      </c>
      <c r="D2381" s="3">
        <v>38753</v>
      </c>
      <c r="E2381" t="s">
        <v>17</v>
      </c>
      <c r="F2381">
        <v>33.195</v>
      </c>
      <c r="G2381">
        <v>750</v>
      </c>
      <c r="H2381">
        <v>24896</v>
      </c>
      <c r="I2381" s="4">
        <v>38686</v>
      </c>
      <c r="J2381" s="5">
        <f t="shared" si="74"/>
        <v>-67</v>
      </c>
      <c r="K2381" s="6" t="str">
        <f t="shared" si="75"/>
        <v>A~0</v>
      </c>
      <c r="L2381" t="str">
        <f>IF(J2381&lt;0,"A~0",VLOOKUP(J2381,[1]作法V!$B$1:$C$9,2,TRUE))</f>
        <v>A~0</v>
      </c>
    </row>
    <row r="2382" spans="1:12">
      <c r="A2382">
        <v>1300</v>
      </c>
      <c r="B2382" t="s">
        <v>30</v>
      </c>
      <c r="C2382" s="3">
        <v>38642</v>
      </c>
      <c r="D2382" s="3">
        <v>38753</v>
      </c>
      <c r="E2382" t="s">
        <v>17</v>
      </c>
      <c r="F2382">
        <v>33.195</v>
      </c>
      <c r="G2382">
        <v>15000</v>
      </c>
      <c r="H2382">
        <v>497925</v>
      </c>
      <c r="I2382" s="4">
        <v>38686</v>
      </c>
      <c r="J2382" s="5">
        <f t="shared" si="74"/>
        <v>-67</v>
      </c>
      <c r="K2382" s="6" t="str">
        <f t="shared" si="75"/>
        <v>A~0</v>
      </c>
      <c r="L2382" t="str">
        <f>IF(J2382&lt;0,"A~0",VLOOKUP(J2382,[1]作法V!$B$1:$C$9,2,TRUE))</f>
        <v>A~0</v>
      </c>
    </row>
    <row r="2383" spans="1:12">
      <c r="A2383">
        <v>1300</v>
      </c>
      <c r="B2383" t="s">
        <v>30</v>
      </c>
      <c r="C2383" s="3">
        <v>38642</v>
      </c>
      <c r="D2383" s="3">
        <v>38753</v>
      </c>
      <c r="E2383" t="s">
        <v>17</v>
      </c>
      <c r="F2383">
        <v>33.195</v>
      </c>
      <c r="G2383">
        <v>10360</v>
      </c>
      <c r="H2383">
        <v>343900</v>
      </c>
      <c r="I2383" s="4">
        <v>38686</v>
      </c>
      <c r="J2383" s="5">
        <f t="shared" si="74"/>
        <v>-67</v>
      </c>
      <c r="K2383" s="6" t="str">
        <f t="shared" si="75"/>
        <v>A~0</v>
      </c>
      <c r="L2383" t="str">
        <f>IF(J2383&lt;0,"A~0",VLOOKUP(J2383,[1]作法V!$B$1:$C$9,2,TRUE))</f>
        <v>A~0</v>
      </c>
    </row>
    <row r="2384" spans="1:12">
      <c r="A2384">
        <v>1300</v>
      </c>
      <c r="B2384" t="s">
        <v>30</v>
      </c>
      <c r="C2384" s="3">
        <v>38642</v>
      </c>
      <c r="D2384" s="3">
        <v>38753</v>
      </c>
      <c r="E2384" t="s">
        <v>17</v>
      </c>
      <c r="F2384">
        <v>33.195</v>
      </c>
      <c r="G2384">
        <v>5200</v>
      </c>
      <c r="H2384">
        <v>172614</v>
      </c>
      <c r="I2384" s="4">
        <v>38686</v>
      </c>
      <c r="J2384" s="5">
        <f t="shared" si="74"/>
        <v>-67</v>
      </c>
      <c r="K2384" s="6" t="str">
        <f t="shared" si="75"/>
        <v>A~0</v>
      </c>
      <c r="L2384" t="str">
        <f>IF(J2384&lt;0,"A~0",VLOOKUP(J2384,[1]作法V!$B$1:$C$9,2,TRUE))</f>
        <v>A~0</v>
      </c>
    </row>
    <row r="2385" spans="1:12">
      <c r="A2385">
        <v>1300</v>
      </c>
      <c r="B2385" t="s">
        <v>30</v>
      </c>
      <c r="C2385" s="3">
        <v>38642</v>
      </c>
      <c r="D2385" s="3">
        <v>38753</v>
      </c>
      <c r="E2385" t="s">
        <v>17</v>
      </c>
      <c r="F2385">
        <v>33.195</v>
      </c>
      <c r="G2385">
        <v>3440</v>
      </c>
      <c r="H2385">
        <v>114191</v>
      </c>
      <c r="I2385" s="4">
        <v>38686</v>
      </c>
      <c r="J2385" s="5">
        <f t="shared" si="74"/>
        <v>-67</v>
      </c>
      <c r="K2385" s="6" t="str">
        <f t="shared" si="75"/>
        <v>A~0</v>
      </c>
      <c r="L2385" t="str">
        <f>IF(J2385&lt;0,"A~0",VLOOKUP(J2385,[1]作法V!$B$1:$C$9,2,TRUE))</f>
        <v>A~0</v>
      </c>
    </row>
    <row r="2386" spans="1:12">
      <c r="A2386">
        <v>1300</v>
      </c>
      <c r="B2386" t="s">
        <v>30</v>
      </c>
      <c r="C2386" s="3">
        <v>38642</v>
      </c>
      <c r="D2386" s="3">
        <v>38753</v>
      </c>
      <c r="E2386" t="s">
        <v>17</v>
      </c>
      <c r="F2386">
        <v>33.195</v>
      </c>
      <c r="G2386">
        <v>19497.63</v>
      </c>
      <c r="H2386">
        <v>647224</v>
      </c>
      <c r="I2386" s="4">
        <v>38686</v>
      </c>
      <c r="J2386" s="5">
        <f t="shared" si="74"/>
        <v>-67</v>
      </c>
      <c r="K2386" s="6" t="str">
        <f t="shared" si="75"/>
        <v>A~0</v>
      </c>
      <c r="L2386" t="str">
        <f>IF(J2386&lt;0,"A~0",VLOOKUP(J2386,[1]作法V!$B$1:$C$9,2,TRUE))</f>
        <v>A~0</v>
      </c>
    </row>
    <row r="2387" spans="1:12">
      <c r="A2387">
        <v>1300</v>
      </c>
      <c r="B2387" t="s">
        <v>30</v>
      </c>
      <c r="C2387" s="3">
        <v>38642</v>
      </c>
      <c r="D2387" s="3">
        <v>38753</v>
      </c>
      <c r="E2387" t="s">
        <v>17</v>
      </c>
      <c r="F2387">
        <v>33.195</v>
      </c>
      <c r="G2387">
        <v>2900</v>
      </c>
      <c r="H2387">
        <v>96266</v>
      </c>
      <c r="I2387" s="4">
        <v>38686</v>
      </c>
      <c r="J2387" s="5">
        <f t="shared" si="74"/>
        <v>-67</v>
      </c>
      <c r="K2387" s="6" t="str">
        <f t="shared" si="75"/>
        <v>A~0</v>
      </c>
      <c r="L2387" t="str">
        <f>IF(J2387&lt;0,"A~0",VLOOKUP(J2387,[1]作法V!$B$1:$C$9,2,TRUE))</f>
        <v>A~0</v>
      </c>
    </row>
    <row r="2388" spans="1:12">
      <c r="A2388">
        <v>1300</v>
      </c>
      <c r="B2388" t="s">
        <v>30</v>
      </c>
      <c r="C2388" s="3">
        <v>38646</v>
      </c>
      <c r="D2388" s="3">
        <v>38753</v>
      </c>
      <c r="E2388" t="s">
        <v>17</v>
      </c>
      <c r="F2388">
        <v>33.4</v>
      </c>
      <c r="G2388">
        <v>352</v>
      </c>
      <c r="H2388">
        <v>11757</v>
      </c>
      <c r="I2388" s="4">
        <v>38686</v>
      </c>
      <c r="J2388" s="5">
        <f t="shared" si="74"/>
        <v>-67</v>
      </c>
      <c r="K2388" s="6" t="str">
        <f t="shared" si="75"/>
        <v>A~0</v>
      </c>
      <c r="L2388" t="str">
        <f>IF(J2388&lt;0,"A~0",VLOOKUP(J2388,[1]作法V!$B$1:$C$9,2,TRUE))</f>
        <v>A~0</v>
      </c>
    </row>
    <row r="2389" spans="1:12">
      <c r="A2389">
        <v>1300</v>
      </c>
      <c r="B2389" t="s">
        <v>30</v>
      </c>
      <c r="C2389" s="3">
        <v>38646</v>
      </c>
      <c r="D2389" s="3">
        <v>38753</v>
      </c>
      <c r="E2389" t="s">
        <v>17</v>
      </c>
      <c r="F2389">
        <v>33.4</v>
      </c>
      <c r="G2389">
        <v>880</v>
      </c>
      <c r="H2389">
        <v>29392</v>
      </c>
      <c r="I2389" s="4">
        <v>38686</v>
      </c>
      <c r="J2389" s="5">
        <f t="shared" si="74"/>
        <v>-67</v>
      </c>
      <c r="K2389" s="6" t="str">
        <f t="shared" si="75"/>
        <v>A~0</v>
      </c>
      <c r="L2389" t="str">
        <f>IF(J2389&lt;0,"A~0",VLOOKUP(J2389,[1]作法V!$B$1:$C$9,2,TRUE))</f>
        <v>A~0</v>
      </c>
    </row>
    <row r="2390" spans="1:12">
      <c r="A2390">
        <v>1300</v>
      </c>
      <c r="B2390" t="s">
        <v>30</v>
      </c>
      <c r="C2390" s="3">
        <v>38646</v>
      </c>
      <c r="D2390" s="3">
        <v>38753</v>
      </c>
      <c r="E2390" t="s">
        <v>17</v>
      </c>
      <c r="F2390">
        <v>33.4</v>
      </c>
      <c r="G2390">
        <v>10508</v>
      </c>
      <c r="H2390">
        <v>350967</v>
      </c>
      <c r="I2390" s="4">
        <v>38686</v>
      </c>
      <c r="J2390" s="5">
        <f t="shared" si="74"/>
        <v>-67</v>
      </c>
      <c r="K2390" s="6" t="str">
        <f t="shared" si="75"/>
        <v>A~0</v>
      </c>
      <c r="L2390" t="str">
        <f>IF(J2390&lt;0,"A~0",VLOOKUP(J2390,[1]作法V!$B$1:$C$9,2,TRUE))</f>
        <v>A~0</v>
      </c>
    </row>
    <row r="2391" spans="1:12">
      <c r="A2391">
        <v>1300</v>
      </c>
      <c r="B2391" t="s">
        <v>30</v>
      </c>
      <c r="C2391" s="3">
        <v>38646</v>
      </c>
      <c r="D2391" s="3">
        <v>38753</v>
      </c>
      <c r="E2391" t="s">
        <v>17</v>
      </c>
      <c r="F2391">
        <v>33.4</v>
      </c>
      <c r="G2391">
        <v>21125.74</v>
      </c>
      <c r="H2391">
        <v>705600</v>
      </c>
      <c r="I2391" s="4">
        <v>38686</v>
      </c>
      <c r="J2391" s="5">
        <f t="shared" si="74"/>
        <v>-67</v>
      </c>
      <c r="K2391" s="6" t="str">
        <f t="shared" si="75"/>
        <v>A~0</v>
      </c>
      <c r="L2391" t="str">
        <f>IF(J2391&lt;0,"A~0",VLOOKUP(J2391,[1]作法V!$B$1:$C$9,2,TRUE))</f>
        <v>A~0</v>
      </c>
    </row>
    <row r="2392" spans="1:12">
      <c r="A2392">
        <v>1300</v>
      </c>
      <c r="B2392" t="s">
        <v>30</v>
      </c>
      <c r="C2392" s="3">
        <v>38646</v>
      </c>
      <c r="D2392" s="3">
        <v>38753</v>
      </c>
      <c r="E2392" t="s">
        <v>17</v>
      </c>
      <c r="F2392">
        <v>33.4</v>
      </c>
      <c r="G2392">
        <v>6020.41</v>
      </c>
      <c r="H2392">
        <v>201082</v>
      </c>
      <c r="I2392" s="4">
        <v>38686</v>
      </c>
      <c r="J2392" s="5">
        <f t="shared" si="74"/>
        <v>-67</v>
      </c>
      <c r="K2392" s="6" t="str">
        <f t="shared" si="75"/>
        <v>A~0</v>
      </c>
      <c r="L2392" t="str">
        <f>IF(J2392&lt;0,"A~0",VLOOKUP(J2392,[1]作法V!$B$1:$C$9,2,TRUE))</f>
        <v>A~0</v>
      </c>
    </row>
    <row r="2393" spans="1:12">
      <c r="A2393">
        <v>1300</v>
      </c>
      <c r="B2393" t="s">
        <v>30</v>
      </c>
      <c r="C2393" s="3">
        <v>38649</v>
      </c>
      <c r="D2393" s="3">
        <v>38753</v>
      </c>
      <c r="E2393" t="s">
        <v>17</v>
      </c>
      <c r="F2393">
        <v>33.4</v>
      </c>
      <c r="G2393">
        <v>6127.06</v>
      </c>
      <c r="H2393">
        <v>204644</v>
      </c>
      <c r="I2393" s="4">
        <v>38686</v>
      </c>
      <c r="J2393" s="5">
        <f t="shared" si="74"/>
        <v>-67</v>
      </c>
      <c r="K2393" s="6" t="str">
        <f t="shared" si="75"/>
        <v>A~0</v>
      </c>
      <c r="L2393" t="str">
        <f>IF(J2393&lt;0,"A~0",VLOOKUP(J2393,[1]作法V!$B$1:$C$9,2,TRUE))</f>
        <v>A~0</v>
      </c>
    </row>
    <row r="2394" spans="1:12">
      <c r="A2394">
        <v>1300</v>
      </c>
      <c r="B2394" t="s">
        <v>30</v>
      </c>
      <c r="C2394" s="3">
        <v>38649</v>
      </c>
      <c r="D2394" s="3">
        <v>38753</v>
      </c>
      <c r="E2394" t="s">
        <v>17</v>
      </c>
      <c r="F2394">
        <v>33.4</v>
      </c>
      <c r="G2394">
        <v>2580</v>
      </c>
      <c r="H2394">
        <v>86172</v>
      </c>
      <c r="I2394" s="4">
        <v>38686</v>
      </c>
      <c r="J2394" s="5">
        <f t="shared" si="74"/>
        <v>-67</v>
      </c>
      <c r="K2394" s="6" t="str">
        <f t="shared" si="75"/>
        <v>A~0</v>
      </c>
      <c r="L2394" t="str">
        <f>IF(J2394&lt;0,"A~0",VLOOKUP(J2394,[1]作法V!$B$1:$C$9,2,TRUE))</f>
        <v>A~0</v>
      </c>
    </row>
    <row r="2395" spans="1:12">
      <c r="A2395">
        <v>1300</v>
      </c>
      <c r="B2395" t="s">
        <v>30</v>
      </c>
      <c r="C2395" s="3">
        <v>38651</v>
      </c>
      <c r="D2395" s="3">
        <v>38781</v>
      </c>
      <c r="E2395" t="s">
        <v>17</v>
      </c>
      <c r="F2395">
        <v>33.4</v>
      </c>
      <c r="G2395">
        <v>3395.12</v>
      </c>
      <c r="H2395">
        <v>113397</v>
      </c>
      <c r="I2395" s="4">
        <v>38686</v>
      </c>
      <c r="J2395" s="5">
        <f t="shared" si="74"/>
        <v>-95</v>
      </c>
      <c r="K2395" s="6" t="str">
        <f t="shared" si="75"/>
        <v>A~0</v>
      </c>
      <c r="L2395" t="str">
        <f>IF(J2395&lt;0,"A~0",VLOOKUP(J2395,[1]作法V!$B$1:$C$9,2,TRUE))</f>
        <v>A~0</v>
      </c>
    </row>
    <row r="2396" spans="1:12">
      <c r="A2396">
        <v>1300</v>
      </c>
      <c r="B2396" t="s">
        <v>30</v>
      </c>
      <c r="C2396" s="3">
        <v>38652</v>
      </c>
      <c r="D2396" s="3">
        <v>38781</v>
      </c>
      <c r="E2396" t="s">
        <v>17</v>
      </c>
      <c r="F2396">
        <v>33.4</v>
      </c>
      <c r="G2396">
        <v>352</v>
      </c>
      <c r="H2396">
        <v>11757</v>
      </c>
      <c r="I2396" s="4">
        <v>38686</v>
      </c>
      <c r="J2396" s="5">
        <f t="shared" si="74"/>
        <v>-95</v>
      </c>
      <c r="K2396" s="6" t="str">
        <f t="shared" si="75"/>
        <v>A~0</v>
      </c>
      <c r="L2396" t="str">
        <f>IF(J2396&lt;0,"A~0",VLOOKUP(J2396,[1]作法V!$B$1:$C$9,2,TRUE))</f>
        <v>A~0</v>
      </c>
    </row>
    <row r="2397" spans="1:12">
      <c r="A2397">
        <v>1300</v>
      </c>
      <c r="B2397" t="s">
        <v>30</v>
      </c>
      <c r="C2397" s="3">
        <v>38652</v>
      </c>
      <c r="D2397" s="3">
        <v>38781</v>
      </c>
      <c r="E2397" t="s">
        <v>17</v>
      </c>
      <c r="F2397">
        <v>33.4</v>
      </c>
      <c r="G2397">
        <v>1936</v>
      </c>
      <c r="H2397">
        <v>64662</v>
      </c>
      <c r="I2397" s="4">
        <v>38686</v>
      </c>
      <c r="J2397" s="5">
        <f t="shared" si="74"/>
        <v>-95</v>
      </c>
      <c r="K2397" s="6" t="str">
        <f t="shared" si="75"/>
        <v>A~0</v>
      </c>
      <c r="L2397" t="str">
        <f>IF(J2397&lt;0,"A~0",VLOOKUP(J2397,[1]作法V!$B$1:$C$9,2,TRUE))</f>
        <v>A~0</v>
      </c>
    </row>
    <row r="2398" spans="1:12">
      <c r="A2398">
        <v>1300</v>
      </c>
      <c r="B2398" t="s">
        <v>30</v>
      </c>
      <c r="C2398" s="3">
        <v>38652</v>
      </c>
      <c r="D2398" s="3">
        <v>38781</v>
      </c>
      <c r="E2398" t="s">
        <v>17</v>
      </c>
      <c r="F2398">
        <v>33.4</v>
      </c>
      <c r="G2398">
        <v>3000</v>
      </c>
      <c r="H2398">
        <v>100200</v>
      </c>
      <c r="I2398" s="4">
        <v>38686</v>
      </c>
      <c r="J2398" s="5">
        <f t="shared" si="74"/>
        <v>-95</v>
      </c>
      <c r="K2398" s="6" t="str">
        <f t="shared" si="75"/>
        <v>A~0</v>
      </c>
      <c r="L2398" t="str">
        <f>IF(J2398&lt;0,"A~0",VLOOKUP(J2398,[1]作法V!$B$1:$C$9,2,TRUE))</f>
        <v>A~0</v>
      </c>
    </row>
    <row r="2399" spans="1:12">
      <c r="A2399">
        <v>1300</v>
      </c>
      <c r="B2399" t="s">
        <v>30</v>
      </c>
      <c r="C2399" s="3">
        <v>38652</v>
      </c>
      <c r="D2399" s="3">
        <v>38781</v>
      </c>
      <c r="E2399" t="s">
        <v>17</v>
      </c>
      <c r="F2399">
        <v>33.4</v>
      </c>
      <c r="G2399">
        <v>1500</v>
      </c>
      <c r="H2399">
        <v>50100</v>
      </c>
      <c r="I2399" s="4">
        <v>38686</v>
      </c>
      <c r="J2399" s="5">
        <f t="shared" si="74"/>
        <v>-95</v>
      </c>
      <c r="K2399" s="6" t="str">
        <f t="shared" si="75"/>
        <v>A~0</v>
      </c>
      <c r="L2399" t="str">
        <f>IF(J2399&lt;0,"A~0",VLOOKUP(J2399,[1]作法V!$B$1:$C$9,2,TRUE))</f>
        <v>A~0</v>
      </c>
    </row>
    <row r="2400" spans="1:12">
      <c r="A2400">
        <v>1300</v>
      </c>
      <c r="B2400" t="s">
        <v>30</v>
      </c>
      <c r="C2400" s="3">
        <v>38652</v>
      </c>
      <c r="D2400" s="3">
        <v>38781</v>
      </c>
      <c r="E2400" t="s">
        <v>17</v>
      </c>
      <c r="F2400">
        <v>33.4</v>
      </c>
      <c r="G2400">
        <v>1500</v>
      </c>
      <c r="H2400">
        <v>50100</v>
      </c>
      <c r="I2400" s="4">
        <v>38686</v>
      </c>
      <c r="J2400" s="5">
        <f t="shared" si="74"/>
        <v>-95</v>
      </c>
      <c r="K2400" s="6" t="str">
        <f t="shared" si="75"/>
        <v>A~0</v>
      </c>
      <c r="L2400" t="str">
        <f>IF(J2400&lt;0,"A~0",VLOOKUP(J2400,[1]作法V!$B$1:$C$9,2,TRUE))</f>
        <v>A~0</v>
      </c>
    </row>
    <row r="2401" spans="1:12">
      <c r="A2401">
        <v>1300</v>
      </c>
      <c r="B2401" t="s">
        <v>30</v>
      </c>
      <c r="C2401" s="3">
        <v>38653</v>
      </c>
      <c r="D2401" s="3">
        <v>38781</v>
      </c>
      <c r="E2401" t="s">
        <v>17</v>
      </c>
      <c r="F2401">
        <v>33.4</v>
      </c>
      <c r="G2401">
        <v>4300</v>
      </c>
      <c r="H2401">
        <v>143620</v>
      </c>
      <c r="I2401" s="4">
        <v>38686</v>
      </c>
      <c r="J2401" s="5">
        <f t="shared" si="74"/>
        <v>-95</v>
      </c>
      <c r="K2401" s="6" t="str">
        <f t="shared" si="75"/>
        <v>A~0</v>
      </c>
      <c r="L2401" t="str">
        <f>IF(J2401&lt;0,"A~0",VLOOKUP(J2401,[1]作法V!$B$1:$C$9,2,TRUE))</f>
        <v>A~0</v>
      </c>
    </row>
    <row r="2402" spans="1:12">
      <c r="A2402">
        <v>1300</v>
      </c>
      <c r="B2402" t="s">
        <v>30</v>
      </c>
      <c r="C2402" s="3">
        <v>38656</v>
      </c>
      <c r="D2402" s="3">
        <v>38781</v>
      </c>
      <c r="E2402" t="s">
        <v>17</v>
      </c>
      <c r="F2402">
        <v>33.4</v>
      </c>
      <c r="G2402">
        <v>10320</v>
      </c>
      <c r="H2402">
        <v>344688</v>
      </c>
      <c r="I2402" s="4">
        <v>38686</v>
      </c>
      <c r="J2402" s="5">
        <f t="shared" si="74"/>
        <v>-95</v>
      </c>
      <c r="K2402" s="6" t="str">
        <f t="shared" si="75"/>
        <v>A~0</v>
      </c>
      <c r="L2402" t="str">
        <f>IF(J2402&lt;0,"A~0",VLOOKUP(J2402,[1]作法V!$B$1:$C$9,2,TRUE))</f>
        <v>A~0</v>
      </c>
    </row>
    <row r="2403" spans="1:12">
      <c r="A2403">
        <v>1300</v>
      </c>
      <c r="B2403" t="s">
        <v>30</v>
      </c>
      <c r="C2403" s="3">
        <v>38656</v>
      </c>
      <c r="D2403" s="3">
        <v>38781</v>
      </c>
      <c r="E2403" t="s">
        <v>17</v>
      </c>
      <c r="F2403">
        <v>33.4</v>
      </c>
      <c r="G2403">
        <v>8800</v>
      </c>
      <c r="H2403">
        <v>293920</v>
      </c>
      <c r="I2403" s="4">
        <v>38686</v>
      </c>
      <c r="J2403" s="5">
        <f t="shared" si="74"/>
        <v>-95</v>
      </c>
      <c r="K2403" s="6" t="str">
        <f t="shared" si="75"/>
        <v>A~0</v>
      </c>
      <c r="L2403" t="str">
        <f>IF(J2403&lt;0,"A~0",VLOOKUP(J2403,[1]作法V!$B$1:$C$9,2,TRUE))</f>
        <v>A~0</v>
      </c>
    </row>
    <row r="2404" spans="1:12">
      <c r="A2404">
        <v>1300</v>
      </c>
      <c r="B2404" t="s">
        <v>30</v>
      </c>
      <c r="C2404" s="3">
        <v>38656</v>
      </c>
      <c r="D2404" s="3">
        <v>38781</v>
      </c>
      <c r="E2404" t="s">
        <v>17</v>
      </c>
      <c r="F2404">
        <v>33.4</v>
      </c>
      <c r="G2404">
        <v>325</v>
      </c>
      <c r="H2404">
        <v>10855</v>
      </c>
      <c r="I2404" s="4">
        <v>38686</v>
      </c>
      <c r="J2404" s="5">
        <f t="shared" si="74"/>
        <v>-95</v>
      </c>
      <c r="K2404" s="6" t="str">
        <f t="shared" si="75"/>
        <v>A~0</v>
      </c>
      <c r="L2404" t="str">
        <f>IF(J2404&lt;0,"A~0",VLOOKUP(J2404,[1]作法V!$B$1:$C$9,2,TRUE))</f>
        <v>A~0</v>
      </c>
    </row>
    <row r="2405" spans="1:12">
      <c r="A2405">
        <v>1300</v>
      </c>
      <c r="B2405" t="s">
        <v>30</v>
      </c>
      <c r="C2405" s="3">
        <v>38658</v>
      </c>
      <c r="D2405" s="3">
        <v>38781</v>
      </c>
      <c r="E2405" t="s">
        <v>17</v>
      </c>
      <c r="F2405">
        <v>33.715000000000003</v>
      </c>
      <c r="G2405">
        <v>4300</v>
      </c>
      <c r="H2405">
        <v>144975</v>
      </c>
      <c r="I2405" s="4">
        <v>38686</v>
      </c>
      <c r="J2405" s="5">
        <f t="shared" si="74"/>
        <v>-95</v>
      </c>
      <c r="K2405" s="6" t="str">
        <f t="shared" si="75"/>
        <v>A~0</v>
      </c>
      <c r="L2405" t="str">
        <f>IF(J2405&lt;0,"A~0",VLOOKUP(J2405,[1]作法V!$B$1:$C$9,2,TRUE))</f>
        <v>A~0</v>
      </c>
    </row>
    <row r="2406" spans="1:12">
      <c r="A2406">
        <v>1300</v>
      </c>
      <c r="B2406" t="s">
        <v>30</v>
      </c>
      <c r="C2406" s="3">
        <v>38660</v>
      </c>
      <c r="D2406" s="3">
        <v>38781</v>
      </c>
      <c r="E2406" t="s">
        <v>17</v>
      </c>
      <c r="F2406">
        <v>33.715000000000003</v>
      </c>
      <c r="G2406">
        <v>10510.71</v>
      </c>
      <c r="H2406">
        <v>354369</v>
      </c>
      <c r="I2406" s="4">
        <v>38686</v>
      </c>
      <c r="J2406" s="5">
        <f t="shared" si="74"/>
        <v>-95</v>
      </c>
      <c r="K2406" s="6" t="str">
        <f t="shared" si="75"/>
        <v>A~0</v>
      </c>
      <c r="L2406" t="str">
        <f>IF(J2406&lt;0,"A~0",VLOOKUP(J2406,[1]作法V!$B$1:$C$9,2,TRUE))</f>
        <v>A~0</v>
      </c>
    </row>
    <row r="2407" spans="1:12">
      <c r="A2407">
        <v>1300</v>
      </c>
      <c r="B2407" t="s">
        <v>30</v>
      </c>
      <c r="C2407" s="3">
        <v>38660</v>
      </c>
      <c r="D2407" s="3">
        <v>38781</v>
      </c>
      <c r="E2407" t="s">
        <v>17</v>
      </c>
      <c r="F2407">
        <v>33.715000000000003</v>
      </c>
      <c r="G2407">
        <v>2600</v>
      </c>
      <c r="H2407">
        <v>87659</v>
      </c>
      <c r="I2407" s="4">
        <v>38686</v>
      </c>
      <c r="J2407" s="5">
        <f t="shared" si="74"/>
        <v>-95</v>
      </c>
      <c r="K2407" s="6" t="str">
        <f t="shared" si="75"/>
        <v>A~0</v>
      </c>
      <c r="L2407" t="str">
        <f>IF(J2407&lt;0,"A~0",VLOOKUP(J2407,[1]作法V!$B$1:$C$9,2,TRUE))</f>
        <v>A~0</v>
      </c>
    </row>
    <row r="2408" spans="1:12">
      <c r="A2408">
        <v>1300</v>
      </c>
      <c r="B2408" t="s">
        <v>30</v>
      </c>
      <c r="C2408" s="3">
        <v>38663</v>
      </c>
      <c r="D2408" s="3">
        <v>38781</v>
      </c>
      <c r="E2408" t="s">
        <v>17</v>
      </c>
      <c r="F2408">
        <v>33.715000000000003</v>
      </c>
      <c r="G2408">
        <v>12675</v>
      </c>
      <c r="H2408">
        <v>427338</v>
      </c>
      <c r="I2408" s="4">
        <v>38686</v>
      </c>
      <c r="J2408" s="5">
        <f t="shared" si="74"/>
        <v>-95</v>
      </c>
      <c r="K2408" s="6" t="str">
        <f t="shared" si="75"/>
        <v>A~0</v>
      </c>
      <c r="L2408" t="str">
        <f>IF(J2408&lt;0,"A~0",VLOOKUP(J2408,[1]作法V!$B$1:$C$9,2,TRUE))</f>
        <v>A~0</v>
      </c>
    </row>
    <row r="2409" spans="1:12">
      <c r="A2409">
        <v>1300</v>
      </c>
      <c r="B2409" t="s">
        <v>30</v>
      </c>
      <c r="C2409" s="3">
        <v>38663</v>
      </c>
      <c r="D2409" s="3">
        <v>38781</v>
      </c>
      <c r="E2409" t="s">
        <v>17</v>
      </c>
      <c r="F2409">
        <v>33.715000000000003</v>
      </c>
      <c r="G2409">
        <v>574.28</v>
      </c>
      <c r="H2409">
        <v>19362</v>
      </c>
      <c r="I2409" s="4">
        <v>38686</v>
      </c>
      <c r="J2409" s="5">
        <f t="shared" si="74"/>
        <v>-95</v>
      </c>
      <c r="K2409" s="6" t="str">
        <f t="shared" si="75"/>
        <v>A~0</v>
      </c>
      <c r="L2409" t="str">
        <f>IF(J2409&lt;0,"A~0",VLOOKUP(J2409,[1]作法V!$B$1:$C$9,2,TRUE))</f>
        <v>A~0</v>
      </c>
    </row>
    <row r="2410" spans="1:12">
      <c r="A2410">
        <v>1300</v>
      </c>
      <c r="B2410" t="s">
        <v>30</v>
      </c>
      <c r="C2410" s="3">
        <v>38664</v>
      </c>
      <c r="D2410" s="3">
        <v>38781</v>
      </c>
      <c r="E2410" t="s">
        <v>17</v>
      </c>
      <c r="F2410">
        <v>33.715000000000003</v>
      </c>
      <c r="G2410">
        <v>1936</v>
      </c>
      <c r="H2410">
        <v>65272</v>
      </c>
      <c r="I2410" s="4">
        <v>38686</v>
      </c>
      <c r="J2410" s="5">
        <f t="shared" si="74"/>
        <v>-95</v>
      </c>
      <c r="K2410" s="6" t="str">
        <f t="shared" si="75"/>
        <v>A~0</v>
      </c>
      <c r="L2410" t="str">
        <f>IF(J2410&lt;0,"A~0",VLOOKUP(J2410,[1]作法V!$B$1:$C$9,2,TRUE))</f>
        <v>A~0</v>
      </c>
    </row>
    <row r="2411" spans="1:12">
      <c r="A2411">
        <v>1300</v>
      </c>
      <c r="B2411" t="s">
        <v>30</v>
      </c>
      <c r="C2411" s="3">
        <v>38664</v>
      </c>
      <c r="D2411" s="3">
        <v>38781</v>
      </c>
      <c r="E2411" t="s">
        <v>17</v>
      </c>
      <c r="F2411">
        <v>33.715000000000003</v>
      </c>
      <c r="G2411">
        <v>42</v>
      </c>
      <c r="H2411">
        <v>1416</v>
      </c>
      <c r="I2411" s="4">
        <v>38686</v>
      </c>
      <c r="J2411" s="5">
        <f t="shared" si="74"/>
        <v>-95</v>
      </c>
      <c r="K2411" s="6" t="str">
        <f t="shared" si="75"/>
        <v>A~0</v>
      </c>
      <c r="L2411" t="str">
        <f>IF(J2411&lt;0,"A~0",VLOOKUP(J2411,[1]作法V!$B$1:$C$9,2,TRUE))</f>
        <v>A~0</v>
      </c>
    </row>
    <row r="2412" spans="1:12">
      <c r="A2412">
        <v>1300</v>
      </c>
      <c r="B2412" t="s">
        <v>30</v>
      </c>
      <c r="C2412" s="3">
        <v>38664</v>
      </c>
      <c r="D2412" s="3">
        <v>38781</v>
      </c>
      <c r="E2412" t="s">
        <v>17</v>
      </c>
      <c r="F2412">
        <v>33.715000000000003</v>
      </c>
      <c r="G2412">
        <v>1250</v>
      </c>
      <c r="H2412">
        <v>42144</v>
      </c>
      <c r="I2412" s="4">
        <v>38686</v>
      </c>
      <c r="J2412" s="5">
        <f t="shared" si="74"/>
        <v>-95</v>
      </c>
      <c r="K2412" s="6" t="str">
        <f t="shared" si="75"/>
        <v>A~0</v>
      </c>
      <c r="L2412" t="str">
        <f>IF(J2412&lt;0,"A~0",VLOOKUP(J2412,[1]作法V!$B$1:$C$9,2,TRUE))</f>
        <v>A~0</v>
      </c>
    </row>
    <row r="2413" spans="1:12">
      <c r="A2413">
        <v>1300</v>
      </c>
      <c r="B2413" t="s">
        <v>30</v>
      </c>
      <c r="C2413" s="3">
        <v>38664</v>
      </c>
      <c r="D2413" s="3">
        <v>38781</v>
      </c>
      <c r="E2413" t="s">
        <v>17</v>
      </c>
      <c r="F2413">
        <v>33.715000000000003</v>
      </c>
      <c r="G2413">
        <v>2500</v>
      </c>
      <c r="H2413">
        <v>84288</v>
      </c>
      <c r="I2413" s="4">
        <v>38686</v>
      </c>
      <c r="J2413" s="5">
        <f t="shared" si="74"/>
        <v>-95</v>
      </c>
      <c r="K2413" s="6" t="str">
        <f t="shared" si="75"/>
        <v>A~0</v>
      </c>
      <c r="L2413" t="str">
        <f>IF(J2413&lt;0,"A~0",VLOOKUP(J2413,[1]作法V!$B$1:$C$9,2,TRUE))</f>
        <v>A~0</v>
      </c>
    </row>
    <row r="2414" spans="1:12">
      <c r="A2414">
        <v>1300</v>
      </c>
      <c r="B2414" t="s">
        <v>30</v>
      </c>
      <c r="C2414" s="3">
        <v>38664</v>
      </c>
      <c r="D2414" s="3">
        <v>38781</v>
      </c>
      <c r="E2414" t="s">
        <v>17</v>
      </c>
      <c r="F2414">
        <v>33.715000000000003</v>
      </c>
      <c r="G2414">
        <v>412.5</v>
      </c>
      <c r="H2414">
        <v>13907</v>
      </c>
      <c r="I2414" s="4">
        <v>38686</v>
      </c>
      <c r="J2414" s="5">
        <f t="shared" si="74"/>
        <v>-95</v>
      </c>
      <c r="K2414" s="6" t="str">
        <f t="shared" si="75"/>
        <v>A~0</v>
      </c>
      <c r="L2414" t="str">
        <f>IF(J2414&lt;0,"A~0",VLOOKUP(J2414,[1]作法V!$B$1:$C$9,2,TRUE))</f>
        <v>A~0</v>
      </c>
    </row>
    <row r="2415" spans="1:12">
      <c r="A2415">
        <v>1300</v>
      </c>
      <c r="B2415" t="s">
        <v>30</v>
      </c>
      <c r="C2415" s="3">
        <v>38664</v>
      </c>
      <c r="D2415" s="3">
        <v>38781</v>
      </c>
      <c r="E2415" t="s">
        <v>17</v>
      </c>
      <c r="F2415">
        <v>33.715000000000003</v>
      </c>
      <c r="G2415">
        <v>880</v>
      </c>
      <c r="H2415">
        <v>29669</v>
      </c>
      <c r="I2415" s="4">
        <v>38686</v>
      </c>
      <c r="J2415" s="5">
        <f t="shared" si="74"/>
        <v>-95</v>
      </c>
      <c r="K2415" s="6" t="str">
        <f t="shared" si="75"/>
        <v>A~0</v>
      </c>
      <c r="L2415" t="str">
        <f>IF(J2415&lt;0,"A~0",VLOOKUP(J2415,[1]作法V!$B$1:$C$9,2,TRUE))</f>
        <v>A~0</v>
      </c>
    </row>
    <row r="2416" spans="1:12">
      <c r="A2416">
        <v>1300</v>
      </c>
      <c r="B2416" t="s">
        <v>30</v>
      </c>
      <c r="C2416" s="3">
        <v>38664</v>
      </c>
      <c r="D2416" s="3">
        <v>38781</v>
      </c>
      <c r="E2416" t="s">
        <v>17</v>
      </c>
      <c r="F2416">
        <v>33.715000000000003</v>
      </c>
      <c r="G2416">
        <v>2250</v>
      </c>
      <c r="H2416">
        <v>75859</v>
      </c>
      <c r="I2416" s="4">
        <v>38686</v>
      </c>
      <c r="J2416" s="5">
        <f t="shared" si="74"/>
        <v>-95</v>
      </c>
      <c r="K2416" s="6" t="str">
        <f t="shared" si="75"/>
        <v>A~0</v>
      </c>
      <c r="L2416" t="str">
        <f>IF(J2416&lt;0,"A~0",VLOOKUP(J2416,[1]作法V!$B$1:$C$9,2,TRUE))</f>
        <v>A~0</v>
      </c>
    </row>
    <row r="2417" spans="1:12">
      <c r="A2417">
        <v>1300</v>
      </c>
      <c r="B2417" t="s">
        <v>30</v>
      </c>
      <c r="C2417" s="3">
        <v>38665</v>
      </c>
      <c r="D2417" s="3">
        <v>38781</v>
      </c>
      <c r="E2417" t="s">
        <v>17</v>
      </c>
      <c r="F2417">
        <v>33.715000000000003</v>
      </c>
      <c r="G2417">
        <v>46483.61</v>
      </c>
      <c r="H2417">
        <v>1567195</v>
      </c>
      <c r="I2417" s="4">
        <v>38686</v>
      </c>
      <c r="J2417" s="5">
        <f t="shared" si="74"/>
        <v>-95</v>
      </c>
      <c r="K2417" s="6" t="str">
        <f t="shared" si="75"/>
        <v>A~0</v>
      </c>
      <c r="L2417" t="str">
        <f>IF(J2417&lt;0,"A~0",VLOOKUP(J2417,[1]作法V!$B$1:$C$9,2,TRUE))</f>
        <v>A~0</v>
      </c>
    </row>
    <row r="2418" spans="1:12">
      <c r="A2418">
        <v>1300</v>
      </c>
      <c r="B2418" t="s">
        <v>30</v>
      </c>
      <c r="C2418" s="3">
        <v>38667</v>
      </c>
      <c r="D2418" s="3">
        <v>38781</v>
      </c>
      <c r="E2418" t="s">
        <v>17</v>
      </c>
      <c r="F2418">
        <v>33.634999999999998</v>
      </c>
      <c r="G2418">
        <v>1492.06</v>
      </c>
      <c r="H2418">
        <v>50185</v>
      </c>
      <c r="I2418" s="4">
        <v>38686</v>
      </c>
      <c r="J2418" s="5">
        <f t="shared" si="74"/>
        <v>-95</v>
      </c>
      <c r="K2418" s="6" t="str">
        <f t="shared" si="75"/>
        <v>A~0</v>
      </c>
      <c r="L2418" t="str">
        <f>IF(J2418&lt;0,"A~0",VLOOKUP(J2418,[1]作法V!$B$1:$C$9,2,TRUE))</f>
        <v>A~0</v>
      </c>
    </row>
    <row r="2419" spans="1:12">
      <c r="A2419">
        <v>1300</v>
      </c>
      <c r="B2419" t="s">
        <v>30</v>
      </c>
      <c r="C2419" s="3">
        <v>38667</v>
      </c>
      <c r="D2419" s="3">
        <v>38781</v>
      </c>
      <c r="E2419" t="s">
        <v>17</v>
      </c>
      <c r="F2419">
        <v>33.634999999999998</v>
      </c>
      <c r="G2419">
        <v>746.03</v>
      </c>
      <c r="H2419">
        <v>25093</v>
      </c>
      <c r="I2419" s="4">
        <v>38686</v>
      </c>
      <c r="J2419" s="5">
        <f t="shared" si="74"/>
        <v>-95</v>
      </c>
      <c r="K2419" s="6" t="str">
        <f t="shared" si="75"/>
        <v>A~0</v>
      </c>
      <c r="L2419" t="str">
        <f>IF(J2419&lt;0,"A~0",VLOOKUP(J2419,[1]作法V!$B$1:$C$9,2,TRUE))</f>
        <v>A~0</v>
      </c>
    </row>
    <row r="2420" spans="1:12">
      <c r="A2420">
        <v>1300</v>
      </c>
      <c r="B2420" t="s">
        <v>30</v>
      </c>
      <c r="C2420" s="3">
        <v>38671</v>
      </c>
      <c r="D2420" s="3">
        <v>38781</v>
      </c>
      <c r="E2420" t="s">
        <v>17</v>
      </c>
      <c r="F2420">
        <v>33.634999999999998</v>
      </c>
      <c r="G2420">
        <v>396.83</v>
      </c>
      <c r="H2420">
        <v>13347</v>
      </c>
      <c r="I2420" s="4">
        <v>38686</v>
      </c>
      <c r="J2420" s="5">
        <f t="shared" si="74"/>
        <v>-95</v>
      </c>
      <c r="K2420" s="6" t="str">
        <f t="shared" si="75"/>
        <v>A~0</v>
      </c>
      <c r="L2420" t="str">
        <f>IF(J2420&lt;0,"A~0",VLOOKUP(J2420,[1]作法V!$B$1:$C$9,2,TRUE))</f>
        <v>A~0</v>
      </c>
    </row>
    <row r="2421" spans="1:12">
      <c r="A2421">
        <v>1300</v>
      </c>
      <c r="B2421" t="s">
        <v>30</v>
      </c>
      <c r="C2421" s="3">
        <v>38671</v>
      </c>
      <c r="D2421" s="3">
        <v>38781</v>
      </c>
      <c r="E2421" t="s">
        <v>17</v>
      </c>
      <c r="F2421">
        <v>33.634999999999998</v>
      </c>
      <c r="G2421">
        <v>396.83</v>
      </c>
      <c r="H2421">
        <v>13347</v>
      </c>
      <c r="I2421" s="4">
        <v>38686</v>
      </c>
      <c r="J2421" s="5">
        <f t="shared" si="74"/>
        <v>-95</v>
      </c>
      <c r="K2421" s="6" t="str">
        <f t="shared" si="75"/>
        <v>A~0</v>
      </c>
      <c r="L2421" t="str">
        <f>IF(J2421&lt;0,"A~0",VLOOKUP(J2421,[1]作法V!$B$1:$C$9,2,TRUE))</f>
        <v>A~0</v>
      </c>
    </row>
    <row r="2422" spans="1:12">
      <c r="A2422">
        <v>1300</v>
      </c>
      <c r="B2422" t="s">
        <v>30</v>
      </c>
      <c r="C2422" s="3">
        <v>38671</v>
      </c>
      <c r="D2422" s="3">
        <v>38781</v>
      </c>
      <c r="E2422" t="s">
        <v>17</v>
      </c>
      <c r="F2422">
        <v>33.634999999999998</v>
      </c>
      <c r="G2422">
        <v>396.83</v>
      </c>
      <c r="H2422">
        <v>13347</v>
      </c>
      <c r="I2422" s="4">
        <v>38686</v>
      </c>
      <c r="J2422" s="5">
        <f t="shared" si="74"/>
        <v>-95</v>
      </c>
      <c r="K2422" s="6" t="str">
        <f t="shared" si="75"/>
        <v>A~0</v>
      </c>
      <c r="L2422" t="str">
        <f>IF(J2422&lt;0,"A~0",VLOOKUP(J2422,[1]作法V!$B$1:$C$9,2,TRUE))</f>
        <v>A~0</v>
      </c>
    </row>
    <row r="2423" spans="1:12">
      <c r="A2423">
        <v>1300</v>
      </c>
      <c r="B2423" t="s">
        <v>30</v>
      </c>
      <c r="C2423" s="3">
        <v>38672</v>
      </c>
      <c r="D2423" s="3">
        <v>38781</v>
      </c>
      <c r="E2423" t="s">
        <v>17</v>
      </c>
      <c r="F2423">
        <v>33.634999999999998</v>
      </c>
      <c r="G2423">
        <v>4000</v>
      </c>
      <c r="H2423">
        <v>134540</v>
      </c>
      <c r="I2423" s="4">
        <v>38686</v>
      </c>
      <c r="J2423" s="5">
        <f t="shared" si="74"/>
        <v>-95</v>
      </c>
      <c r="K2423" s="6" t="str">
        <f t="shared" si="75"/>
        <v>A~0</v>
      </c>
      <c r="L2423" t="str">
        <f>IF(J2423&lt;0,"A~0",VLOOKUP(J2423,[1]作法V!$B$1:$C$9,2,TRUE))</f>
        <v>A~0</v>
      </c>
    </row>
    <row r="2424" spans="1:12">
      <c r="A2424">
        <v>1300</v>
      </c>
      <c r="B2424" t="s">
        <v>30</v>
      </c>
      <c r="C2424" s="3">
        <v>38672</v>
      </c>
      <c r="D2424" s="3">
        <v>38781</v>
      </c>
      <c r="E2424" t="s">
        <v>17</v>
      </c>
      <c r="F2424">
        <v>33.634999999999998</v>
      </c>
      <c r="G2424">
        <v>500</v>
      </c>
      <c r="H2424">
        <v>16818</v>
      </c>
      <c r="I2424" s="4">
        <v>38686</v>
      </c>
      <c r="J2424" s="5">
        <f t="shared" si="74"/>
        <v>-95</v>
      </c>
      <c r="K2424" s="6" t="str">
        <f t="shared" si="75"/>
        <v>A~0</v>
      </c>
      <c r="L2424" t="str">
        <f>IF(J2424&lt;0,"A~0",VLOOKUP(J2424,[1]作法V!$B$1:$C$9,2,TRUE))</f>
        <v>A~0</v>
      </c>
    </row>
    <row r="2425" spans="1:12">
      <c r="A2425">
        <v>1300</v>
      </c>
      <c r="B2425" t="s">
        <v>30</v>
      </c>
      <c r="C2425" s="3">
        <v>38672</v>
      </c>
      <c r="D2425" s="3">
        <v>38781</v>
      </c>
      <c r="E2425" t="s">
        <v>17</v>
      </c>
      <c r="F2425">
        <v>33.634999999999998</v>
      </c>
      <c r="G2425">
        <v>1492.06</v>
      </c>
      <c r="H2425">
        <v>50185</v>
      </c>
      <c r="I2425" s="4">
        <v>38686</v>
      </c>
      <c r="J2425" s="5">
        <f t="shared" si="74"/>
        <v>-95</v>
      </c>
      <c r="K2425" s="6" t="str">
        <f t="shared" si="75"/>
        <v>A~0</v>
      </c>
      <c r="L2425" t="str">
        <f>IF(J2425&lt;0,"A~0",VLOOKUP(J2425,[1]作法V!$B$1:$C$9,2,TRUE))</f>
        <v>A~0</v>
      </c>
    </row>
    <row r="2426" spans="1:12">
      <c r="A2426">
        <v>1300</v>
      </c>
      <c r="B2426" t="s">
        <v>30</v>
      </c>
      <c r="C2426" s="3">
        <v>38674</v>
      </c>
      <c r="D2426" s="3">
        <v>38781</v>
      </c>
      <c r="E2426" t="s">
        <v>17</v>
      </c>
      <c r="F2426">
        <v>33.634999999999998</v>
      </c>
      <c r="G2426">
        <v>302.39999999999998</v>
      </c>
      <c r="H2426">
        <v>10171</v>
      </c>
      <c r="I2426" s="4">
        <v>38686</v>
      </c>
      <c r="J2426" s="5">
        <f t="shared" si="74"/>
        <v>-95</v>
      </c>
      <c r="K2426" s="6" t="str">
        <f t="shared" si="75"/>
        <v>A~0</v>
      </c>
      <c r="L2426" t="str">
        <f>IF(J2426&lt;0,"A~0",VLOOKUP(J2426,[1]作法V!$B$1:$C$9,2,TRUE))</f>
        <v>A~0</v>
      </c>
    </row>
    <row r="2427" spans="1:12">
      <c r="A2427">
        <v>1300</v>
      </c>
      <c r="B2427" t="s">
        <v>30</v>
      </c>
      <c r="C2427" s="3">
        <v>38674</v>
      </c>
      <c r="D2427" s="3">
        <v>38781</v>
      </c>
      <c r="E2427" t="s">
        <v>17</v>
      </c>
      <c r="F2427">
        <v>33.634999999999998</v>
      </c>
      <c r="G2427">
        <v>4900</v>
      </c>
      <c r="H2427">
        <v>164812</v>
      </c>
      <c r="I2427" s="4">
        <v>38686</v>
      </c>
      <c r="J2427" s="5">
        <f t="shared" si="74"/>
        <v>-95</v>
      </c>
      <c r="K2427" s="6" t="str">
        <f t="shared" si="75"/>
        <v>A~0</v>
      </c>
      <c r="L2427" t="str">
        <f>IF(J2427&lt;0,"A~0",VLOOKUP(J2427,[1]作法V!$B$1:$C$9,2,TRUE))</f>
        <v>A~0</v>
      </c>
    </row>
    <row r="2428" spans="1:12">
      <c r="A2428">
        <v>1300</v>
      </c>
      <c r="B2428" t="s">
        <v>30</v>
      </c>
      <c r="C2428" s="3">
        <v>38677</v>
      </c>
      <c r="D2428" s="3">
        <v>38781</v>
      </c>
      <c r="E2428" t="s">
        <v>17</v>
      </c>
      <c r="F2428">
        <v>33.409999999999997</v>
      </c>
      <c r="G2428">
        <v>9800</v>
      </c>
      <c r="H2428">
        <v>327418</v>
      </c>
      <c r="I2428" s="4">
        <v>38686</v>
      </c>
      <c r="J2428" s="5">
        <f t="shared" si="74"/>
        <v>-95</v>
      </c>
      <c r="K2428" s="6" t="str">
        <f t="shared" si="75"/>
        <v>A~0</v>
      </c>
      <c r="L2428" t="str">
        <f>IF(J2428&lt;0,"A~0",VLOOKUP(J2428,[1]作法V!$B$1:$C$9,2,TRUE))</f>
        <v>A~0</v>
      </c>
    </row>
    <row r="2429" spans="1:12">
      <c r="A2429">
        <v>1300</v>
      </c>
      <c r="B2429" t="s">
        <v>30</v>
      </c>
      <c r="C2429" s="3">
        <v>38677</v>
      </c>
      <c r="D2429" s="3">
        <v>38781</v>
      </c>
      <c r="E2429" t="s">
        <v>17</v>
      </c>
      <c r="F2429">
        <v>33.409999999999997</v>
      </c>
      <c r="G2429">
        <v>4900</v>
      </c>
      <c r="H2429">
        <v>163709</v>
      </c>
      <c r="I2429" s="4">
        <v>38686</v>
      </c>
      <c r="J2429" s="5">
        <f t="shared" si="74"/>
        <v>-95</v>
      </c>
      <c r="K2429" s="6" t="str">
        <f t="shared" si="75"/>
        <v>A~0</v>
      </c>
      <c r="L2429" t="str">
        <f>IF(J2429&lt;0,"A~0",VLOOKUP(J2429,[1]作法V!$B$1:$C$9,2,TRUE))</f>
        <v>A~0</v>
      </c>
    </row>
    <row r="2430" spans="1:12">
      <c r="A2430">
        <v>1300</v>
      </c>
      <c r="B2430" t="s">
        <v>30</v>
      </c>
      <c r="C2430" s="3">
        <v>38679</v>
      </c>
      <c r="D2430" s="3">
        <v>38781</v>
      </c>
      <c r="E2430" t="s">
        <v>17</v>
      </c>
      <c r="F2430">
        <v>33.409999999999997</v>
      </c>
      <c r="G2430">
        <v>704</v>
      </c>
      <c r="H2430">
        <v>23521</v>
      </c>
      <c r="I2430" s="4">
        <v>38686</v>
      </c>
      <c r="J2430" s="5">
        <f t="shared" si="74"/>
        <v>-95</v>
      </c>
      <c r="K2430" s="6" t="str">
        <f t="shared" si="75"/>
        <v>A~0</v>
      </c>
      <c r="L2430" t="str">
        <f>IF(J2430&lt;0,"A~0",VLOOKUP(J2430,[1]作法V!$B$1:$C$9,2,TRUE))</f>
        <v>A~0</v>
      </c>
    </row>
    <row r="2431" spans="1:12">
      <c r="A2431">
        <v>1300</v>
      </c>
      <c r="B2431" t="s">
        <v>30</v>
      </c>
      <c r="C2431" s="3">
        <v>38679</v>
      </c>
      <c r="D2431" s="3">
        <v>38781</v>
      </c>
      <c r="E2431" t="s">
        <v>17</v>
      </c>
      <c r="F2431">
        <v>33.409999999999997</v>
      </c>
      <c r="G2431">
        <v>1760</v>
      </c>
      <c r="H2431">
        <v>58802</v>
      </c>
      <c r="I2431" s="4">
        <v>38686</v>
      </c>
      <c r="J2431" s="5">
        <f t="shared" si="74"/>
        <v>-95</v>
      </c>
      <c r="K2431" s="6" t="str">
        <f t="shared" si="75"/>
        <v>A~0</v>
      </c>
      <c r="L2431" t="str">
        <f>IF(J2431&lt;0,"A~0",VLOOKUP(J2431,[1]作法V!$B$1:$C$9,2,TRUE))</f>
        <v>A~0</v>
      </c>
    </row>
    <row r="2432" spans="1:12">
      <c r="A2432">
        <v>1300</v>
      </c>
      <c r="B2432" t="s">
        <v>30</v>
      </c>
      <c r="C2432" s="3">
        <v>38679</v>
      </c>
      <c r="D2432" s="3">
        <v>38781</v>
      </c>
      <c r="E2432" t="s">
        <v>17</v>
      </c>
      <c r="F2432">
        <v>33.409999999999997</v>
      </c>
      <c r="G2432">
        <v>13.44</v>
      </c>
      <c r="H2432">
        <v>449</v>
      </c>
      <c r="I2432" s="4">
        <v>38686</v>
      </c>
      <c r="J2432" s="5">
        <f t="shared" si="74"/>
        <v>-95</v>
      </c>
      <c r="K2432" s="6" t="str">
        <f t="shared" si="75"/>
        <v>A~0</v>
      </c>
      <c r="L2432" t="str">
        <f>IF(J2432&lt;0,"A~0",VLOOKUP(J2432,[1]作法V!$B$1:$C$9,2,TRUE))</f>
        <v>A~0</v>
      </c>
    </row>
    <row r="2433" spans="1:12">
      <c r="A2433">
        <v>1300</v>
      </c>
      <c r="B2433" t="s">
        <v>30</v>
      </c>
      <c r="C2433" s="3">
        <v>38679</v>
      </c>
      <c r="D2433" s="3">
        <v>38781</v>
      </c>
      <c r="E2433" t="s">
        <v>17</v>
      </c>
      <c r="F2433">
        <v>33.409999999999997</v>
      </c>
      <c r="G2433">
        <v>5.04</v>
      </c>
      <c r="H2433">
        <v>168</v>
      </c>
      <c r="I2433" s="4">
        <v>38686</v>
      </c>
      <c r="J2433" s="5">
        <f t="shared" si="74"/>
        <v>-95</v>
      </c>
      <c r="K2433" s="6" t="str">
        <f t="shared" si="75"/>
        <v>A~0</v>
      </c>
      <c r="L2433" t="str">
        <f>IF(J2433&lt;0,"A~0",VLOOKUP(J2433,[1]作法V!$B$1:$C$9,2,TRUE))</f>
        <v>A~0</v>
      </c>
    </row>
    <row r="2434" spans="1:12">
      <c r="A2434">
        <v>1300</v>
      </c>
      <c r="B2434" t="s">
        <v>30</v>
      </c>
      <c r="C2434" s="3">
        <v>38679</v>
      </c>
      <c r="D2434" s="3">
        <v>38781</v>
      </c>
      <c r="E2434" t="s">
        <v>17</v>
      </c>
      <c r="F2434">
        <v>33.409999999999997</v>
      </c>
      <c r="G2434">
        <v>15.75</v>
      </c>
      <c r="H2434">
        <v>526</v>
      </c>
      <c r="I2434" s="4">
        <v>38686</v>
      </c>
      <c r="J2434" s="5">
        <f t="shared" ref="J2434:J2497" si="76">I2434-D2434</f>
        <v>-95</v>
      </c>
      <c r="K2434" s="6" t="str">
        <f t="shared" ref="K2434:K2497" si="77">IF(J2434&lt;1,"A~0",IF(J2434&lt;31,"B1~30",IF(J2434&lt;61,"C31~60",IF(J2434&lt;91,"D61~90",IF(J2434&lt;121,"E91~120",IF(J2434&lt;181,"F121~180",IF(J2434&lt;361,"G181~360","H361~")))))))</f>
        <v>A~0</v>
      </c>
      <c r="L2434" t="str">
        <f>IF(J2434&lt;0,"A~0",VLOOKUP(J2434,[1]作法V!$B$1:$C$9,2,TRUE))</f>
        <v>A~0</v>
      </c>
    </row>
    <row r="2435" spans="1:12">
      <c r="A2435">
        <v>1300</v>
      </c>
      <c r="B2435" t="s">
        <v>30</v>
      </c>
      <c r="C2435" s="3">
        <v>38679</v>
      </c>
      <c r="D2435" s="3">
        <v>38781</v>
      </c>
      <c r="E2435" t="s">
        <v>17</v>
      </c>
      <c r="F2435">
        <v>33.409999999999997</v>
      </c>
      <c r="G2435">
        <v>7.77</v>
      </c>
      <c r="H2435">
        <v>260</v>
      </c>
      <c r="I2435" s="4">
        <v>38686</v>
      </c>
      <c r="J2435" s="5">
        <f t="shared" si="76"/>
        <v>-95</v>
      </c>
      <c r="K2435" s="6" t="str">
        <f t="shared" si="77"/>
        <v>A~0</v>
      </c>
      <c r="L2435" t="str">
        <f>IF(J2435&lt;0,"A~0",VLOOKUP(J2435,[1]作法V!$B$1:$C$9,2,TRUE))</f>
        <v>A~0</v>
      </c>
    </row>
    <row r="2436" spans="1:12">
      <c r="A2436">
        <v>1300</v>
      </c>
      <c r="B2436" t="s">
        <v>30</v>
      </c>
      <c r="C2436" s="3">
        <v>38684</v>
      </c>
      <c r="D2436" s="3">
        <v>38812</v>
      </c>
      <c r="E2436" t="s">
        <v>17</v>
      </c>
      <c r="F2436">
        <v>33.409999999999997</v>
      </c>
      <c r="G2436">
        <v>1939.42</v>
      </c>
      <c r="H2436">
        <v>64796</v>
      </c>
      <c r="I2436" s="4">
        <v>38686</v>
      </c>
      <c r="J2436" s="5">
        <f t="shared" si="76"/>
        <v>-126</v>
      </c>
      <c r="K2436" s="6" t="str">
        <f t="shared" si="77"/>
        <v>A~0</v>
      </c>
      <c r="L2436" t="str">
        <f>IF(J2436&lt;0,"A~0",VLOOKUP(J2436,[1]作法V!$B$1:$C$9,2,TRUE))</f>
        <v>A~0</v>
      </c>
    </row>
    <row r="2437" spans="1:12">
      <c r="A2437">
        <v>1300</v>
      </c>
      <c r="B2437" t="s">
        <v>30</v>
      </c>
      <c r="C2437" s="3">
        <v>38684</v>
      </c>
      <c r="D2437" s="3">
        <v>38812</v>
      </c>
      <c r="E2437" t="s">
        <v>17</v>
      </c>
      <c r="F2437">
        <v>33.409999999999997</v>
      </c>
      <c r="G2437">
        <v>2600</v>
      </c>
      <c r="H2437">
        <v>86866</v>
      </c>
      <c r="I2437" s="4">
        <v>38686</v>
      </c>
      <c r="J2437" s="5">
        <f t="shared" si="76"/>
        <v>-126</v>
      </c>
      <c r="K2437" s="6" t="str">
        <f t="shared" si="77"/>
        <v>A~0</v>
      </c>
      <c r="L2437" t="str">
        <f>IF(J2437&lt;0,"A~0",VLOOKUP(J2437,[1]作法V!$B$1:$C$9,2,TRUE))</f>
        <v>A~0</v>
      </c>
    </row>
    <row r="2438" spans="1:12">
      <c r="A2438">
        <v>1300</v>
      </c>
      <c r="B2438" t="s">
        <v>30</v>
      </c>
      <c r="C2438" s="3">
        <v>38684</v>
      </c>
      <c r="D2438" s="3">
        <v>38812</v>
      </c>
      <c r="E2438" t="s">
        <v>17</v>
      </c>
      <c r="F2438">
        <v>33.409999999999997</v>
      </c>
      <c r="G2438">
        <v>4900</v>
      </c>
      <c r="H2438">
        <v>163709</v>
      </c>
      <c r="I2438" s="4">
        <v>38686</v>
      </c>
      <c r="J2438" s="5">
        <f t="shared" si="76"/>
        <v>-126</v>
      </c>
      <c r="K2438" s="6" t="str">
        <f t="shared" si="77"/>
        <v>A~0</v>
      </c>
      <c r="L2438" t="str">
        <f>IF(J2438&lt;0,"A~0",VLOOKUP(J2438,[1]作法V!$B$1:$C$9,2,TRUE))</f>
        <v>A~0</v>
      </c>
    </row>
    <row r="2439" spans="1:12">
      <c r="A2439">
        <v>1300</v>
      </c>
      <c r="B2439" t="s">
        <v>30</v>
      </c>
      <c r="C2439" s="3">
        <v>38686</v>
      </c>
      <c r="D2439" s="3">
        <v>38812</v>
      </c>
      <c r="E2439" t="s">
        <v>17</v>
      </c>
      <c r="F2439">
        <v>33.409999999999997</v>
      </c>
      <c r="G2439">
        <v>1056</v>
      </c>
      <c r="H2439">
        <v>35281</v>
      </c>
      <c r="I2439" s="4">
        <v>38686</v>
      </c>
      <c r="J2439" s="5">
        <f t="shared" si="76"/>
        <v>-126</v>
      </c>
      <c r="K2439" s="6" t="str">
        <f t="shared" si="77"/>
        <v>A~0</v>
      </c>
      <c r="L2439" t="str">
        <f>IF(J2439&lt;0,"A~0",VLOOKUP(J2439,[1]作法V!$B$1:$C$9,2,TRUE))</f>
        <v>A~0</v>
      </c>
    </row>
    <row r="2440" spans="1:12">
      <c r="A2440">
        <v>1300</v>
      </c>
      <c r="B2440" t="s">
        <v>30</v>
      </c>
      <c r="C2440" s="3">
        <v>38686</v>
      </c>
      <c r="D2440" s="3">
        <v>38812</v>
      </c>
      <c r="E2440" t="s">
        <v>17</v>
      </c>
      <c r="F2440">
        <v>33.409999999999997</v>
      </c>
      <c r="G2440">
        <v>176</v>
      </c>
      <c r="H2440">
        <v>5880</v>
      </c>
      <c r="I2440" s="4">
        <v>38686</v>
      </c>
      <c r="J2440" s="5">
        <f t="shared" si="76"/>
        <v>-126</v>
      </c>
      <c r="K2440" s="6" t="str">
        <f t="shared" si="77"/>
        <v>A~0</v>
      </c>
      <c r="L2440" t="str">
        <f>IF(J2440&lt;0,"A~0",VLOOKUP(J2440,[1]作法V!$B$1:$C$9,2,TRUE))</f>
        <v>A~0</v>
      </c>
    </row>
    <row r="2441" spans="1:12">
      <c r="A2441">
        <v>1300</v>
      </c>
      <c r="B2441" t="s">
        <v>30</v>
      </c>
      <c r="C2441" s="3">
        <v>38686</v>
      </c>
      <c r="D2441" s="3">
        <v>38812</v>
      </c>
      <c r="E2441" t="s">
        <v>17</v>
      </c>
      <c r="F2441">
        <v>33.409999999999997</v>
      </c>
      <c r="G2441">
        <v>750</v>
      </c>
      <c r="H2441">
        <v>25058</v>
      </c>
      <c r="I2441" s="4">
        <v>38686</v>
      </c>
      <c r="J2441" s="5">
        <f t="shared" si="76"/>
        <v>-126</v>
      </c>
      <c r="K2441" s="6" t="str">
        <f t="shared" si="77"/>
        <v>A~0</v>
      </c>
      <c r="L2441" t="str">
        <f>IF(J2441&lt;0,"A~0",VLOOKUP(J2441,[1]作法V!$B$1:$C$9,2,TRUE))</f>
        <v>A~0</v>
      </c>
    </row>
    <row r="2442" spans="1:12">
      <c r="A2442">
        <v>1300</v>
      </c>
      <c r="B2442" t="s">
        <v>30</v>
      </c>
      <c r="C2442" s="3">
        <v>38686</v>
      </c>
      <c r="D2442" s="3">
        <v>38812</v>
      </c>
      <c r="E2442" t="s">
        <v>17</v>
      </c>
      <c r="F2442">
        <v>33.409999999999997</v>
      </c>
      <c r="G2442">
        <v>750</v>
      </c>
      <c r="H2442">
        <v>25058</v>
      </c>
      <c r="I2442" s="4">
        <v>38686</v>
      </c>
      <c r="J2442" s="5">
        <f t="shared" si="76"/>
        <v>-126</v>
      </c>
      <c r="K2442" s="6" t="str">
        <f t="shared" si="77"/>
        <v>A~0</v>
      </c>
      <c r="L2442" t="str">
        <f>IF(J2442&lt;0,"A~0",VLOOKUP(J2442,[1]作法V!$B$1:$C$9,2,TRUE))</f>
        <v>A~0</v>
      </c>
    </row>
    <row r="2443" spans="1:12">
      <c r="A2443">
        <v>1300</v>
      </c>
      <c r="B2443" t="s">
        <v>30</v>
      </c>
      <c r="C2443" s="3">
        <v>38686</v>
      </c>
      <c r="D2443" s="3">
        <v>38812</v>
      </c>
      <c r="E2443" t="s">
        <v>17</v>
      </c>
      <c r="F2443">
        <v>33.409999999999997</v>
      </c>
      <c r="G2443">
        <v>3092.17</v>
      </c>
      <c r="H2443">
        <v>103309</v>
      </c>
      <c r="I2443" s="4">
        <v>38686</v>
      </c>
      <c r="J2443" s="5">
        <f t="shared" si="76"/>
        <v>-126</v>
      </c>
      <c r="K2443" s="6" t="str">
        <f t="shared" si="77"/>
        <v>A~0</v>
      </c>
      <c r="L2443" t="str">
        <f>IF(J2443&lt;0,"A~0",VLOOKUP(J2443,[1]作法V!$B$1:$C$9,2,TRUE))</f>
        <v>A~0</v>
      </c>
    </row>
    <row r="2444" spans="1:12">
      <c r="A2444">
        <v>1300</v>
      </c>
      <c r="B2444" t="s">
        <v>30</v>
      </c>
      <c r="C2444" s="3">
        <v>38686</v>
      </c>
      <c r="D2444" s="3">
        <v>38812</v>
      </c>
      <c r="E2444" t="s">
        <v>17</v>
      </c>
      <c r="F2444">
        <v>33.409999999999997</v>
      </c>
      <c r="G2444">
        <v>3920</v>
      </c>
      <c r="H2444">
        <v>130967</v>
      </c>
      <c r="I2444" s="4">
        <v>38686</v>
      </c>
      <c r="J2444" s="5">
        <f t="shared" si="76"/>
        <v>-126</v>
      </c>
      <c r="K2444" s="6" t="str">
        <f t="shared" si="77"/>
        <v>A~0</v>
      </c>
      <c r="L2444" t="str">
        <f>IF(J2444&lt;0,"A~0",VLOOKUP(J2444,[1]作法V!$B$1:$C$9,2,TRUE))</f>
        <v>A~0</v>
      </c>
    </row>
    <row r="2445" spans="1:12">
      <c r="A2445">
        <v>1300</v>
      </c>
      <c r="B2445" t="s">
        <v>30</v>
      </c>
      <c r="C2445" s="3">
        <v>38686</v>
      </c>
      <c r="D2445" s="3">
        <v>38812</v>
      </c>
      <c r="E2445" t="s">
        <v>17</v>
      </c>
      <c r="F2445">
        <v>33.409999999999997</v>
      </c>
      <c r="G2445">
        <v>20993.34</v>
      </c>
      <c r="H2445">
        <v>701387</v>
      </c>
      <c r="I2445" s="4">
        <v>38686</v>
      </c>
      <c r="J2445" s="5">
        <f t="shared" si="76"/>
        <v>-126</v>
      </c>
      <c r="K2445" s="6" t="str">
        <f t="shared" si="77"/>
        <v>A~0</v>
      </c>
      <c r="L2445" t="str">
        <f>IF(J2445&lt;0,"A~0",VLOOKUP(J2445,[1]作法V!$B$1:$C$9,2,TRUE))</f>
        <v>A~0</v>
      </c>
    </row>
    <row r="2446" spans="1:12">
      <c r="A2446">
        <v>1300</v>
      </c>
      <c r="B2446" t="s">
        <v>30</v>
      </c>
      <c r="C2446" s="3">
        <v>38686</v>
      </c>
      <c r="D2446" s="3">
        <v>38812</v>
      </c>
      <c r="E2446" t="s">
        <v>17</v>
      </c>
      <c r="F2446">
        <v>33.409999999999997</v>
      </c>
      <c r="G2446">
        <v>9888.9599999999991</v>
      </c>
      <c r="H2446">
        <v>330390</v>
      </c>
      <c r="I2446" s="4">
        <v>38686</v>
      </c>
      <c r="J2446" s="5">
        <f t="shared" si="76"/>
        <v>-126</v>
      </c>
      <c r="K2446" s="6" t="str">
        <f t="shared" si="77"/>
        <v>A~0</v>
      </c>
      <c r="L2446" t="str">
        <f>IF(J2446&lt;0,"A~0",VLOOKUP(J2446,[1]作法V!$B$1:$C$9,2,TRUE))</f>
        <v>A~0</v>
      </c>
    </row>
    <row r="2447" spans="1:12">
      <c r="A2447">
        <v>1300</v>
      </c>
      <c r="B2447" t="s">
        <v>30</v>
      </c>
      <c r="C2447" s="3">
        <v>38686</v>
      </c>
      <c r="D2447" s="3">
        <v>38812</v>
      </c>
      <c r="E2447" t="s">
        <v>17</v>
      </c>
      <c r="F2447">
        <v>33.409999999999997</v>
      </c>
      <c r="G2447">
        <v>1681.48</v>
      </c>
      <c r="H2447">
        <v>56178</v>
      </c>
      <c r="I2447" s="4">
        <v>38686</v>
      </c>
      <c r="J2447" s="5">
        <f t="shared" si="76"/>
        <v>-126</v>
      </c>
      <c r="K2447" s="6" t="str">
        <f t="shared" si="77"/>
        <v>A~0</v>
      </c>
      <c r="L2447" t="str">
        <f>IF(J2447&lt;0,"A~0",VLOOKUP(J2447,[1]作法V!$B$1:$C$9,2,TRUE))</f>
        <v>A~0</v>
      </c>
    </row>
    <row r="2448" spans="1:12">
      <c r="A2448">
        <v>1301</v>
      </c>
      <c r="B2448" t="s">
        <v>105</v>
      </c>
      <c r="C2448" s="3">
        <v>37958</v>
      </c>
      <c r="D2448" s="3">
        <v>38056</v>
      </c>
      <c r="E2448" t="s">
        <v>18</v>
      </c>
      <c r="F2448">
        <v>1</v>
      </c>
      <c r="G2448">
        <v>46305</v>
      </c>
      <c r="H2448">
        <v>46305</v>
      </c>
      <c r="I2448" s="4">
        <v>38686</v>
      </c>
      <c r="J2448" s="5">
        <f t="shared" si="76"/>
        <v>630</v>
      </c>
      <c r="K2448" s="6" t="str">
        <f t="shared" si="77"/>
        <v>H361~</v>
      </c>
      <c r="L2448" t="str">
        <f>IF(J2448&lt;0,"A~0",VLOOKUP(J2448,[1]作法V!$B$1:$C$9,2,TRUE))</f>
        <v>H361~</v>
      </c>
    </row>
    <row r="2449" spans="1:12">
      <c r="A2449">
        <v>1430</v>
      </c>
      <c r="B2449" t="s">
        <v>112</v>
      </c>
      <c r="C2449" s="3">
        <v>38089</v>
      </c>
      <c r="D2449" s="3">
        <v>38143</v>
      </c>
      <c r="E2449" t="s">
        <v>18</v>
      </c>
      <c r="F2449">
        <v>1</v>
      </c>
      <c r="G2449">
        <v>5670</v>
      </c>
      <c r="H2449">
        <v>5670</v>
      </c>
      <c r="I2449" s="4">
        <v>38686</v>
      </c>
      <c r="J2449" s="5">
        <f t="shared" si="76"/>
        <v>543</v>
      </c>
      <c r="K2449" s="6" t="str">
        <f t="shared" si="77"/>
        <v>H361~</v>
      </c>
      <c r="L2449" t="str">
        <f>IF(J2449&lt;0,"A~0",VLOOKUP(J2449,[1]作法V!$B$1:$C$9,2,TRUE))</f>
        <v>H361~</v>
      </c>
    </row>
    <row r="2450" spans="1:12">
      <c r="A2450">
        <v>1513</v>
      </c>
      <c r="B2450" t="s">
        <v>110</v>
      </c>
      <c r="C2450" s="3">
        <v>38630</v>
      </c>
      <c r="D2450" s="3">
        <v>38747</v>
      </c>
      <c r="E2450" t="s">
        <v>18</v>
      </c>
      <c r="F2450">
        <v>1</v>
      </c>
      <c r="G2450">
        <v>66000</v>
      </c>
      <c r="H2450">
        <v>66000</v>
      </c>
      <c r="I2450" s="4">
        <v>38686</v>
      </c>
      <c r="J2450" s="5">
        <f t="shared" si="76"/>
        <v>-61</v>
      </c>
      <c r="K2450" s="6" t="str">
        <f t="shared" si="77"/>
        <v>A~0</v>
      </c>
      <c r="L2450" t="str">
        <f>IF(J2450&lt;0,"A~0",VLOOKUP(J2450,[1]作法V!$B$1:$C$9,2,TRUE))</f>
        <v>A~0</v>
      </c>
    </row>
    <row r="2451" spans="1:12">
      <c r="A2451">
        <v>1513</v>
      </c>
      <c r="B2451" t="s">
        <v>110</v>
      </c>
      <c r="C2451" s="3">
        <v>38681</v>
      </c>
      <c r="D2451" s="3">
        <v>38806</v>
      </c>
      <c r="E2451" t="s">
        <v>18</v>
      </c>
      <c r="F2451">
        <v>1</v>
      </c>
      <c r="G2451">
        <v>33000</v>
      </c>
      <c r="H2451">
        <v>33000</v>
      </c>
      <c r="I2451" s="4">
        <v>38686</v>
      </c>
      <c r="J2451" s="5">
        <f t="shared" si="76"/>
        <v>-120</v>
      </c>
      <c r="K2451" s="6" t="str">
        <f t="shared" si="77"/>
        <v>A~0</v>
      </c>
      <c r="L2451" t="str">
        <f>IF(J2451&lt;0,"A~0",VLOOKUP(J2451,[1]作法V!$B$1:$C$9,2,TRUE))</f>
        <v>A~0</v>
      </c>
    </row>
    <row r="2452" spans="1:12">
      <c r="A2452">
        <v>1631</v>
      </c>
      <c r="B2452" t="s">
        <v>94</v>
      </c>
      <c r="C2452" s="3">
        <v>38614</v>
      </c>
      <c r="D2452" s="3">
        <v>38711</v>
      </c>
      <c r="E2452" t="s">
        <v>18</v>
      </c>
      <c r="F2452">
        <v>1</v>
      </c>
      <c r="G2452">
        <v>55500</v>
      </c>
      <c r="H2452">
        <v>55500</v>
      </c>
      <c r="I2452" s="4">
        <v>38686</v>
      </c>
      <c r="J2452" s="5">
        <f t="shared" si="76"/>
        <v>-25</v>
      </c>
      <c r="K2452" s="6" t="str">
        <f t="shared" si="77"/>
        <v>A~0</v>
      </c>
      <c r="L2452" t="str">
        <f>IF(J2452&lt;0,"A~0",VLOOKUP(J2452,[1]作法V!$B$1:$C$9,2,TRUE))</f>
        <v>A~0</v>
      </c>
    </row>
    <row r="2453" spans="1:12">
      <c r="A2453">
        <v>1631</v>
      </c>
      <c r="B2453" t="s">
        <v>94</v>
      </c>
      <c r="C2453" s="3">
        <v>38618</v>
      </c>
      <c r="D2453" s="3">
        <v>38711</v>
      </c>
      <c r="E2453" t="s">
        <v>18</v>
      </c>
      <c r="F2453">
        <v>1</v>
      </c>
      <c r="G2453">
        <v>37000</v>
      </c>
      <c r="H2453">
        <v>37000</v>
      </c>
      <c r="I2453" s="4">
        <v>38686</v>
      </c>
      <c r="J2453" s="5">
        <f t="shared" si="76"/>
        <v>-25</v>
      </c>
      <c r="K2453" s="6" t="str">
        <f t="shared" si="77"/>
        <v>A~0</v>
      </c>
      <c r="L2453" t="str">
        <f>IF(J2453&lt;0,"A~0",VLOOKUP(J2453,[1]作法V!$B$1:$C$9,2,TRUE))</f>
        <v>A~0</v>
      </c>
    </row>
    <row r="2454" spans="1:12">
      <c r="A2454">
        <v>1631</v>
      </c>
      <c r="B2454" t="s">
        <v>94</v>
      </c>
      <c r="C2454" s="3">
        <v>38621</v>
      </c>
      <c r="D2454" s="3">
        <v>38742</v>
      </c>
      <c r="E2454" t="s">
        <v>18</v>
      </c>
      <c r="F2454">
        <v>1</v>
      </c>
      <c r="G2454">
        <v>55500</v>
      </c>
      <c r="H2454">
        <v>55500</v>
      </c>
      <c r="I2454" s="4">
        <v>38686</v>
      </c>
      <c r="J2454" s="5">
        <f t="shared" si="76"/>
        <v>-56</v>
      </c>
      <c r="K2454" s="6" t="str">
        <f t="shared" si="77"/>
        <v>A~0</v>
      </c>
      <c r="L2454" t="str">
        <f>IF(J2454&lt;0,"A~0",VLOOKUP(J2454,[1]作法V!$B$1:$C$9,2,TRUE))</f>
        <v>A~0</v>
      </c>
    </row>
    <row r="2455" spans="1:12">
      <c r="A2455">
        <v>1631</v>
      </c>
      <c r="B2455" t="s">
        <v>94</v>
      </c>
      <c r="C2455" s="3">
        <v>38621</v>
      </c>
      <c r="D2455" s="3">
        <v>38742</v>
      </c>
      <c r="E2455" t="s">
        <v>18</v>
      </c>
      <c r="F2455">
        <v>1</v>
      </c>
      <c r="G2455">
        <v>55500</v>
      </c>
      <c r="H2455">
        <v>55500</v>
      </c>
      <c r="I2455" s="4">
        <v>38686</v>
      </c>
      <c r="J2455" s="5">
        <f t="shared" si="76"/>
        <v>-56</v>
      </c>
      <c r="K2455" s="6" t="str">
        <f t="shared" si="77"/>
        <v>A~0</v>
      </c>
      <c r="L2455" t="str">
        <f>IF(J2455&lt;0,"A~0",VLOOKUP(J2455,[1]作法V!$B$1:$C$9,2,TRUE))</f>
        <v>A~0</v>
      </c>
    </row>
    <row r="2456" spans="1:12">
      <c r="A2456">
        <v>1631</v>
      </c>
      <c r="B2456" t="s">
        <v>94</v>
      </c>
      <c r="C2456" s="3">
        <v>38674</v>
      </c>
      <c r="D2456" s="3">
        <v>38773</v>
      </c>
      <c r="E2456" t="s">
        <v>18</v>
      </c>
      <c r="F2456">
        <v>1</v>
      </c>
      <c r="G2456">
        <v>18500</v>
      </c>
      <c r="H2456">
        <v>18500</v>
      </c>
      <c r="I2456" s="4">
        <v>38686</v>
      </c>
      <c r="J2456" s="5">
        <f t="shared" si="76"/>
        <v>-87</v>
      </c>
      <c r="K2456" s="6" t="str">
        <f t="shared" si="77"/>
        <v>A~0</v>
      </c>
      <c r="L2456" t="str">
        <f>IF(J2456&lt;0,"A~0",VLOOKUP(J2456,[1]作法V!$B$1:$C$9,2,TRUE))</f>
        <v>A~0</v>
      </c>
    </row>
    <row r="2457" spans="1:12">
      <c r="A2457">
        <v>1695</v>
      </c>
      <c r="B2457" t="s">
        <v>93</v>
      </c>
      <c r="C2457" s="3">
        <v>38590</v>
      </c>
      <c r="D2457" s="3">
        <v>38711</v>
      </c>
      <c r="E2457" t="s">
        <v>17</v>
      </c>
      <c r="F2457">
        <v>31.905000000000001</v>
      </c>
      <c r="G2457">
        <v>1795.5</v>
      </c>
      <c r="H2457">
        <v>57285</v>
      </c>
      <c r="I2457" s="4">
        <v>38686</v>
      </c>
      <c r="J2457" s="5">
        <f t="shared" si="76"/>
        <v>-25</v>
      </c>
      <c r="K2457" s="6" t="str">
        <f t="shared" si="77"/>
        <v>A~0</v>
      </c>
      <c r="L2457" t="str">
        <f>IF(J2457&lt;0,"A~0",VLOOKUP(J2457,[1]作法V!$B$1:$C$9,2,TRUE))</f>
        <v>A~0</v>
      </c>
    </row>
    <row r="2458" spans="1:12">
      <c r="A2458">
        <v>1764</v>
      </c>
      <c r="B2458" t="s">
        <v>108</v>
      </c>
      <c r="C2458" s="3">
        <v>38573</v>
      </c>
      <c r="D2458" s="3">
        <v>38686</v>
      </c>
      <c r="E2458" t="s">
        <v>17</v>
      </c>
      <c r="F2458">
        <v>31.684999999999999</v>
      </c>
      <c r="G2458">
        <v>700</v>
      </c>
      <c r="H2458">
        <v>22180</v>
      </c>
      <c r="I2458" s="4">
        <v>38686</v>
      </c>
      <c r="J2458" s="5">
        <f t="shared" si="76"/>
        <v>0</v>
      </c>
      <c r="K2458" s="6" t="str">
        <f t="shared" si="77"/>
        <v>A~0</v>
      </c>
      <c r="L2458" t="str">
        <f>IF(J2458&lt;0,"A~0",VLOOKUP(J2458,[1]作法V!$B$1:$C$9,2,TRUE))</f>
        <v>A~0</v>
      </c>
    </row>
    <row r="2459" spans="1:12">
      <c r="A2459">
        <v>1764</v>
      </c>
      <c r="B2459" t="s">
        <v>108</v>
      </c>
      <c r="C2459" s="3">
        <v>38605</v>
      </c>
      <c r="D2459" s="3">
        <v>38716</v>
      </c>
      <c r="E2459" t="s">
        <v>17</v>
      </c>
      <c r="F2459">
        <v>32.195</v>
      </c>
      <c r="G2459">
        <v>1926</v>
      </c>
      <c r="H2459">
        <v>62008</v>
      </c>
      <c r="I2459" s="4">
        <v>38686</v>
      </c>
      <c r="J2459" s="5">
        <f t="shared" si="76"/>
        <v>-30</v>
      </c>
      <c r="K2459" s="6" t="str">
        <f t="shared" si="77"/>
        <v>A~0</v>
      </c>
      <c r="L2459" t="str">
        <f>IF(J2459&lt;0,"A~0",VLOOKUP(J2459,[1]作法V!$B$1:$C$9,2,TRUE))</f>
        <v>A~0</v>
      </c>
    </row>
    <row r="2460" spans="1:12">
      <c r="A2460">
        <v>1764</v>
      </c>
      <c r="B2460" t="s">
        <v>108</v>
      </c>
      <c r="C2460" s="3">
        <v>38605</v>
      </c>
      <c r="D2460" s="3">
        <v>38716</v>
      </c>
      <c r="E2460" t="s">
        <v>17</v>
      </c>
      <c r="F2460">
        <v>32.195</v>
      </c>
      <c r="G2460">
        <v>2004</v>
      </c>
      <c r="H2460">
        <v>64519</v>
      </c>
      <c r="I2460" s="4">
        <v>38686</v>
      </c>
      <c r="J2460" s="5">
        <f t="shared" si="76"/>
        <v>-30</v>
      </c>
      <c r="K2460" s="6" t="str">
        <f t="shared" si="77"/>
        <v>A~0</v>
      </c>
      <c r="L2460" t="str">
        <f>IF(J2460&lt;0,"A~0",VLOOKUP(J2460,[1]作法V!$B$1:$C$9,2,TRUE))</f>
        <v>A~0</v>
      </c>
    </row>
    <row r="2461" spans="1:12">
      <c r="A2461">
        <v>1764</v>
      </c>
      <c r="B2461" t="s">
        <v>108</v>
      </c>
      <c r="C2461" s="3">
        <v>38607</v>
      </c>
      <c r="D2461" s="3">
        <v>38716</v>
      </c>
      <c r="E2461" t="s">
        <v>17</v>
      </c>
      <c r="F2461">
        <v>32.365000000000002</v>
      </c>
      <c r="G2461">
        <v>4008</v>
      </c>
      <c r="H2461">
        <v>129719</v>
      </c>
      <c r="I2461" s="4">
        <v>38686</v>
      </c>
      <c r="J2461" s="5">
        <f t="shared" si="76"/>
        <v>-30</v>
      </c>
      <c r="K2461" s="6" t="str">
        <f t="shared" si="77"/>
        <v>A~0</v>
      </c>
      <c r="L2461" t="str">
        <f>IF(J2461&lt;0,"A~0",VLOOKUP(J2461,[1]作法V!$B$1:$C$9,2,TRUE))</f>
        <v>A~0</v>
      </c>
    </row>
    <row r="2462" spans="1:12">
      <c r="A2462">
        <v>1764</v>
      </c>
      <c r="B2462" t="s">
        <v>108</v>
      </c>
      <c r="C2462" s="3">
        <v>38610</v>
      </c>
      <c r="D2462" s="3">
        <v>38716</v>
      </c>
      <c r="E2462" t="s">
        <v>17</v>
      </c>
      <c r="F2462">
        <v>32.365000000000002</v>
      </c>
      <c r="G2462">
        <v>501</v>
      </c>
      <c r="H2462">
        <v>16215</v>
      </c>
      <c r="I2462" s="4">
        <v>38686</v>
      </c>
      <c r="J2462" s="5">
        <f t="shared" si="76"/>
        <v>-30</v>
      </c>
      <c r="K2462" s="6" t="str">
        <f t="shared" si="77"/>
        <v>A~0</v>
      </c>
      <c r="L2462" t="str">
        <f>IF(J2462&lt;0,"A~0",VLOOKUP(J2462,[1]作法V!$B$1:$C$9,2,TRUE))</f>
        <v>A~0</v>
      </c>
    </row>
    <row r="2463" spans="1:12">
      <c r="A2463">
        <v>1764</v>
      </c>
      <c r="B2463" t="s">
        <v>108</v>
      </c>
      <c r="C2463" s="3">
        <v>38610</v>
      </c>
      <c r="D2463" s="3">
        <v>38716</v>
      </c>
      <c r="E2463" t="s">
        <v>17</v>
      </c>
      <c r="F2463">
        <v>32.365000000000002</v>
      </c>
      <c r="G2463">
        <v>1926</v>
      </c>
      <c r="H2463">
        <v>62335</v>
      </c>
      <c r="I2463" s="4">
        <v>38686</v>
      </c>
      <c r="J2463" s="5">
        <f t="shared" si="76"/>
        <v>-30</v>
      </c>
      <c r="K2463" s="6" t="str">
        <f t="shared" si="77"/>
        <v>A~0</v>
      </c>
      <c r="L2463" t="str">
        <f>IF(J2463&lt;0,"A~0",VLOOKUP(J2463,[1]作法V!$B$1:$C$9,2,TRUE))</f>
        <v>A~0</v>
      </c>
    </row>
    <row r="2464" spans="1:12">
      <c r="A2464">
        <v>1764</v>
      </c>
      <c r="B2464" t="s">
        <v>108</v>
      </c>
      <c r="C2464" s="3">
        <v>38614</v>
      </c>
      <c r="D2464" s="3">
        <v>38716</v>
      </c>
      <c r="E2464" t="s">
        <v>17</v>
      </c>
      <c r="F2464">
        <v>32.365000000000002</v>
      </c>
      <c r="G2464">
        <v>1444.5</v>
      </c>
      <c r="H2464">
        <v>46751</v>
      </c>
      <c r="I2464" s="4">
        <v>38686</v>
      </c>
      <c r="J2464" s="5">
        <f t="shared" si="76"/>
        <v>-30</v>
      </c>
      <c r="K2464" s="6" t="str">
        <f t="shared" si="77"/>
        <v>A~0</v>
      </c>
      <c r="L2464" t="str">
        <f>IF(J2464&lt;0,"A~0",VLOOKUP(J2464,[1]作法V!$B$1:$C$9,2,TRUE))</f>
        <v>A~0</v>
      </c>
    </row>
    <row r="2465" spans="1:12">
      <c r="A2465">
        <v>1764</v>
      </c>
      <c r="B2465" t="s">
        <v>108</v>
      </c>
      <c r="C2465" s="3">
        <v>38615</v>
      </c>
      <c r="D2465" s="3">
        <v>38716</v>
      </c>
      <c r="E2465" t="s">
        <v>17</v>
      </c>
      <c r="F2465">
        <v>32.365000000000002</v>
      </c>
      <c r="G2465">
        <v>828.18</v>
      </c>
      <c r="H2465">
        <v>26804</v>
      </c>
      <c r="I2465" s="4">
        <v>38686</v>
      </c>
      <c r="J2465" s="5">
        <f t="shared" si="76"/>
        <v>-30</v>
      </c>
      <c r="K2465" s="6" t="str">
        <f t="shared" si="77"/>
        <v>A~0</v>
      </c>
      <c r="L2465" t="str">
        <f>IF(J2465&lt;0,"A~0",VLOOKUP(J2465,[1]作法V!$B$1:$C$9,2,TRUE))</f>
        <v>A~0</v>
      </c>
    </row>
    <row r="2466" spans="1:12">
      <c r="A2466">
        <v>1764</v>
      </c>
      <c r="B2466" t="s">
        <v>108</v>
      </c>
      <c r="C2466" s="3">
        <v>38616</v>
      </c>
      <c r="D2466" s="3">
        <v>38716</v>
      </c>
      <c r="E2466" t="s">
        <v>17</v>
      </c>
      <c r="F2466">
        <v>32.799999999999997</v>
      </c>
      <c r="G2466">
        <v>1926</v>
      </c>
      <c r="H2466">
        <v>63173</v>
      </c>
      <c r="I2466" s="4">
        <v>38686</v>
      </c>
      <c r="J2466" s="5">
        <f t="shared" si="76"/>
        <v>-30</v>
      </c>
      <c r="K2466" s="6" t="str">
        <f t="shared" si="77"/>
        <v>A~0</v>
      </c>
      <c r="L2466" t="str">
        <f>IF(J2466&lt;0,"A~0",VLOOKUP(J2466,[1]作法V!$B$1:$C$9,2,TRUE))</f>
        <v>A~0</v>
      </c>
    </row>
    <row r="2467" spans="1:12">
      <c r="A2467">
        <v>1764</v>
      </c>
      <c r="B2467" t="s">
        <v>108</v>
      </c>
      <c r="C2467" s="3">
        <v>38618</v>
      </c>
      <c r="D2467" s="3">
        <v>38716</v>
      </c>
      <c r="E2467" t="s">
        <v>17</v>
      </c>
      <c r="F2467">
        <v>32.799999999999997</v>
      </c>
      <c r="G2467">
        <v>1926</v>
      </c>
      <c r="H2467">
        <v>63173</v>
      </c>
      <c r="I2467" s="4">
        <v>38686</v>
      </c>
      <c r="J2467" s="5">
        <f t="shared" si="76"/>
        <v>-30</v>
      </c>
      <c r="K2467" s="6" t="str">
        <f t="shared" si="77"/>
        <v>A~0</v>
      </c>
      <c r="L2467" t="str">
        <f>IF(J2467&lt;0,"A~0",VLOOKUP(J2467,[1]作法V!$B$1:$C$9,2,TRUE))</f>
        <v>A~0</v>
      </c>
    </row>
    <row r="2468" spans="1:12">
      <c r="A2468">
        <v>1764</v>
      </c>
      <c r="B2468" t="s">
        <v>108</v>
      </c>
      <c r="C2468" s="3">
        <v>38618</v>
      </c>
      <c r="D2468" s="3">
        <v>38716</v>
      </c>
      <c r="E2468" t="s">
        <v>17</v>
      </c>
      <c r="F2468">
        <v>32.799999999999997</v>
      </c>
      <c r="G2468">
        <v>861.72</v>
      </c>
      <c r="H2468">
        <v>28264</v>
      </c>
      <c r="I2468" s="4">
        <v>38686</v>
      </c>
      <c r="J2468" s="5">
        <f t="shared" si="76"/>
        <v>-30</v>
      </c>
      <c r="K2468" s="6" t="str">
        <f t="shared" si="77"/>
        <v>A~0</v>
      </c>
      <c r="L2468" t="str">
        <f>IF(J2468&lt;0,"A~0",VLOOKUP(J2468,[1]作法V!$B$1:$C$9,2,TRUE))</f>
        <v>A~0</v>
      </c>
    </row>
    <row r="2469" spans="1:12">
      <c r="A2469">
        <v>1764</v>
      </c>
      <c r="B2469" t="s">
        <v>108</v>
      </c>
      <c r="C2469" s="3">
        <v>38621</v>
      </c>
      <c r="D2469" s="3">
        <v>38747</v>
      </c>
      <c r="E2469" t="s">
        <v>17</v>
      </c>
      <c r="F2469">
        <v>32.799999999999997</v>
      </c>
      <c r="G2469">
        <v>1926</v>
      </c>
      <c r="H2469">
        <v>63173</v>
      </c>
      <c r="I2469" s="4">
        <v>38686</v>
      </c>
      <c r="J2469" s="5">
        <f t="shared" si="76"/>
        <v>-61</v>
      </c>
      <c r="K2469" s="6" t="str">
        <f t="shared" si="77"/>
        <v>A~0</v>
      </c>
      <c r="L2469" t="str">
        <f>IF(J2469&lt;0,"A~0",VLOOKUP(J2469,[1]作法V!$B$1:$C$9,2,TRUE))</f>
        <v>A~0</v>
      </c>
    </row>
    <row r="2470" spans="1:12">
      <c r="A2470">
        <v>1764</v>
      </c>
      <c r="B2470" t="s">
        <v>108</v>
      </c>
      <c r="C2470" s="3">
        <v>38623</v>
      </c>
      <c r="D2470" s="3">
        <v>38747</v>
      </c>
      <c r="E2470" t="s">
        <v>17</v>
      </c>
      <c r="F2470">
        <v>32.799999999999997</v>
      </c>
      <c r="G2470">
        <v>641.28</v>
      </c>
      <c r="H2470">
        <v>21034</v>
      </c>
      <c r="I2470" s="4">
        <v>38686</v>
      </c>
      <c r="J2470" s="5">
        <f t="shared" si="76"/>
        <v>-61</v>
      </c>
      <c r="K2470" s="6" t="str">
        <f t="shared" si="77"/>
        <v>A~0</v>
      </c>
      <c r="L2470" t="str">
        <f>IF(J2470&lt;0,"A~0",VLOOKUP(J2470,[1]作法V!$B$1:$C$9,2,TRUE))</f>
        <v>A~0</v>
      </c>
    </row>
    <row r="2471" spans="1:12">
      <c r="A2471">
        <v>1764</v>
      </c>
      <c r="B2471" t="s">
        <v>108</v>
      </c>
      <c r="C2471" s="3">
        <v>38623</v>
      </c>
      <c r="D2471" s="3">
        <v>38747</v>
      </c>
      <c r="E2471" t="s">
        <v>17</v>
      </c>
      <c r="F2471">
        <v>32.799999999999997</v>
      </c>
      <c r="G2471">
        <v>988.68</v>
      </c>
      <c r="H2471">
        <v>32429</v>
      </c>
      <c r="I2471" s="4">
        <v>38686</v>
      </c>
      <c r="J2471" s="5">
        <f t="shared" si="76"/>
        <v>-61</v>
      </c>
      <c r="K2471" s="6" t="str">
        <f t="shared" si="77"/>
        <v>A~0</v>
      </c>
      <c r="L2471" t="str">
        <f>IF(J2471&lt;0,"A~0",VLOOKUP(J2471,[1]作法V!$B$1:$C$9,2,TRUE))</f>
        <v>A~0</v>
      </c>
    </row>
    <row r="2472" spans="1:12">
      <c r="A2472">
        <v>1764</v>
      </c>
      <c r="B2472" t="s">
        <v>108</v>
      </c>
      <c r="C2472" s="3">
        <v>38623</v>
      </c>
      <c r="D2472" s="3">
        <v>38747</v>
      </c>
      <c r="E2472" t="s">
        <v>17</v>
      </c>
      <c r="F2472">
        <v>32.799999999999997</v>
      </c>
      <c r="G2472">
        <v>937.32</v>
      </c>
      <c r="H2472">
        <v>30744</v>
      </c>
      <c r="I2472" s="4">
        <v>38686</v>
      </c>
      <c r="J2472" s="5">
        <f t="shared" si="76"/>
        <v>-61</v>
      </c>
      <c r="K2472" s="6" t="str">
        <f t="shared" si="77"/>
        <v>A~0</v>
      </c>
      <c r="L2472" t="str">
        <f>IF(J2472&lt;0,"A~0",VLOOKUP(J2472,[1]作法V!$B$1:$C$9,2,TRUE))</f>
        <v>A~0</v>
      </c>
    </row>
    <row r="2473" spans="1:12">
      <c r="A2473">
        <v>1764</v>
      </c>
      <c r="B2473" t="s">
        <v>108</v>
      </c>
      <c r="C2473" s="3">
        <v>38625</v>
      </c>
      <c r="D2473" s="3">
        <v>38747</v>
      </c>
      <c r="E2473" t="s">
        <v>17</v>
      </c>
      <c r="F2473">
        <v>32.799999999999997</v>
      </c>
      <c r="G2473">
        <v>1926</v>
      </c>
      <c r="H2473">
        <v>63173</v>
      </c>
      <c r="I2473" s="4">
        <v>38686</v>
      </c>
      <c r="J2473" s="5">
        <f t="shared" si="76"/>
        <v>-61</v>
      </c>
      <c r="K2473" s="6" t="str">
        <f t="shared" si="77"/>
        <v>A~0</v>
      </c>
      <c r="L2473" t="str">
        <f>IF(J2473&lt;0,"A~0",VLOOKUP(J2473,[1]作法V!$B$1:$C$9,2,TRUE))</f>
        <v>A~0</v>
      </c>
    </row>
    <row r="2474" spans="1:12">
      <c r="A2474">
        <v>1764</v>
      </c>
      <c r="B2474" t="s">
        <v>108</v>
      </c>
      <c r="C2474" s="3">
        <v>38636</v>
      </c>
      <c r="D2474" s="3">
        <v>38747</v>
      </c>
      <c r="E2474" t="s">
        <v>17</v>
      </c>
      <c r="F2474">
        <v>33.195</v>
      </c>
      <c r="G2474">
        <v>937.32</v>
      </c>
      <c r="H2474">
        <v>31114</v>
      </c>
      <c r="I2474" s="4">
        <v>38686</v>
      </c>
      <c r="J2474" s="5">
        <f t="shared" si="76"/>
        <v>-61</v>
      </c>
      <c r="K2474" s="6" t="str">
        <f t="shared" si="77"/>
        <v>A~0</v>
      </c>
      <c r="L2474" t="str">
        <f>IF(J2474&lt;0,"A~0",VLOOKUP(J2474,[1]作法V!$B$1:$C$9,2,TRUE))</f>
        <v>A~0</v>
      </c>
    </row>
    <row r="2475" spans="1:12">
      <c r="A2475">
        <v>1764</v>
      </c>
      <c r="B2475" t="s">
        <v>108</v>
      </c>
      <c r="C2475" s="3">
        <v>38636</v>
      </c>
      <c r="D2475" s="3">
        <v>38747</v>
      </c>
      <c r="E2475" t="s">
        <v>17</v>
      </c>
      <c r="F2475">
        <v>33.195</v>
      </c>
      <c r="G2475">
        <v>988.68</v>
      </c>
      <c r="H2475">
        <v>32819</v>
      </c>
      <c r="I2475" s="4">
        <v>38686</v>
      </c>
      <c r="J2475" s="5">
        <f t="shared" si="76"/>
        <v>-61</v>
      </c>
      <c r="K2475" s="6" t="str">
        <f t="shared" si="77"/>
        <v>A~0</v>
      </c>
      <c r="L2475" t="str">
        <f>IF(J2475&lt;0,"A~0",VLOOKUP(J2475,[1]作法V!$B$1:$C$9,2,TRUE))</f>
        <v>A~0</v>
      </c>
    </row>
    <row r="2476" spans="1:12">
      <c r="A2476">
        <v>1764</v>
      </c>
      <c r="B2476" t="s">
        <v>108</v>
      </c>
      <c r="C2476" s="3">
        <v>38638</v>
      </c>
      <c r="D2476" s="3">
        <v>38747</v>
      </c>
      <c r="E2476" t="s">
        <v>17</v>
      </c>
      <c r="F2476">
        <v>33.195</v>
      </c>
      <c r="G2476">
        <v>1926</v>
      </c>
      <c r="H2476">
        <v>63934</v>
      </c>
      <c r="I2476" s="4">
        <v>38686</v>
      </c>
      <c r="J2476" s="5">
        <f t="shared" si="76"/>
        <v>-61</v>
      </c>
      <c r="K2476" s="6" t="str">
        <f t="shared" si="77"/>
        <v>A~0</v>
      </c>
      <c r="L2476" t="str">
        <f>IF(J2476&lt;0,"A~0",VLOOKUP(J2476,[1]作法V!$B$1:$C$9,2,TRUE))</f>
        <v>A~0</v>
      </c>
    </row>
    <row r="2477" spans="1:12">
      <c r="A2477">
        <v>1764</v>
      </c>
      <c r="B2477" t="s">
        <v>108</v>
      </c>
      <c r="C2477" s="3">
        <v>38639</v>
      </c>
      <c r="D2477" s="3">
        <v>38747</v>
      </c>
      <c r="E2477" t="s">
        <v>17</v>
      </c>
      <c r="F2477">
        <v>33.195</v>
      </c>
      <c r="G2477">
        <v>988.68</v>
      </c>
      <c r="H2477">
        <v>32819</v>
      </c>
      <c r="I2477" s="4">
        <v>38686</v>
      </c>
      <c r="J2477" s="5">
        <f t="shared" si="76"/>
        <v>-61</v>
      </c>
      <c r="K2477" s="6" t="str">
        <f t="shared" si="77"/>
        <v>A~0</v>
      </c>
      <c r="L2477" t="str">
        <f>IF(J2477&lt;0,"A~0",VLOOKUP(J2477,[1]作法V!$B$1:$C$9,2,TRUE))</f>
        <v>A~0</v>
      </c>
    </row>
    <row r="2478" spans="1:12">
      <c r="A2478">
        <v>1764</v>
      </c>
      <c r="B2478" t="s">
        <v>108</v>
      </c>
      <c r="C2478" s="3">
        <v>38639</v>
      </c>
      <c r="D2478" s="3">
        <v>38747</v>
      </c>
      <c r="E2478" t="s">
        <v>17</v>
      </c>
      <c r="F2478">
        <v>33.195</v>
      </c>
      <c r="G2478">
        <v>937.32</v>
      </c>
      <c r="H2478">
        <v>31114</v>
      </c>
      <c r="I2478" s="4">
        <v>38686</v>
      </c>
      <c r="J2478" s="5">
        <f t="shared" si="76"/>
        <v>-61</v>
      </c>
      <c r="K2478" s="6" t="str">
        <f t="shared" si="77"/>
        <v>A~0</v>
      </c>
      <c r="L2478" t="str">
        <f>IF(J2478&lt;0,"A~0",VLOOKUP(J2478,[1]作法V!$B$1:$C$9,2,TRUE))</f>
        <v>A~0</v>
      </c>
    </row>
    <row r="2479" spans="1:12">
      <c r="A2479">
        <v>1764</v>
      </c>
      <c r="B2479" t="s">
        <v>108</v>
      </c>
      <c r="C2479" s="3">
        <v>38642</v>
      </c>
      <c r="D2479" s="3">
        <v>38747</v>
      </c>
      <c r="E2479" t="s">
        <v>17</v>
      </c>
      <c r="F2479">
        <v>33.195</v>
      </c>
      <c r="G2479">
        <v>1149.18</v>
      </c>
      <c r="H2479">
        <v>38147</v>
      </c>
      <c r="I2479" s="4">
        <v>38686</v>
      </c>
      <c r="J2479" s="5">
        <f t="shared" si="76"/>
        <v>-61</v>
      </c>
      <c r="K2479" s="6" t="str">
        <f t="shared" si="77"/>
        <v>A~0</v>
      </c>
      <c r="L2479" t="str">
        <f>IF(J2479&lt;0,"A~0",VLOOKUP(J2479,[1]作法V!$B$1:$C$9,2,TRUE))</f>
        <v>A~0</v>
      </c>
    </row>
    <row r="2480" spans="1:12">
      <c r="A2480">
        <v>1764</v>
      </c>
      <c r="B2480" t="s">
        <v>108</v>
      </c>
      <c r="C2480" s="3">
        <v>38642</v>
      </c>
      <c r="D2480" s="3">
        <v>38747</v>
      </c>
      <c r="E2480" t="s">
        <v>17</v>
      </c>
      <c r="F2480">
        <v>33.195</v>
      </c>
      <c r="G2480">
        <v>2221.3200000000002</v>
      </c>
      <c r="H2480">
        <v>73737</v>
      </c>
      <c r="I2480" s="4">
        <v>38686</v>
      </c>
      <c r="J2480" s="5">
        <f t="shared" si="76"/>
        <v>-61</v>
      </c>
      <c r="K2480" s="6" t="str">
        <f t="shared" si="77"/>
        <v>A~0</v>
      </c>
      <c r="L2480" t="str">
        <f>IF(J2480&lt;0,"A~0",VLOOKUP(J2480,[1]作法V!$B$1:$C$9,2,TRUE))</f>
        <v>A~0</v>
      </c>
    </row>
    <row r="2481" spans="1:12">
      <c r="A2481">
        <v>1764</v>
      </c>
      <c r="B2481" t="s">
        <v>108</v>
      </c>
      <c r="C2481" s="3">
        <v>38645</v>
      </c>
      <c r="D2481" s="3">
        <v>38747</v>
      </c>
      <c r="E2481" t="s">
        <v>17</v>
      </c>
      <c r="F2481">
        <v>33.195</v>
      </c>
      <c r="G2481">
        <v>963</v>
      </c>
      <c r="H2481">
        <v>31967</v>
      </c>
      <c r="I2481" s="4">
        <v>38686</v>
      </c>
      <c r="J2481" s="5">
        <f t="shared" si="76"/>
        <v>-61</v>
      </c>
      <c r="K2481" s="6" t="str">
        <f t="shared" si="77"/>
        <v>A~0</v>
      </c>
      <c r="L2481" t="str">
        <f>IF(J2481&lt;0,"A~0",VLOOKUP(J2481,[1]作法V!$B$1:$C$9,2,TRUE))</f>
        <v>A~0</v>
      </c>
    </row>
    <row r="2482" spans="1:12">
      <c r="A2482">
        <v>1764</v>
      </c>
      <c r="B2482" t="s">
        <v>108</v>
      </c>
      <c r="C2482" s="3">
        <v>38646</v>
      </c>
      <c r="D2482" s="3">
        <v>38747</v>
      </c>
      <c r="E2482" t="s">
        <v>17</v>
      </c>
      <c r="F2482">
        <v>33.4</v>
      </c>
      <c r="G2482">
        <v>186.18</v>
      </c>
      <c r="H2482">
        <v>6218</v>
      </c>
      <c r="I2482" s="4">
        <v>38686</v>
      </c>
      <c r="J2482" s="5">
        <f t="shared" si="76"/>
        <v>-61</v>
      </c>
      <c r="K2482" s="6" t="str">
        <f t="shared" si="77"/>
        <v>A~0</v>
      </c>
      <c r="L2482" t="str">
        <f>IF(J2482&lt;0,"A~0",VLOOKUP(J2482,[1]作法V!$B$1:$C$9,2,TRUE))</f>
        <v>A~0</v>
      </c>
    </row>
    <row r="2483" spans="1:12">
      <c r="A2483">
        <v>1764</v>
      </c>
      <c r="B2483" t="s">
        <v>108</v>
      </c>
      <c r="C2483" s="3">
        <v>38646</v>
      </c>
      <c r="D2483" s="3">
        <v>38747</v>
      </c>
      <c r="E2483" t="s">
        <v>17</v>
      </c>
      <c r="F2483">
        <v>33.4</v>
      </c>
      <c r="G2483">
        <v>1739.82</v>
      </c>
      <c r="H2483">
        <v>58110</v>
      </c>
      <c r="I2483" s="4">
        <v>38686</v>
      </c>
      <c r="J2483" s="5">
        <f t="shared" si="76"/>
        <v>-61</v>
      </c>
      <c r="K2483" s="6" t="str">
        <f t="shared" si="77"/>
        <v>A~0</v>
      </c>
      <c r="L2483" t="str">
        <f>IF(J2483&lt;0,"A~0",VLOOKUP(J2483,[1]作法V!$B$1:$C$9,2,TRUE))</f>
        <v>A~0</v>
      </c>
    </row>
    <row r="2484" spans="1:12">
      <c r="A2484">
        <v>1764</v>
      </c>
      <c r="B2484" t="s">
        <v>108</v>
      </c>
      <c r="C2484" s="3">
        <v>38649</v>
      </c>
      <c r="D2484" s="3">
        <v>38747</v>
      </c>
      <c r="E2484" t="s">
        <v>17</v>
      </c>
      <c r="F2484">
        <v>33.4</v>
      </c>
      <c r="G2484">
        <v>1444.5</v>
      </c>
      <c r="H2484">
        <v>48246</v>
      </c>
      <c r="I2484" s="4">
        <v>38686</v>
      </c>
      <c r="J2484" s="5">
        <f t="shared" si="76"/>
        <v>-61</v>
      </c>
      <c r="K2484" s="6" t="str">
        <f t="shared" si="77"/>
        <v>A~0</v>
      </c>
      <c r="L2484" t="str">
        <f>IF(J2484&lt;0,"A~0",VLOOKUP(J2484,[1]作法V!$B$1:$C$9,2,TRUE))</f>
        <v>A~0</v>
      </c>
    </row>
    <row r="2485" spans="1:12">
      <c r="A2485">
        <v>1764</v>
      </c>
      <c r="B2485" t="s">
        <v>108</v>
      </c>
      <c r="C2485" s="3">
        <v>38651</v>
      </c>
      <c r="D2485" s="3">
        <v>38776</v>
      </c>
      <c r="E2485" t="s">
        <v>17</v>
      </c>
      <c r="F2485">
        <v>33.4</v>
      </c>
      <c r="G2485">
        <v>1579.32</v>
      </c>
      <c r="H2485">
        <v>52749</v>
      </c>
      <c r="I2485" s="4">
        <v>38686</v>
      </c>
      <c r="J2485" s="5">
        <f t="shared" si="76"/>
        <v>-90</v>
      </c>
      <c r="K2485" s="6" t="str">
        <f t="shared" si="77"/>
        <v>A~0</v>
      </c>
      <c r="L2485" t="str">
        <f>IF(J2485&lt;0,"A~0",VLOOKUP(J2485,[1]作法V!$B$1:$C$9,2,TRUE))</f>
        <v>A~0</v>
      </c>
    </row>
    <row r="2486" spans="1:12">
      <c r="A2486">
        <v>1764</v>
      </c>
      <c r="B2486" t="s">
        <v>108</v>
      </c>
      <c r="C2486" s="3">
        <v>38651</v>
      </c>
      <c r="D2486" s="3">
        <v>38776</v>
      </c>
      <c r="E2486" t="s">
        <v>17</v>
      </c>
      <c r="F2486">
        <v>33.4</v>
      </c>
      <c r="G2486">
        <v>828.18</v>
      </c>
      <c r="H2486">
        <v>27661</v>
      </c>
      <c r="I2486" s="4">
        <v>38686</v>
      </c>
      <c r="J2486" s="5">
        <f t="shared" si="76"/>
        <v>-90</v>
      </c>
      <c r="K2486" s="6" t="str">
        <f t="shared" si="77"/>
        <v>A~0</v>
      </c>
      <c r="L2486" t="str">
        <f>IF(J2486&lt;0,"A~0",VLOOKUP(J2486,[1]作法V!$B$1:$C$9,2,TRUE))</f>
        <v>A~0</v>
      </c>
    </row>
    <row r="2487" spans="1:12">
      <c r="A2487">
        <v>1764</v>
      </c>
      <c r="B2487" t="s">
        <v>108</v>
      </c>
      <c r="C2487" s="3">
        <v>38653</v>
      </c>
      <c r="D2487" s="3">
        <v>38776</v>
      </c>
      <c r="E2487" t="s">
        <v>17</v>
      </c>
      <c r="F2487">
        <v>33.4</v>
      </c>
      <c r="G2487">
        <v>963</v>
      </c>
      <c r="H2487">
        <v>32164</v>
      </c>
      <c r="I2487" s="4">
        <v>38686</v>
      </c>
      <c r="J2487" s="5">
        <f t="shared" si="76"/>
        <v>-90</v>
      </c>
      <c r="K2487" s="6" t="str">
        <f t="shared" si="77"/>
        <v>A~0</v>
      </c>
      <c r="L2487" t="str">
        <f>IF(J2487&lt;0,"A~0",VLOOKUP(J2487,[1]作法V!$B$1:$C$9,2,TRUE))</f>
        <v>A~0</v>
      </c>
    </row>
    <row r="2488" spans="1:12">
      <c r="A2488">
        <v>1764</v>
      </c>
      <c r="B2488" t="s">
        <v>108</v>
      </c>
      <c r="C2488" s="3">
        <v>38656</v>
      </c>
      <c r="D2488" s="3">
        <v>38776</v>
      </c>
      <c r="E2488" t="s">
        <v>17</v>
      </c>
      <c r="F2488">
        <v>33.4</v>
      </c>
      <c r="G2488">
        <v>507.18</v>
      </c>
      <c r="H2488">
        <v>16940</v>
      </c>
      <c r="I2488" s="4">
        <v>38686</v>
      </c>
      <c r="J2488" s="5">
        <f t="shared" si="76"/>
        <v>-90</v>
      </c>
      <c r="K2488" s="6" t="str">
        <f t="shared" si="77"/>
        <v>A~0</v>
      </c>
      <c r="L2488" t="str">
        <f>IF(J2488&lt;0,"A~0",VLOOKUP(J2488,[1]作法V!$B$1:$C$9,2,TRUE))</f>
        <v>A~0</v>
      </c>
    </row>
    <row r="2489" spans="1:12">
      <c r="A2489">
        <v>1764</v>
      </c>
      <c r="B2489" t="s">
        <v>108</v>
      </c>
      <c r="C2489" s="3">
        <v>38656</v>
      </c>
      <c r="D2489" s="3">
        <v>38776</v>
      </c>
      <c r="E2489" t="s">
        <v>17</v>
      </c>
      <c r="F2489">
        <v>33.4</v>
      </c>
      <c r="G2489">
        <v>1418.82</v>
      </c>
      <c r="H2489">
        <v>47389</v>
      </c>
      <c r="I2489" s="4">
        <v>38686</v>
      </c>
      <c r="J2489" s="5">
        <f t="shared" si="76"/>
        <v>-90</v>
      </c>
      <c r="K2489" s="6" t="str">
        <f t="shared" si="77"/>
        <v>A~0</v>
      </c>
      <c r="L2489" t="str">
        <f>IF(J2489&lt;0,"A~0",VLOOKUP(J2489,[1]作法V!$B$1:$C$9,2,TRUE))</f>
        <v>A~0</v>
      </c>
    </row>
    <row r="2490" spans="1:12">
      <c r="A2490">
        <v>1764</v>
      </c>
      <c r="B2490" t="s">
        <v>108</v>
      </c>
      <c r="C2490" s="3">
        <v>38658</v>
      </c>
      <c r="D2490" s="3">
        <v>38776</v>
      </c>
      <c r="E2490" t="s">
        <v>17</v>
      </c>
      <c r="F2490">
        <v>33.715000000000003</v>
      </c>
      <c r="G2490">
        <v>186.18</v>
      </c>
      <c r="H2490">
        <v>6277</v>
      </c>
      <c r="I2490" s="4">
        <v>38686</v>
      </c>
      <c r="J2490" s="5">
        <f t="shared" si="76"/>
        <v>-90</v>
      </c>
      <c r="K2490" s="6" t="str">
        <f t="shared" si="77"/>
        <v>A~0</v>
      </c>
      <c r="L2490" t="str">
        <f>IF(J2490&lt;0,"A~0",VLOOKUP(J2490,[1]作法V!$B$1:$C$9,2,TRUE))</f>
        <v>A~0</v>
      </c>
    </row>
    <row r="2491" spans="1:12">
      <c r="A2491">
        <v>1764</v>
      </c>
      <c r="B2491" t="s">
        <v>108</v>
      </c>
      <c r="C2491" s="3">
        <v>38658</v>
      </c>
      <c r="D2491" s="3">
        <v>38776</v>
      </c>
      <c r="E2491" t="s">
        <v>17</v>
      </c>
      <c r="F2491">
        <v>33.715000000000003</v>
      </c>
      <c r="G2491">
        <v>2702.82</v>
      </c>
      <c r="H2491">
        <v>91126</v>
      </c>
      <c r="I2491" s="4">
        <v>38686</v>
      </c>
      <c r="J2491" s="5">
        <f t="shared" si="76"/>
        <v>-90</v>
      </c>
      <c r="K2491" s="6" t="str">
        <f t="shared" si="77"/>
        <v>A~0</v>
      </c>
      <c r="L2491" t="str">
        <f>IF(J2491&lt;0,"A~0",VLOOKUP(J2491,[1]作法V!$B$1:$C$9,2,TRUE))</f>
        <v>A~0</v>
      </c>
    </row>
    <row r="2492" spans="1:12">
      <c r="A2492">
        <v>1764</v>
      </c>
      <c r="B2492" t="s">
        <v>108</v>
      </c>
      <c r="C2492" s="3">
        <v>38660</v>
      </c>
      <c r="D2492" s="3">
        <v>38776</v>
      </c>
      <c r="E2492" t="s">
        <v>17</v>
      </c>
      <c r="F2492">
        <v>33.715000000000003</v>
      </c>
      <c r="G2492">
        <v>1926</v>
      </c>
      <c r="H2492">
        <v>64935</v>
      </c>
      <c r="I2492" s="4">
        <v>38686</v>
      </c>
      <c r="J2492" s="5">
        <f t="shared" si="76"/>
        <v>-90</v>
      </c>
      <c r="K2492" s="6" t="str">
        <f t="shared" si="77"/>
        <v>A~0</v>
      </c>
      <c r="L2492" t="str">
        <f>IF(J2492&lt;0,"A~0",VLOOKUP(J2492,[1]作法V!$B$1:$C$9,2,TRUE))</f>
        <v>A~0</v>
      </c>
    </row>
    <row r="2493" spans="1:12">
      <c r="A2493">
        <v>1764</v>
      </c>
      <c r="B2493" t="s">
        <v>108</v>
      </c>
      <c r="C2493" s="3">
        <v>38663</v>
      </c>
      <c r="D2493" s="3">
        <v>38776</v>
      </c>
      <c r="E2493" t="s">
        <v>17</v>
      </c>
      <c r="F2493">
        <v>33.715000000000003</v>
      </c>
      <c r="G2493">
        <v>2702.82</v>
      </c>
      <c r="H2493">
        <v>91126</v>
      </c>
      <c r="I2493" s="4">
        <v>38686</v>
      </c>
      <c r="J2493" s="5">
        <f t="shared" si="76"/>
        <v>-90</v>
      </c>
      <c r="K2493" s="6" t="str">
        <f t="shared" si="77"/>
        <v>A~0</v>
      </c>
      <c r="L2493" t="str">
        <f>IF(J2493&lt;0,"A~0",VLOOKUP(J2493,[1]作法V!$B$1:$C$9,2,TRUE))</f>
        <v>A~0</v>
      </c>
    </row>
    <row r="2494" spans="1:12">
      <c r="A2494">
        <v>1822</v>
      </c>
      <c r="B2494" t="s">
        <v>88</v>
      </c>
      <c r="C2494" s="3">
        <v>38464</v>
      </c>
      <c r="D2494" s="3">
        <v>38594</v>
      </c>
      <c r="E2494" t="s">
        <v>17</v>
      </c>
      <c r="F2494">
        <v>31.67</v>
      </c>
      <c r="G2494">
        <v>186.4</v>
      </c>
      <c r="H2494">
        <v>5903</v>
      </c>
      <c r="I2494" s="4">
        <v>38686</v>
      </c>
      <c r="J2494" s="5">
        <f t="shared" si="76"/>
        <v>92</v>
      </c>
      <c r="K2494" s="6" t="str">
        <f t="shared" si="77"/>
        <v>E91~120</v>
      </c>
      <c r="L2494" t="str">
        <f>IF(J2494&lt;0,"A~0",VLOOKUP(J2494,[1]作法V!$B$1:$C$9,2,TRUE))</f>
        <v>E91~120</v>
      </c>
    </row>
    <row r="2495" spans="1:12">
      <c r="A2495">
        <v>1822</v>
      </c>
      <c r="B2495" t="s">
        <v>88</v>
      </c>
      <c r="C2495" s="3">
        <v>38583</v>
      </c>
      <c r="D2495" s="3">
        <v>38716</v>
      </c>
      <c r="E2495" t="s">
        <v>17</v>
      </c>
      <c r="F2495">
        <v>31.875</v>
      </c>
      <c r="G2495">
        <v>33712</v>
      </c>
      <c r="H2495">
        <v>1074570</v>
      </c>
      <c r="I2495" s="4">
        <v>38686</v>
      </c>
      <c r="J2495" s="5">
        <f t="shared" si="76"/>
        <v>-30</v>
      </c>
      <c r="K2495" s="6" t="str">
        <f t="shared" si="77"/>
        <v>A~0</v>
      </c>
      <c r="L2495" t="str">
        <f>IF(J2495&lt;0,"A~0",VLOOKUP(J2495,[1]作法V!$B$1:$C$9,2,TRUE))</f>
        <v>A~0</v>
      </c>
    </row>
    <row r="2496" spans="1:12">
      <c r="A2496">
        <v>1822</v>
      </c>
      <c r="B2496" t="s">
        <v>88</v>
      </c>
      <c r="C2496" s="3">
        <v>38583</v>
      </c>
      <c r="D2496" s="3">
        <v>38716</v>
      </c>
      <c r="E2496" t="s">
        <v>17</v>
      </c>
      <c r="F2496">
        <v>31.875</v>
      </c>
      <c r="G2496">
        <v>1176</v>
      </c>
      <c r="H2496">
        <v>37485</v>
      </c>
      <c r="I2496" s="4">
        <v>38686</v>
      </c>
      <c r="J2496" s="5">
        <f t="shared" si="76"/>
        <v>-30</v>
      </c>
      <c r="K2496" s="6" t="str">
        <f t="shared" si="77"/>
        <v>A~0</v>
      </c>
      <c r="L2496" t="str">
        <f>IF(J2496&lt;0,"A~0",VLOOKUP(J2496,[1]作法V!$B$1:$C$9,2,TRUE))</f>
        <v>A~0</v>
      </c>
    </row>
    <row r="2497" spans="1:12">
      <c r="A2497">
        <v>1822</v>
      </c>
      <c r="B2497" t="s">
        <v>88</v>
      </c>
      <c r="C2497" s="3">
        <v>38583</v>
      </c>
      <c r="D2497" s="3">
        <v>38716</v>
      </c>
      <c r="E2497" t="s">
        <v>17</v>
      </c>
      <c r="F2497">
        <v>31.875</v>
      </c>
      <c r="G2497">
        <v>1960</v>
      </c>
      <c r="H2497">
        <v>62475</v>
      </c>
      <c r="I2497" s="4">
        <v>38686</v>
      </c>
      <c r="J2497" s="5">
        <f t="shared" si="76"/>
        <v>-30</v>
      </c>
      <c r="K2497" s="6" t="str">
        <f t="shared" si="77"/>
        <v>A~0</v>
      </c>
      <c r="L2497" t="str">
        <f>IF(J2497&lt;0,"A~0",VLOOKUP(J2497,[1]作法V!$B$1:$C$9,2,TRUE))</f>
        <v>A~0</v>
      </c>
    </row>
    <row r="2498" spans="1:12">
      <c r="A2498">
        <v>1822</v>
      </c>
      <c r="B2498" t="s">
        <v>88</v>
      </c>
      <c r="C2498" s="3">
        <v>38590</v>
      </c>
      <c r="D2498" s="3">
        <v>38722</v>
      </c>
      <c r="E2498" t="s">
        <v>17</v>
      </c>
      <c r="F2498">
        <v>31.905000000000001</v>
      </c>
      <c r="G2498">
        <v>117.03</v>
      </c>
      <c r="H2498">
        <v>3734</v>
      </c>
      <c r="I2498" s="4">
        <v>38686</v>
      </c>
      <c r="J2498" s="5">
        <f t="shared" ref="J2498:J2561" si="78">I2498-D2498</f>
        <v>-36</v>
      </c>
      <c r="K2498" s="6" t="str">
        <f t="shared" ref="K2498:K2561" si="79">IF(J2498&lt;1,"A~0",IF(J2498&lt;31,"B1~30",IF(J2498&lt;61,"C31~60",IF(J2498&lt;91,"D61~90",IF(J2498&lt;121,"E91~120",IF(J2498&lt;181,"F121~180",IF(J2498&lt;361,"G181~360","H361~")))))))</f>
        <v>A~0</v>
      </c>
      <c r="L2498" t="str">
        <f>IF(J2498&lt;0,"A~0",VLOOKUP(J2498,[1]作法V!$B$1:$C$9,2,TRUE))</f>
        <v>A~0</v>
      </c>
    </row>
    <row r="2499" spans="1:12">
      <c r="A2499">
        <v>1822</v>
      </c>
      <c r="B2499" t="s">
        <v>88</v>
      </c>
      <c r="C2499" s="3">
        <v>38590</v>
      </c>
      <c r="D2499" s="3">
        <v>38722</v>
      </c>
      <c r="E2499" t="s">
        <v>17</v>
      </c>
      <c r="F2499">
        <v>31.905000000000001</v>
      </c>
      <c r="G2499">
        <v>352.97</v>
      </c>
      <c r="H2499">
        <v>11262</v>
      </c>
      <c r="I2499" s="4">
        <v>38686</v>
      </c>
      <c r="J2499" s="5">
        <f t="shared" si="78"/>
        <v>-36</v>
      </c>
      <c r="K2499" s="6" t="str">
        <f t="shared" si="79"/>
        <v>A~0</v>
      </c>
      <c r="L2499" t="str">
        <f>IF(J2499&lt;0,"A~0",VLOOKUP(J2499,[1]作法V!$B$1:$C$9,2,TRUE))</f>
        <v>A~0</v>
      </c>
    </row>
    <row r="2500" spans="1:12">
      <c r="A2500">
        <v>1822</v>
      </c>
      <c r="B2500" t="s">
        <v>88</v>
      </c>
      <c r="C2500" s="3">
        <v>38595</v>
      </c>
      <c r="D2500" s="3">
        <v>38747</v>
      </c>
      <c r="E2500" t="s">
        <v>17</v>
      </c>
      <c r="F2500">
        <v>31.905000000000001</v>
      </c>
      <c r="G2500">
        <v>2077.6</v>
      </c>
      <c r="H2500">
        <v>66286</v>
      </c>
      <c r="I2500" s="4">
        <v>38686</v>
      </c>
      <c r="J2500" s="5">
        <f t="shared" si="78"/>
        <v>-61</v>
      </c>
      <c r="K2500" s="6" t="str">
        <f t="shared" si="79"/>
        <v>A~0</v>
      </c>
      <c r="L2500" t="str">
        <f>IF(J2500&lt;0,"A~0",VLOOKUP(J2500,[1]作法V!$B$1:$C$9,2,TRUE))</f>
        <v>A~0</v>
      </c>
    </row>
    <row r="2501" spans="1:12">
      <c r="A2501">
        <v>1822</v>
      </c>
      <c r="B2501" t="s">
        <v>88</v>
      </c>
      <c r="C2501" s="3">
        <v>38595</v>
      </c>
      <c r="D2501" s="3">
        <v>38747</v>
      </c>
      <c r="E2501" t="s">
        <v>17</v>
      </c>
      <c r="F2501">
        <v>31.905000000000001</v>
      </c>
      <c r="G2501">
        <v>1837.08</v>
      </c>
      <c r="H2501">
        <v>58612</v>
      </c>
      <c r="I2501" s="4">
        <v>38686</v>
      </c>
      <c r="J2501" s="5">
        <f t="shared" si="78"/>
        <v>-61</v>
      </c>
      <c r="K2501" s="6" t="str">
        <f t="shared" si="79"/>
        <v>A~0</v>
      </c>
      <c r="L2501" t="str">
        <f>IF(J2501&lt;0,"A~0",VLOOKUP(J2501,[1]作法V!$B$1:$C$9,2,TRUE))</f>
        <v>A~0</v>
      </c>
    </row>
    <row r="2502" spans="1:12">
      <c r="A2502">
        <v>1822</v>
      </c>
      <c r="B2502" t="s">
        <v>88</v>
      </c>
      <c r="C2502" s="3">
        <v>38595</v>
      </c>
      <c r="D2502" s="3">
        <v>38747</v>
      </c>
      <c r="E2502" t="s">
        <v>17</v>
      </c>
      <c r="F2502">
        <v>31.905000000000001</v>
      </c>
      <c r="G2502">
        <v>295.2</v>
      </c>
      <c r="H2502">
        <v>9418</v>
      </c>
      <c r="I2502" s="4">
        <v>38686</v>
      </c>
      <c r="J2502" s="5">
        <f t="shared" si="78"/>
        <v>-61</v>
      </c>
      <c r="K2502" s="6" t="str">
        <f t="shared" si="79"/>
        <v>A~0</v>
      </c>
      <c r="L2502" t="str">
        <f>IF(J2502&lt;0,"A~0",VLOOKUP(J2502,[1]作法V!$B$1:$C$9,2,TRUE))</f>
        <v>A~0</v>
      </c>
    </row>
    <row r="2503" spans="1:12">
      <c r="A2503">
        <v>1822</v>
      </c>
      <c r="B2503" t="s">
        <v>88</v>
      </c>
      <c r="C2503" s="3">
        <v>38598</v>
      </c>
      <c r="D2503" s="3">
        <v>38747</v>
      </c>
      <c r="E2503" t="s">
        <v>17</v>
      </c>
      <c r="F2503">
        <v>32.195</v>
      </c>
      <c r="G2503">
        <v>2950</v>
      </c>
      <c r="H2503">
        <v>94975</v>
      </c>
      <c r="I2503" s="4">
        <v>38686</v>
      </c>
      <c r="J2503" s="5">
        <f t="shared" si="78"/>
        <v>-61</v>
      </c>
      <c r="K2503" s="6" t="str">
        <f t="shared" si="79"/>
        <v>A~0</v>
      </c>
      <c r="L2503" t="str">
        <f>IF(J2503&lt;0,"A~0",VLOOKUP(J2503,[1]作法V!$B$1:$C$9,2,TRUE))</f>
        <v>A~0</v>
      </c>
    </row>
    <row r="2504" spans="1:12">
      <c r="A2504">
        <v>1822</v>
      </c>
      <c r="B2504" t="s">
        <v>88</v>
      </c>
      <c r="C2504" s="3">
        <v>38598</v>
      </c>
      <c r="D2504" s="3">
        <v>38747</v>
      </c>
      <c r="E2504" t="s">
        <v>17</v>
      </c>
      <c r="F2504">
        <v>32.195</v>
      </c>
      <c r="G2504">
        <v>3717</v>
      </c>
      <c r="H2504">
        <v>119669</v>
      </c>
      <c r="I2504" s="4">
        <v>38686</v>
      </c>
      <c r="J2504" s="5">
        <f t="shared" si="78"/>
        <v>-61</v>
      </c>
      <c r="K2504" s="6" t="str">
        <f t="shared" si="79"/>
        <v>A~0</v>
      </c>
      <c r="L2504" t="str">
        <f>IF(J2504&lt;0,"A~0",VLOOKUP(J2504,[1]作法V!$B$1:$C$9,2,TRUE))</f>
        <v>A~0</v>
      </c>
    </row>
    <row r="2505" spans="1:12">
      <c r="A2505">
        <v>1822</v>
      </c>
      <c r="B2505" t="s">
        <v>88</v>
      </c>
      <c r="C2505" s="3">
        <v>38602</v>
      </c>
      <c r="D2505" s="3">
        <v>38747</v>
      </c>
      <c r="E2505" t="s">
        <v>17</v>
      </c>
      <c r="F2505">
        <v>32.195</v>
      </c>
      <c r="G2505">
        <v>8898.4</v>
      </c>
      <c r="H2505">
        <v>286484</v>
      </c>
      <c r="I2505" s="4">
        <v>38686</v>
      </c>
      <c r="J2505" s="5">
        <f t="shared" si="78"/>
        <v>-61</v>
      </c>
      <c r="K2505" s="6" t="str">
        <f t="shared" si="79"/>
        <v>A~0</v>
      </c>
      <c r="L2505" t="str">
        <f>IF(J2505&lt;0,"A~0",VLOOKUP(J2505,[1]作法V!$B$1:$C$9,2,TRUE))</f>
        <v>A~0</v>
      </c>
    </row>
    <row r="2506" spans="1:12">
      <c r="A2506">
        <v>1822</v>
      </c>
      <c r="B2506" t="s">
        <v>88</v>
      </c>
      <c r="C2506" s="3">
        <v>38602</v>
      </c>
      <c r="D2506" s="3">
        <v>38747</v>
      </c>
      <c r="E2506" t="s">
        <v>17</v>
      </c>
      <c r="F2506">
        <v>32.195</v>
      </c>
      <c r="G2506">
        <v>705.6</v>
      </c>
      <c r="H2506">
        <v>22717</v>
      </c>
      <c r="I2506" s="4">
        <v>38686</v>
      </c>
      <c r="J2506" s="5">
        <f t="shared" si="78"/>
        <v>-61</v>
      </c>
      <c r="K2506" s="6" t="str">
        <f t="shared" si="79"/>
        <v>A~0</v>
      </c>
      <c r="L2506" t="str">
        <f>IF(J2506&lt;0,"A~0",VLOOKUP(J2506,[1]作法V!$B$1:$C$9,2,TRUE))</f>
        <v>A~0</v>
      </c>
    </row>
    <row r="2507" spans="1:12">
      <c r="A2507">
        <v>1822</v>
      </c>
      <c r="B2507" t="s">
        <v>88</v>
      </c>
      <c r="C2507" s="3">
        <v>38610</v>
      </c>
      <c r="D2507" s="3">
        <v>38747</v>
      </c>
      <c r="E2507" t="s">
        <v>17</v>
      </c>
      <c r="F2507">
        <v>32.365000000000002</v>
      </c>
      <c r="G2507">
        <v>486</v>
      </c>
      <c r="H2507">
        <v>15729</v>
      </c>
      <c r="I2507" s="4">
        <v>38686</v>
      </c>
      <c r="J2507" s="5">
        <f t="shared" si="78"/>
        <v>-61</v>
      </c>
      <c r="K2507" s="6" t="str">
        <f t="shared" si="79"/>
        <v>A~0</v>
      </c>
      <c r="L2507" t="str">
        <f>IF(J2507&lt;0,"A~0",VLOOKUP(J2507,[1]作法V!$B$1:$C$9,2,TRUE))</f>
        <v>A~0</v>
      </c>
    </row>
    <row r="2508" spans="1:12">
      <c r="A2508">
        <v>1822</v>
      </c>
      <c r="B2508" t="s">
        <v>88</v>
      </c>
      <c r="C2508" s="3">
        <v>38614</v>
      </c>
      <c r="D2508" s="3">
        <v>38722</v>
      </c>
      <c r="E2508" t="s">
        <v>17</v>
      </c>
      <c r="F2508">
        <v>32.365000000000002</v>
      </c>
      <c r="G2508">
        <v>66.510000000000005</v>
      </c>
      <c r="H2508">
        <v>2153</v>
      </c>
      <c r="I2508" s="4">
        <v>38686</v>
      </c>
      <c r="J2508" s="5">
        <f t="shared" si="78"/>
        <v>-36</v>
      </c>
      <c r="K2508" s="6" t="str">
        <f t="shared" si="79"/>
        <v>A~0</v>
      </c>
      <c r="L2508" t="str">
        <f>IF(J2508&lt;0,"A~0",VLOOKUP(J2508,[1]作法V!$B$1:$C$9,2,TRUE))</f>
        <v>A~0</v>
      </c>
    </row>
    <row r="2509" spans="1:12">
      <c r="A2509">
        <v>1822</v>
      </c>
      <c r="B2509" t="s">
        <v>88</v>
      </c>
      <c r="C2509" s="3">
        <v>38614</v>
      </c>
      <c r="D2509" s="3">
        <v>38722</v>
      </c>
      <c r="E2509" t="s">
        <v>17</v>
      </c>
      <c r="F2509">
        <v>32.365000000000002</v>
      </c>
      <c r="G2509">
        <v>104.34</v>
      </c>
      <c r="H2509">
        <v>3377</v>
      </c>
      <c r="I2509" s="4">
        <v>38686</v>
      </c>
      <c r="J2509" s="5">
        <f t="shared" si="78"/>
        <v>-36</v>
      </c>
      <c r="K2509" s="6" t="str">
        <f t="shared" si="79"/>
        <v>A~0</v>
      </c>
      <c r="L2509" t="str">
        <f>IF(J2509&lt;0,"A~0",VLOOKUP(J2509,[1]作法V!$B$1:$C$9,2,TRUE))</f>
        <v>A~0</v>
      </c>
    </row>
    <row r="2510" spans="1:12">
      <c r="A2510">
        <v>1822</v>
      </c>
      <c r="B2510" t="s">
        <v>88</v>
      </c>
      <c r="C2510" s="3">
        <v>38614</v>
      </c>
      <c r="D2510" s="3">
        <v>38747</v>
      </c>
      <c r="E2510" t="s">
        <v>17</v>
      </c>
      <c r="F2510">
        <v>32.365000000000002</v>
      </c>
      <c r="G2510">
        <v>139.80000000000001</v>
      </c>
      <c r="H2510">
        <v>4525</v>
      </c>
      <c r="I2510" s="4">
        <v>38686</v>
      </c>
      <c r="J2510" s="5">
        <f t="shared" si="78"/>
        <v>-61</v>
      </c>
      <c r="K2510" s="6" t="str">
        <f t="shared" si="79"/>
        <v>A~0</v>
      </c>
      <c r="L2510" t="str">
        <f>IF(J2510&lt;0,"A~0",VLOOKUP(J2510,[1]作法V!$B$1:$C$9,2,TRUE))</f>
        <v>A~0</v>
      </c>
    </row>
    <row r="2511" spans="1:12">
      <c r="A2511">
        <v>1822</v>
      </c>
      <c r="B2511" t="s">
        <v>88</v>
      </c>
      <c r="C2511" s="3">
        <v>38614</v>
      </c>
      <c r="D2511" s="3">
        <v>38747</v>
      </c>
      <c r="E2511" t="s">
        <v>17</v>
      </c>
      <c r="F2511">
        <v>32.365000000000002</v>
      </c>
      <c r="G2511">
        <v>4660</v>
      </c>
      <c r="H2511">
        <v>150821</v>
      </c>
      <c r="I2511" s="4">
        <v>38686</v>
      </c>
      <c r="J2511" s="5">
        <f t="shared" si="78"/>
        <v>-61</v>
      </c>
      <c r="K2511" s="6" t="str">
        <f t="shared" si="79"/>
        <v>A~0</v>
      </c>
      <c r="L2511" t="str">
        <f>IF(J2511&lt;0,"A~0",VLOOKUP(J2511,[1]作法V!$B$1:$C$9,2,TRUE))</f>
        <v>A~0</v>
      </c>
    </row>
    <row r="2512" spans="1:12">
      <c r="A2512">
        <v>1822</v>
      </c>
      <c r="B2512" t="s">
        <v>88</v>
      </c>
      <c r="C2512" s="3">
        <v>38616</v>
      </c>
      <c r="D2512" s="3">
        <v>38747</v>
      </c>
      <c r="E2512" t="s">
        <v>17</v>
      </c>
      <c r="F2512">
        <v>32.799999999999997</v>
      </c>
      <c r="G2512">
        <v>784</v>
      </c>
      <c r="H2512">
        <v>25715</v>
      </c>
      <c r="I2512" s="4">
        <v>38686</v>
      </c>
      <c r="J2512" s="5">
        <f t="shared" si="78"/>
        <v>-61</v>
      </c>
      <c r="K2512" s="6" t="str">
        <f t="shared" si="79"/>
        <v>A~0</v>
      </c>
      <c r="L2512" t="str">
        <f>IF(J2512&lt;0,"A~0",VLOOKUP(J2512,[1]作法V!$B$1:$C$9,2,TRUE))</f>
        <v>A~0</v>
      </c>
    </row>
    <row r="2513" spans="1:12">
      <c r="A2513">
        <v>1822</v>
      </c>
      <c r="B2513" t="s">
        <v>88</v>
      </c>
      <c r="C2513" s="3">
        <v>38616</v>
      </c>
      <c r="D2513" s="3">
        <v>38747</v>
      </c>
      <c r="E2513" t="s">
        <v>17</v>
      </c>
      <c r="F2513">
        <v>32.799999999999997</v>
      </c>
      <c r="G2513">
        <v>1555.2</v>
      </c>
      <c r="H2513">
        <v>51011</v>
      </c>
      <c r="I2513" s="4">
        <v>38686</v>
      </c>
      <c r="J2513" s="5">
        <f t="shared" si="78"/>
        <v>-61</v>
      </c>
      <c r="K2513" s="6" t="str">
        <f t="shared" si="79"/>
        <v>A~0</v>
      </c>
      <c r="L2513" t="str">
        <f>IF(J2513&lt;0,"A~0",VLOOKUP(J2513,[1]作法V!$B$1:$C$9,2,TRUE))</f>
        <v>A~0</v>
      </c>
    </row>
    <row r="2514" spans="1:12">
      <c r="A2514">
        <v>1822</v>
      </c>
      <c r="B2514" t="s">
        <v>88</v>
      </c>
      <c r="C2514" s="3">
        <v>38616</v>
      </c>
      <c r="D2514" s="3">
        <v>38747</v>
      </c>
      <c r="E2514" t="s">
        <v>17</v>
      </c>
      <c r="F2514">
        <v>32.799999999999997</v>
      </c>
      <c r="G2514">
        <v>6791.12</v>
      </c>
      <c r="H2514">
        <v>222749</v>
      </c>
      <c r="I2514" s="4">
        <v>38686</v>
      </c>
      <c r="J2514" s="5">
        <f t="shared" si="78"/>
        <v>-61</v>
      </c>
      <c r="K2514" s="6" t="str">
        <f t="shared" si="79"/>
        <v>A~0</v>
      </c>
      <c r="L2514" t="str">
        <f>IF(J2514&lt;0,"A~0",VLOOKUP(J2514,[1]作法V!$B$1:$C$9,2,TRUE))</f>
        <v>A~0</v>
      </c>
    </row>
    <row r="2515" spans="1:12">
      <c r="A2515">
        <v>1822</v>
      </c>
      <c r="B2515" t="s">
        <v>88</v>
      </c>
      <c r="C2515" s="3">
        <v>38616</v>
      </c>
      <c r="D2515" s="3">
        <v>38747</v>
      </c>
      <c r="E2515" t="s">
        <v>17</v>
      </c>
      <c r="F2515">
        <v>32.799999999999997</v>
      </c>
      <c r="G2515">
        <v>2352</v>
      </c>
      <c r="H2515">
        <v>77146</v>
      </c>
      <c r="I2515" s="4">
        <v>38686</v>
      </c>
      <c r="J2515" s="5">
        <f t="shared" si="78"/>
        <v>-61</v>
      </c>
      <c r="K2515" s="6" t="str">
        <f t="shared" si="79"/>
        <v>A~0</v>
      </c>
      <c r="L2515" t="str">
        <f>IF(J2515&lt;0,"A~0",VLOOKUP(J2515,[1]作法V!$B$1:$C$9,2,TRUE))</f>
        <v>A~0</v>
      </c>
    </row>
    <row r="2516" spans="1:12">
      <c r="A2516">
        <v>1822</v>
      </c>
      <c r="B2516" t="s">
        <v>88</v>
      </c>
      <c r="C2516" s="3">
        <v>38616</v>
      </c>
      <c r="D2516" s="3">
        <v>38747</v>
      </c>
      <c r="E2516" t="s">
        <v>17</v>
      </c>
      <c r="F2516">
        <v>32.799999999999997</v>
      </c>
      <c r="G2516">
        <v>11681.6</v>
      </c>
      <c r="H2516">
        <v>383156</v>
      </c>
      <c r="I2516" s="4">
        <v>38686</v>
      </c>
      <c r="J2516" s="5">
        <f t="shared" si="78"/>
        <v>-61</v>
      </c>
      <c r="K2516" s="6" t="str">
        <f t="shared" si="79"/>
        <v>A~0</v>
      </c>
      <c r="L2516" t="str">
        <f>IF(J2516&lt;0,"A~0",VLOOKUP(J2516,[1]作法V!$B$1:$C$9,2,TRUE))</f>
        <v>A~0</v>
      </c>
    </row>
    <row r="2517" spans="1:12">
      <c r="A2517">
        <v>1822</v>
      </c>
      <c r="B2517" t="s">
        <v>88</v>
      </c>
      <c r="C2517" s="3">
        <v>38618</v>
      </c>
      <c r="D2517" s="3">
        <v>38747</v>
      </c>
      <c r="E2517" t="s">
        <v>17</v>
      </c>
      <c r="F2517">
        <v>32.799999999999997</v>
      </c>
      <c r="G2517">
        <v>1020.6</v>
      </c>
      <c r="H2517">
        <v>33476</v>
      </c>
      <c r="I2517" s="4">
        <v>38686</v>
      </c>
      <c r="J2517" s="5">
        <f t="shared" si="78"/>
        <v>-61</v>
      </c>
      <c r="K2517" s="6" t="str">
        <f t="shared" si="79"/>
        <v>A~0</v>
      </c>
      <c r="L2517" t="str">
        <f>IF(J2517&lt;0,"A~0",VLOOKUP(J2517,[1]作法V!$B$1:$C$9,2,TRUE))</f>
        <v>A~0</v>
      </c>
    </row>
    <row r="2518" spans="1:12">
      <c r="A2518">
        <v>1822</v>
      </c>
      <c r="B2518" t="s">
        <v>88</v>
      </c>
      <c r="C2518" s="3">
        <v>38618</v>
      </c>
      <c r="D2518" s="3">
        <v>38747</v>
      </c>
      <c r="E2518" t="s">
        <v>17</v>
      </c>
      <c r="F2518">
        <v>32.799999999999997</v>
      </c>
      <c r="G2518">
        <v>1176</v>
      </c>
      <c r="H2518">
        <v>38573</v>
      </c>
      <c r="I2518" s="4">
        <v>38686</v>
      </c>
      <c r="J2518" s="5">
        <f t="shared" si="78"/>
        <v>-61</v>
      </c>
      <c r="K2518" s="6" t="str">
        <f t="shared" si="79"/>
        <v>A~0</v>
      </c>
      <c r="L2518" t="str">
        <f>IF(J2518&lt;0,"A~0",VLOOKUP(J2518,[1]作法V!$B$1:$C$9,2,TRUE))</f>
        <v>A~0</v>
      </c>
    </row>
    <row r="2519" spans="1:12">
      <c r="A2519">
        <v>1822</v>
      </c>
      <c r="B2519" t="s">
        <v>88</v>
      </c>
      <c r="C2519" s="3">
        <v>38623</v>
      </c>
      <c r="D2519" s="3">
        <v>38776</v>
      </c>
      <c r="E2519" t="s">
        <v>17</v>
      </c>
      <c r="F2519">
        <v>32.799999999999997</v>
      </c>
      <c r="G2519">
        <v>5172.6000000000004</v>
      </c>
      <c r="H2519">
        <v>169661</v>
      </c>
      <c r="I2519" s="4">
        <v>38686</v>
      </c>
      <c r="J2519" s="5">
        <f t="shared" si="78"/>
        <v>-90</v>
      </c>
      <c r="K2519" s="6" t="str">
        <f t="shared" si="79"/>
        <v>A~0</v>
      </c>
      <c r="L2519" t="str">
        <f>IF(J2519&lt;0,"A~0",VLOOKUP(J2519,[1]作法V!$B$1:$C$9,2,TRUE))</f>
        <v>A~0</v>
      </c>
    </row>
    <row r="2520" spans="1:12">
      <c r="A2520">
        <v>1822</v>
      </c>
      <c r="B2520" t="s">
        <v>88</v>
      </c>
      <c r="C2520" s="3">
        <v>38623</v>
      </c>
      <c r="D2520" s="3">
        <v>38776</v>
      </c>
      <c r="E2520" t="s">
        <v>17</v>
      </c>
      <c r="F2520">
        <v>32.799999999999997</v>
      </c>
      <c r="G2520">
        <v>442.8</v>
      </c>
      <c r="H2520">
        <v>14524</v>
      </c>
      <c r="I2520" s="4">
        <v>38686</v>
      </c>
      <c r="J2520" s="5">
        <f t="shared" si="78"/>
        <v>-90</v>
      </c>
      <c r="K2520" s="6" t="str">
        <f t="shared" si="79"/>
        <v>A~0</v>
      </c>
      <c r="L2520" t="str">
        <f>IF(J2520&lt;0,"A~0",VLOOKUP(J2520,[1]作法V!$B$1:$C$9,2,TRUE))</f>
        <v>A~0</v>
      </c>
    </row>
    <row r="2521" spans="1:12">
      <c r="A2521">
        <v>1822</v>
      </c>
      <c r="B2521" t="s">
        <v>88</v>
      </c>
      <c r="C2521" s="3">
        <v>38623</v>
      </c>
      <c r="D2521" s="3">
        <v>38776</v>
      </c>
      <c r="E2521" t="s">
        <v>17</v>
      </c>
      <c r="F2521">
        <v>32.799999999999997</v>
      </c>
      <c r="G2521">
        <v>4116</v>
      </c>
      <c r="H2521">
        <v>135005</v>
      </c>
      <c r="I2521" s="4">
        <v>38686</v>
      </c>
      <c r="J2521" s="5">
        <f t="shared" si="78"/>
        <v>-90</v>
      </c>
      <c r="K2521" s="6" t="str">
        <f t="shared" si="79"/>
        <v>A~0</v>
      </c>
      <c r="L2521" t="str">
        <f>IF(J2521&lt;0,"A~0",VLOOKUP(J2521,[1]作法V!$B$1:$C$9,2,TRUE))</f>
        <v>A~0</v>
      </c>
    </row>
    <row r="2522" spans="1:12">
      <c r="A2522">
        <v>1822</v>
      </c>
      <c r="B2522" t="s">
        <v>88</v>
      </c>
      <c r="C2522" s="3">
        <v>38632</v>
      </c>
      <c r="D2522" s="3">
        <v>38776</v>
      </c>
      <c r="E2522" t="s">
        <v>17</v>
      </c>
      <c r="F2522">
        <v>33.15</v>
      </c>
      <c r="G2522">
        <v>5900</v>
      </c>
      <c r="H2522">
        <v>195585</v>
      </c>
      <c r="I2522" s="4">
        <v>38686</v>
      </c>
      <c r="J2522" s="5">
        <f t="shared" si="78"/>
        <v>-90</v>
      </c>
      <c r="K2522" s="6" t="str">
        <f t="shared" si="79"/>
        <v>A~0</v>
      </c>
      <c r="L2522" t="str">
        <f>IF(J2522&lt;0,"A~0",VLOOKUP(J2522,[1]作法V!$B$1:$C$9,2,TRUE))</f>
        <v>A~0</v>
      </c>
    </row>
    <row r="2523" spans="1:12">
      <c r="A2523">
        <v>1822</v>
      </c>
      <c r="B2523" t="s">
        <v>88</v>
      </c>
      <c r="C2523" s="3">
        <v>38642</v>
      </c>
      <c r="D2523" s="3">
        <v>38776</v>
      </c>
      <c r="E2523" t="s">
        <v>17</v>
      </c>
      <c r="F2523">
        <v>33.195</v>
      </c>
      <c r="G2523">
        <v>616.08000000000004</v>
      </c>
      <c r="H2523">
        <v>20451</v>
      </c>
      <c r="I2523" s="4">
        <v>38686</v>
      </c>
      <c r="J2523" s="5">
        <f t="shared" si="78"/>
        <v>-90</v>
      </c>
      <c r="K2523" s="6" t="str">
        <f t="shared" si="79"/>
        <v>A~0</v>
      </c>
      <c r="L2523" t="str">
        <f>IF(J2523&lt;0,"A~0",VLOOKUP(J2523,[1]作法V!$B$1:$C$9,2,TRUE))</f>
        <v>A~0</v>
      </c>
    </row>
    <row r="2524" spans="1:12">
      <c r="A2524">
        <v>1822</v>
      </c>
      <c r="B2524" t="s">
        <v>88</v>
      </c>
      <c r="C2524" s="3">
        <v>38642</v>
      </c>
      <c r="D2524" s="3">
        <v>38776</v>
      </c>
      <c r="E2524" t="s">
        <v>17</v>
      </c>
      <c r="F2524">
        <v>33.195</v>
      </c>
      <c r="G2524">
        <v>25075</v>
      </c>
      <c r="H2524">
        <v>832365</v>
      </c>
      <c r="I2524" s="4">
        <v>38686</v>
      </c>
      <c r="J2524" s="5">
        <f t="shared" si="78"/>
        <v>-90</v>
      </c>
      <c r="K2524" s="6" t="str">
        <f t="shared" si="79"/>
        <v>A~0</v>
      </c>
      <c r="L2524" t="str">
        <f>IF(J2524&lt;0,"A~0",VLOOKUP(J2524,[1]作法V!$B$1:$C$9,2,TRUE))</f>
        <v>A~0</v>
      </c>
    </row>
    <row r="2525" spans="1:12">
      <c r="A2525">
        <v>1822</v>
      </c>
      <c r="B2525" t="s">
        <v>88</v>
      </c>
      <c r="C2525" s="3">
        <v>38642</v>
      </c>
      <c r="D2525" s="3">
        <v>38776</v>
      </c>
      <c r="E2525" t="s">
        <v>17</v>
      </c>
      <c r="F2525">
        <v>33.195</v>
      </c>
      <c r="G2525">
        <v>186.4</v>
      </c>
      <c r="H2525">
        <v>6188</v>
      </c>
      <c r="I2525" s="4">
        <v>38686</v>
      </c>
      <c r="J2525" s="5">
        <f t="shared" si="78"/>
        <v>-90</v>
      </c>
      <c r="K2525" s="6" t="str">
        <f t="shared" si="79"/>
        <v>A~0</v>
      </c>
      <c r="L2525" t="str">
        <f>IF(J2525&lt;0,"A~0",VLOOKUP(J2525,[1]作法V!$B$1:$C$9,2,TRUE))</f>
        <v>A~0</v>
      </c>
    </row>
    <row r="2526" spans="1:12">
      <c r="A2526">
        <v>1822</v>
      </c>
      <c r="B2526" t="s">
        <v>88</v>
      </c>
      <c r="C2526" s="3">
        <v>38645</v>
      </c>
      <c r="D2526" s="3">
        <v>38776</v>
      </c>
      <c r="E2526" t="s">
        <v>17</v>
      </c>
      <c r="F2526">
        <v>33.195</v>
      </c>
      <c r="G2526">
        <v>5096</v>
      </c>
      <c r="H2526">
        <v>169162</v>
      </c>
      <c r="I2526" s="4">
        <v>38686</v>
      </c>
      <c r="J2526" s="5">
        <f t="shared" si="78"/>
        <v>-90</v>
      </c>
      <c r="K2526" s="6" t="str">
        <f t="shared" si="79"/>
        <v>A~0</v>
      </c>
      <c r="L2526" t="str">
        <f>IF(J2526&lt;0,"A~0",VLOOKUP(J2526,[1]作法V!$B$1:$C$9,2,TRUE))</f>
        <v>A~0</v>
      </c>
    </row>
    <row r="2527" spans="1:12">
      <c r="A2527">
        <v>1822</v>
      </c>
      <c r="B2527" t="s">
        <v>88</v>
      </c>
      <c r="C2527" s="3">
        <v>38645</v>
      </c>
      <c r="D2527" s="3">
        <v>38776</v>
      </c>
      <c r="E2527" t="s">
        <v>17</v>
      </c>
      <c r="F2527">
        <v>33.195</v>
      </c>
      <c r="G2527">
        <v>2352</v>
      </c>
      <c r="H2527">
        <v>78075</v>
      </c>
      <c r="I2527" s="4">
        <v>38686</v>
      </c>
      <c r="J2527" s="5">
        <f t="shared" si="78"/>
        <v>-90</v>
      </c>
      <c r="K2527" s="6" t="str">
        <f t="shared" si="79"/>
        <v>A~0</v>
      </c>
      <c r="L2527" t="str">
        <f>IF(J2527&lt;0,"A~0",VLOOKUP(J2527,[1]作法V!$B$1:$C$9,2,TRUE))</f>
        <v>A~0</v>
      </c>
    </row>
    <row r="2528" spans="1:12">
      <c r="A2528">
        <v>1822</v>
      </c>
      <c r="B2528" t="s">
        <v>88</v>
      </c>
      <c r="C2528" s="3">
        <v>38645</v>
      </c>
      <c r="D2528" s="3">
        <v>38776</v>
      </c>
      <c r="E2528" t="s">
        <v>17</v>
      </c>
      <c r="F2528">
        <v>33.195</v>
      </c>
      <c r="G2528">
        <v>26930.400000000001</v>
      </c>
      <c r="H2528">
        <v>893955</v>
      </c>
      <c r="I2528" s="4">
        <v>38686</v>
      </c>
      <c r="J2528" s="5">
        <f t="shared" si="78"/>
        <v>-90</v>
      </c>
      <c r="K2528" s="6" t="str">
        <f t="shared" si="79"/>
        <v>A~0</v>
      </c>
      <c r="L2528" t="str">
        <f>IF(J2528&lt;0,"A~0",VLOOKUP(J2528,[1]作法V!$B$1:$C$9,2,TRUE))</f>
        <v>A~0</v>
      </c>
    </row>
    <row r="2529" spans="1:12">
      <c r="A2529">
        <v>1822</v>
      </c>
      <c r="B2529" t="s">
        <v>88</v>
      </c>
      <c r="C2529" s="3">
        <v>38645</v>
      </c>
      <c r="D2529" s="3">
        <v>38776</v>
      </c>
      <c r="E2529" t="s">
        <v>17</v>
      </c>
      <c r="F2529">
        <v>33.195</v>
      </c>
      <c r="G2529">
        <v>392</v>
      </c>
      <c r="H2529">
        <v>13012</v>
      </c>
      <c r="I2529" s="4">
        <v>38686</v>
      </c>
      <c r="J2529" s="5">
        <f t="shared" si="78"/>
        <v>-90</v>
      </c>
      <c r="K2529" s="6" t="str">
        <f t="shared" si="79"/>
        <v>A~0</v>
      </c>
      <c r="L2529" t="str">
        <f>IF(J2529&lt;0,"A~0",VLOOKUP(J2529,[1]作法V!$B$1:$C$9,2,TRUE))</f>
        <v>A~0</v>
      </c>
    </row>
    <row r="2530" spans="1:12">
      <c r="A2530">
        <v>1822</v>
      </c>
      <c r="B2530" t="s">
        <v>88</v>
      </c>
      <c r="C2530" s="3">
        <v>38646</v>
      </c>
      <c r="D2530" s="3">
        <v>38776</v>
      </c>
      <c r="E2530" t="s">
        <v>17</v>
      </c>
      <c r="F2530">
        <v>33.4</v>
      </c>
      <c r="G2530">
        <v>4425</v>
      </c>
      <c r="H2530">
        <v>147795</v>
      </c>
      <c r="I2530" s="4">
        <v>38686</v>
      </c>
      <c r="J2530" s="5">
        <f t="shared" si="78"/>
        <v>-90</v>
      </c>
      <c r="K2530" s="6" t="str">
        <f t="shared" si="79"/>
        <v>A~0</v>
      </c>
      <c r="L2530" t="str">
        <f>IF(J2530&lt;0,"A~0",VLOOKUP(J2530,[1]作法V!$B$1:$C$9,2,TRUE))</f>
        <v>A~0</v>
      </c>
    </row>
    <row r="2531" spans="1:12">
      <c r="A2531">
        <v>1822</v>
      </c>
      <c r="B2531" t="s">
        <v>88</v>
      </c>
      <c r="C2531" s="3">
        <v>38646</v>
      </c>
      <c r="D2531" s="3">
        <v>38776</v>
      </c>
      <c r="E2531" t="s">
        <v>17</v>
      </c>
      <c r="F2531">
        <v>33.4</v>
      </c>
      <c r="G2531">
        <v>1475</v>
      </c>
      <c r="H2531">
        <v>49265</v>
      </c>
      <c r="I2531" s="4">
        <v>38686</v>
      </c>
      <c r="J2531" s="5">
        <f t="shared" si="78"/>
        <v>-90</v>
      </c>
      <c r="K2531" s="6" t="str">
        <f t="shared" si="79"/>
        <v>A~0</v>
      </c>
      <c r="L2531" t="str">
        <f>IF(J2531&lt;0,"A~0",VLOOKUP(J2531,[1]作法V!$B$1:$C$9,2,TRUE))</f>
        <v>A~0</v>
      </c>
    </row>
    <row r="2532" spans="1:12">
      <c r="A2532">
        <v>1822</v>
      </c>
      <c r="B2532" t="s">
        <v>88</v>
      </c>
      <c r="C2532" s="3">
        <v>38660</v>
      </c>
      <c r="D2532" s="3">
        <v>38806</v>
      </c>
      <c r="E2532" t="s">
        <v>17</v>
      </c>
      <c r="F2532">
        <v>33.715000000000003</v>
      </c>
      <c r="G2532">
        <v>784</v>
      </c>
      <c r="H2532">
        <v>26433</v>
      </c>
      <c r="I2532" s="4">
        <v>38686</v>
      </c>
      <c r="J2532" s="5">
        <f t="shared" si="78"/>
        <v>-120</v>
      </c>
      <c r="K2532" s="6" t="str">
        <f t="shared" si="79"/>
        <v>A~0</v>
      </c>
      <c r="L2532" t="str">
        <f>IF(J2532&lt;0,"A~0",VLOOKUP(J2532,[1]作法V!$B$1:$C$9,2,TRUE))</f>
        <v>A~0</v>
      </c>
    </row>
    <row r="2533" spans="1:12">
      <c r="A2533">
        <v>1822</v>
      </c>
      <c r="B2533" t="s">
        <v>88</v>
      </c>
      <c r="C2533" s="3">
        <v>38665</v>
      </c>
      <c r="D2533" s="3">
        <v>38806</v>
      </c>
      <c r="E2533" t="s">
        <v>17</v>
      </c>
      <c r="F2533">
        <v>33.715000000000003</v>
      </c>
      <c r="G2533">
        <v>21952</v>
      </c>
      <c r="H2533">
        <v>740112</v>
      </c>
      <c r="I2533" s="4">
        <v>38686</v>
      </c>
      <c r="J2533" s="5">
        <f t="shared" si="78"/>
        <v>-120</v>
      </c>
      <c r="K2533" s="6" t="str">
        <f t="shared" si="79"/>
        <v>A~0</v>
      </c>
      <c r="L2533" t="str">
        <f>IF(J2533&lt;0,"A~0",VLOOKUP(J2533,[1]作法V!$B$1:$C$9,2,TRUE))</f>
        <v>A~0</v>
      </c>
    </row>
    <row r="2534" spans="1:12">
      <c r="A2534">
        <v>1822</v>
      </c>
      <c r="B2534" t="s">
        <v>88</v>
      </c>
      <c r="C2534" s="3">
        <v>38667</v>
      </c>
      <c r="D2534" s="3">
        <v>38781</v>
      </c>
      <c r="E2534" t="s">
        <v>17</v>
      </c>
      <c r="F2534">
        <v>33.634999999999998</v>
      </c>
      <c r="G2534">
        <v>70.5</v>
      </c>
      <c r="H2534">
        <v>2371</v>
      </c>
      <c r="I2534" s="4">
        <v>38686</v>
      </c>
      <c r="J2534" s="5">
        <f t="shared" si="78"/>
        <v>-95</v>
      </c>
      <c r="K2534" s="6" t="str">
        <f t="shared" si="79"/>
        <v>A~0</v>
      </c>
      <c r="L2534" t="str">
        <f>IF(J2534&lt;0,"A~0",VLOOKUP(J2534,[1]作法V!$B$1:$C$9,2,TRUE))</f>
        <v>A~0</v>
      </c>
    </row>
    <row r="2535" spans="1:12">
      <c r="A2535">
        <v>1822</v>
      </c>
      <c r="B2535" t="s">
        <v>88</v>
      </c>
      <c r="C2535" s="3">
        <v>38667</v>
      </c>
      <c r="D2535" s="3">
        <v>38781</v>
      </c>
      <c r="E2535" t="s">
        <v>17</v>
      </c>
      <c r="F2535">
        <v>33.634999999999998</v>
      </c>
      <c r="G2535">
        <v>27.5</v>
      </c>
      <c r="H2535">
        <v>925</v>
      </c>
      <c r="I2535" s="4">
        <v>38686</v>
      </c>
      <c r="J2535" s="5">
        <f t="shared" si="78"/>
        <v>-95</v>
      </c>
      <c r="K2535" s="6" t="str">
        <f t="shared" si="79"/>
        <v>A~0</v>
      </c>
      <c r="L2535" t="str">
        <f>IF(J2535&lt;0,"A~0",VLOOKUP(J2535,[1]作法V!$B$1:$C$9,2,TRUE))</f>
        <v>A~0</v>
      </c>
    </row>
    <row r="2536" spans="1:12">
      <c r="A2536">
        <v>1822</v>
      </c>
      <c r="B2536" t="s">
        <v>88</v>
      </c>
      <c r="C2536" s="3">
        <v>38667</v>
      </c>
      <c r="D2536" s="3">
        <v>38781</v>
      </c>
      <c r="E2536" t="s">
        <v>17</v>
      </c>
      <c r="F2536">
        <v>33.634999999999998</v>
      </c>
      <c r="G2536">
        <v>470</v>
      </c>
      <c r="H2536">
        <v>15808</v>
      </c>
      <c r="I2536" s="4">
        <v>38686</v>
      </c>
      <c r="J2536" s="5">
        <f t="shared" si="78"/>
        <v>-95</v>
      </c>
      <c r="K2536" s="6" t="str">
        <f t="shared" si="79"/>
        <v>A~0</v>
      </c>
      <c r="L2536" t="str">
        <f>IF(J2536&lt;0,"A~0",VLOOKUP(J2536,[1]作法V!$B$1:$C$9,2,TRUE))</f>
        <v>A~0</v>
      </c>
    </row>
    <row r="2537" spans="1:12">
      <c r="A2537">
        <v>1822</v>
      </c>
      <c r="B2537" t="s">
        <v>88</v>
      </c>
      <c r="C2537" s="3">
        <v>38672</v>
      </c>
      <c r="D2537" s="3">
        <v>38806</v>
      </c>
      <c r="E2537" t="s">
        <v>17</v>
      </c>
      <c r="F2537">
        <v>33.634999999999998</v>
      </c>
      <c r="G2537">
        <v>4007.6</v>
      </c>
      <c r="H2537">
        <v>134796</v>
      </c>
      <c r="I2537" s="4">
        <v>38686</v>
      </c>
      <c r="J2537" s="5">
        <f t="shared" si="78"/>
        <v>-120</v>
      </c>
      <c r="K2537" s="6" t="str">
        <f t="shared" si="79"/>
        <v>A~0</v>
      </c>
      <c r="L2537" t="str">
        <f>IF(J2537&lt;0,"A~0",VLOOKUP(J2537,[1]作法V!$B$1:$C$9,2,TRUE))</f>
        <v>A~0</v>
      </c>
    </row>
    <row r="2538" spans="1:12">
      <c r="A2538">
        <v>1822</v>
      </c>
      <c r="B2538" t="s">
        <v>88</v>
      </c>
      <c r="C2538" s="3">
        <v>38673</v>
      </c>
      <c r="D2538" s="3">
        <v>38806</v>
      </c>
      <c r="E2538" t="s">
        <v>17</v>
      </c>
      <c r="F2538">
        <v>33.634999999999998</v>
      </c>
      <c r="G2538">
        <v>93.8</v>
      </c>
      <c r="H2538">
        <v>3155</v>
      </c>
      <c r="I2538" s="4">
        <v>38686</v>
      </c>
      <c r="J2538" s="5">
        <f t="shared" si="78"/>
        <v>-120</v>
      </c>
      <c r="K2538" s="6" t="str">
        <f t="shared" si="79"/>
        <v>A~0</v>
      </c>
      <c r="L2538" t="str">
        <f>IF(J2538&lt;0,"A~0",VLOOKUP(J2538,[1]作法V!$B$1:$C$9,2,TRUE))</f>
        <v>A~0</v>
      </c>
    </row>
    <row r="2539" spans="1:12">
      <c r="A2539">
        <v>1822</v>
      </c>
      <c r="B2539" t="s">
        <v>88</v>
      </c>
      <c r="C2539" s="3">
        <v>38684</v>
      </c>
      <c r="D2539" s="3">
        <v>38837</v>
      </c>
      <c r="E2539" t="s">
        <v>17</v>
      </c>
      <c r="F2539">
        <v>33.409999999999997</v>
      </c>
      <c r="G2539">
        <v>738</v>
      </c>
      <c r="H2539">
        <v>24657</v>
      </c>
      <c r="I2539" s="4">
        <v>38686</v>
      </c>
      <c r="J2539" s="5">
        <f t="shared" si="78"/>
        <v>-151</v>
      </c>
      <c r="K2539" s="6" t="str">
        <f t="shared" si="79"/>
        <v>A~0</v>
      </c>
      <c r="L2539" t="str">
        <f>IF(J2539&lt;0,"A~0",VLOOKUP(J2539,[1]作法V!$B$1:$C$9,2,TRUE))</f>
        <v>A~0</v>
      </c>
    </row>
    <row r="2540" spans="1:12">
      <c r="A2540">
        <v>1882</v>
      </c>
      <c r="B2540" t="s">
        <v>104</v>
      </c>
      <c r="C2540" s="3">
        <v>38104</v>
      </c>
      <c r="D2540" s="3">
        <v>38193</v>
      </c>
      <c r="E2540" t="s">
        <v>18</v>
      </c>
      <c r="F2540">
        <v>1</v>
      </c>
      <c r="G2540">
        <v>1260</v>
      </c>
      <c r="H2540">
        <v>1260</v>
      </c>
      <c r="I2540" s="4">
        <v>38686</v>
      </c>
      <c r="J2540" s="5">
        <f t="shared" si="78"/>
        <v>493</v>
      </c>
      <c r="K2540" s="6" t="str">
        <f t="shared" si="79"/>
        <v>H361~</v>
      </c>
      <c r="L2540" t="str">
        <f>IF(J2540&lt;0,"A~0",VLOOKUP(J2540,[1]作法V!$B$1:$C$9,2,TRUE))</f>
        <v>H361~</v>
      </c>
    </row>
    <row r="2541" spans="1:12">
      <c r="A2541">
        <v>1882</v>
      </c>
      <c r="B2541" t="s">
        <v>104</v>
      </c>
      <c r="C2541" s="3">
        <v>38106</v>
      </c>
      <c r="D2541" s="3">
        <v>38193</v>
      </c>
      <c r="E2541" t="s">
        <v>18</v>
      </c>
      <c r="F2541">
        <v>1</v>
      </c>
      <c r="G2541">
        <v>1890</v>
      </c>
      <c r="H2541">
        <v>1890</v>
      </c>
      <c r="I2541" s="4">
        <v>38686</v>
      </c>
      <c r="J2541" s="5">
        <f t="shared" si="78"/>
        <v>493</v>
      </c>
      <c r="K2541" s="6" t="str">
        <f t="shared" si="79"/>
        <v>H361~</v>
      </c>
      <c r="L2541" t="str">
        <f>IF(J2541&lt;0,"A~0",VLOOKUP(J2541,[1]作法V!$B$1:$C$9,2,TRUE))</f>
        <v>H361~</v>
      </c>
    </row>
    <row r="2542" spans="1:12">
      <c r="A2542">
        <v>1962</v>
      </c>
      <c r="B2542" t="s">
        <v>42</v>
      </c>
      <c r="C2542" s="3">
        <v>38525</v>
      </c>
      <c r="D2542" s="3">
        <v>38635</v>
      </c>
      <c r="E2542" t="s">
        <v>18</v>
      </c>
      <c r="F2542">
        <v>1</v>
      </c>
      <c r="G2542">
        <v>9450</v>
      </c>
      <c r="H2542">
        <v>9450</v>
      </c>
      <c r="I2542" s="4">
        <v>38686</v>
      </c>
      <c r="J2542" s="5">
        <f t="shared" si="78"/>
        <v>51</v>
      </c>
      <c r="K2542" s="6" t="str">
        <f t="shared" si="79"/>
        <v>C31~60</v>
      </c>
      <c r="L2542" t="str">
        <f>IF(J2542&lt;0,"A~0",VLOOKUP(J2542,[1]作法V!$B$1:$C$9,2,TRUE))</f>
        <v>C31~60</v>
      </c>
    </row>
    <row r="2543" spans="1:12">
      <c r="A2543">
        <v>1962</v>
      </c>
      <c r="B2543" t="s">
        <v>42</v>
      </c>
      <c r="C2543" s="3">
        <v>38587</v>
      </c>
      <c r="D2543" s="3">
        <v>38696</v>
      </c>
      <c r="E2543" t="s">
        <v>18</v>
      </c>
      <c r="F2543">
        <v>1</v>
      </c>
      <c r="G2543">
        <v>7938</v>
      </c>
      <c r="H2543">
        <v>7938</v>
      </c>
      <c r="I2543" s="4">
        <v>38686</v>
      </c>
      <c r="J2543" s="5">
        <f t="shared" si="78"/>
        <v>-10</v>
      </c>
      <c r="K2543" s="6" t="str">
        <f t="shared" si="79"/>
        <v>A~0</v>
      </c>
      <c r="L2543" t="str">
        <f>IF(J2543&lt;0,"A~0",VLOOKUP(J2543,[1]作法V!$B$1:$C$9,2,TRUE))</f>
        <v>A~0</v>
      </c>
    </row>
    <row r="2544" spans="1:12">
      <c r="A2544">
        <v>1962</v>
      </c>
      <c r="B2544" t="s">
        <v>42</v>
      </c>
      <c r="C2544" s="3">
        <v>38589</v>
      </c>
      <c r="D2544" s="3">
        <v>38727</v>
      </c>
      <c r="E2544" t="s">
        <v>18</v>
      </c>
      <c r="F2544">
        <v>1</v>
      </c>
      <c r="G2544">
        <v>3553</v>
      </c>
      <c r="H2544">
        <v>3553</v>
      </c>
      <c r="I2544" s="4">
        <v>38686</v>
      </c>
      <c r="J2544" s="5">
        <f t="shared" si="78"/>
        <v>-41</v>
      </c>
      <c r="K2544" s="6" t="str">
        <f t="shared" si="79"/>
        <v>A~0</v>
      </c>
      <c r="L2544" t="str">
        <f>IF(J2544&lt;0,"A~0",VLOOKUP(J2544,[1]作法V!$B$1:$C$9,2,TRUE))</f>
        <v>A~0</v>
      </c>
    </row>
    <row r="2545" spans="1:12">
      <c r="A2545">
        <v>1962</v>
      </c>
      <c r="B2545" t="s">
        <v>42</v>
      </c>
      <c r="C2545" s="3">
        <v>38595</v>
      </c>
      <c r="D2545" s="3">
        <v>38727</v>
      </c>
      <c r="E2545" t="s">
        <v>18</v>
      </c>
      <c r="F2545">
        <v>1</v>
      </c>
      <c r="G2545">
        <v>3384</v>
      </c>
      <c r="H2545">
        <v>3384</v>
      </c>
      <c r="I2545" s="4">
        <v>38686</v>
      </c>
      <c r="J2545" s="5">
        <f t="shared" si="78"/>
        <v>-41</v>
      </c>
      <c r="K2545" s="6" t="str">
        <f t="shared" si="79"/>
        <v>A~0</v>
      </c>
      <c r="L2545" t="str">
        <f>IF(J2545&lt;0,"A~0",VLOOKUP(J2545,[1]作法V!$B$1:$C$9,2,TRUE))</f>
        <v>A~0</v>
      </c>
    </row>
    <row r="2546" spans="1:12">
      <c r="A2546">
        <v>1962</v>
      </c>
      <c r="B2546" t="s">
        <v>42</v>
      </c>
      <c r="C2546" s="3">
        <v>38595</v>
      </c>
      <c r="D2546" s="3">
        <v>38727</v>
      </c>
      <c r="E2546" t="s">
        <v>18</v>
      </c>
      <c r="F2546">
        <v>1</v>
      </c>
      <c r="G2546">
        <v>84856</v>
      </c>
      <c r="H2546">
        <v>84856</v>
      </c>
      <c r="I2546" s="4">
        <v>38686</v>
      </c>
      <c r="J2546" s="5">
        <f t="shared" si="78"/>
        <v>-41</v>
      </c>
      <c r="K2546" s="6" t="str">
        <f t="shared" si="79"/>
        <v>A~0</v>
      </c>
      <c r="L2546" t="str">
        <f>IF(J2546&lt;0,"A~0",VLOOKUP(J2546,[1]作法V!$B$1:$C$9,2,TRUE))</f>
        <v>A~0</v>
      </c>
    </row>
    <row r="2547" spans="1:12">
      <c r="A2547">
        <v>1962</v>
      </c>
      <c r="B2547" t="s">
        <v>42</v>
      </c>
      <c r="C2547" s="3">
        <v>38595</v>
      </c>
      <c r="D2547" s="3">
        <v>38727</v>
      </c>
      <c r="E2547" t="s">
        <v>18</v>
      </c>
      <c r="F2547">
        <v>1</v>
      </c>
      <c r="G2547">
        <v>142500</v>
      </c>
      <c r="H2547">
        <v>142500</v>
      </c>
      <c r="I2547" s="4">
        <v>38686</v>
      </c>
      <c r="J2547" s="5">
        <f t="shared" si="78"/>
        <v>-41</v>
      </c>
      <c r="K2547" s="6" t="str">
        <f t="shared" si="79"/>
        <v>A~0</v>
      </c>
      <c r="L2547" t="str">
        <f>IF(J2547&lt;0,"A~0",VLOOKUP(J2547,[1]作法V!$B$1:$C$9,2,TRUE))</f>
        <v>A~0</v>
      </c>
    </row>
    <row r="2548" spans="1:12">
      <c r="A2548">
        <v>1962</v>
      </c>
      <c r="B2548" t="s">
        <v>42</v>
      </c>
      <c r="C2548" s="3">
        <v>38623</v>
      </c>
      <c r="D2548" s="3">
        <v>38758</v>
      </c>
      <c r="E2548" t="s">
        <v>18</v>
      </c>
      <c r="F2548">
        <v>1</v>
      </c>
      <c r="G2548">
        <v>9484</v>
      </c>
      <c r="H2548">
        <v>9484</v>
      </c>
      <c r="I2548" s="4">
        <v>38686</v>
      </c>
      <c r="J2548" s="5">
        <f t="shared" si="78"/>
        <v>-72</v>
      </c>
      <c r="K2548" s="6" t="str">
        <f t="shared" si="79"/>
        <v>A~0</v>
      </c>
      <c r="L2548" t="str">
        <f>IF(J2548&lt;0,"A~0",VLOOKUP(J2548,[1]作法V!$B$1:$C$9,2,TRUE))</f>
        <v>A~0</v>
      </c>
    </row>
    <row r="2549" spans="1:12">
      <c r="A2549">
        <v>1962</v>
      </c>
      <c r="B2549" t="s">
        <v>42</v>
      </c>
      <c r="C2549" s="3">
        <v>38639</v>
      </c>
      <c r="D2549" s="3">
        <v>38758</v>
      </c>
      <c r="E2549" t="s">
        <v>18</v>
      </c>
      <c r="F2549">
        <v>1</v>
      </c>
      <c r="G2549">
        <v>2730</v>
      </c>
      <c r="H2549">
        <v>2730</v>
      </c>
      <c r="I2549" s="4">
        <v>38686</v>
      </c>
      <c r="J2549" s="5">
        <f t="shared" si="78"/>
        <v>-72</v>
      </c>
      <c r="K2549" s="6" t="str">
        <f t="shared" si="79"/>
        <v>A~0</v>
      </c>
      <c r="L2549" t="str">
        <f>IF(J2549&lt;0,"A~0",VLOOKUP(J2549,[1]作法V!$B$1:$C$9,2,TRUE))</f>
        <v>A~0</v>
      </c>
    </row>
    <row r="2550" spans="1:12">
      <c r="A2550">
        <v>1962</v>
      </c>
      <c r="B2550" t="s">
        <v>42</v>
      </c>
      <c r="C2550" s="3">
        <v>38651</v>
      </c>
      <c r="D2550" s="3">
        <v>38786</v>
      </c>
      <c r="E2550" t="s">
        <v>18</v>
      </c>
      <c r="F2550">
        <v>1</v>
      </c>
      <c r="G2550">
        <v>800</v>
      </c>
      <c r="H2550">
        <v>800</v>
      </c>
      <c r="I2550" s="4">
        <v>38686</v>
      </c>
      <c r="J2550" s="5">
        <f t="shared" si="78"/>
        <v>-100</v>
      </c>
      <c r="K2550" s="6" t="str">
        <f t="shared" si="79"/>
        <v>A~0</v>
      </c>
      <c r="L2550" t="str">
        <f>IF(J2550&lt;0,"A~0",VLOOKUP(J2550,[1]作法V!$B$1:$C$9,2,TRUE))</f>
        <v>A~0</v>
      </c>
    </row>
    <row r="2551" spans="1:12">
      <c r="A2551">
        <v>1962</v>
      </c>
      <c r="B2551" t="s">
        <v>42</v>
      </c>
      <c r="C2551" s="3">
        <v>38651</v>
      </c>
      <c r="D2551" s="3">
        <v>38786</v>
      </c>
      <c r="E2551" t="s">
        <v>18</v>
      </c>
      <c r="F2551">
        <v>1</v>
      </c>
      <c r="G2551">
        <v>4960</v>
      </c>
      <c r="H2551">
        <v>4960</v>
      </c>
      <c r="I2551" s="4">
        <v>38686</v>
      </c>
      <c r="J2551" s="5">
        <f t="shared" si="78"/>
        <v>-100</v>
      </c>
      <c r="K2551" s="6" t="str">
        <f t="shared" si="79"/>
        <v>A~0</v>
      </c>
      <c r="L2551" t="str">
        <f>IF(J2551&lt;0,"A~0",VLOOKUP(J2551,[1]作法V!$B$1:$C$9,2,TRUE))</f>
        <v>A~0</v>
      </c>
    </row>
    <row r="2552" spans="1:12">
      <c r="A2552">
        <v>1962</v>
      </c>
      <c r="B2552" t="s">
        <v>42</v>
      </c>
      <c r="C2552" s="3">
        <v>38653</v>
      </c>
      <c r="D2552" s="3">
        <v>38786</v>
      </c>
      <c r="E2552" t="s">
        <v>18</v>
      </c>
      <c r="F2552">
        <v>1</v>
      </c>
      <c r="G2552">
        <v>56688</v>
      </c>
      <c r="H2552">
        <v>56688</v>
      </c>
      <c r="I2552" s="4">
        <v>38686</v>
      </c>
      <c r="J2552" s="5">
        <f t="shared" si="78"/>
        <v>-100</v>
      </c>
      <c r="K2552" s="6" t="str">
        <f t="shared" si="79"/>
        <v>A~0</v>
      </c>
      <c r="L2552" t="str">
        <f>IF(J2552&lt;0,"A~0",VLOOKUP(J2552,[1]作法V!$B$1:$C$9,2,TRUE))</f>
        <v>A~0</v>
      </c>
    </row>
    <row r="2553" spans="1:12">
      <c r="A2553">
        <v>1962</v>
      </c>
      <c r="B2553" t="s">
        <v>42</v>
      </c>
      <c r="C2553" s="3">
        <v>38671</v>
      </c>
      <c r="D2553" s="3">
        <v>38786</v>
      </c>
      <c r="E2553" t="s">
        <v>18</v>
      </c>
      <c r="F2553">
        <v>1</v>
      </c>
      <c r="G2553">
        <v>2160</v>
      </c>
      <c r="H2553">
        <v>2160</v>
      </c>
      <c r="I2553" s="4">
        <v>38686</v>
      </c>
      <c r="J2553" s="5">
        <f t="shared" si="78"/>
        <v>-100</v>
      </c>
      <c r="K2553" s="6" t="str">
        <f t="shared" si="79"/>
        <v>A~0</v>
      </c>
      <c r="L2553" t="str">
        <f>IF(J2553&lt;0,"A~0",VLOOKUP(J2553,[1]作法V!$B$1:$C$9,2,TRUE))</f>
        <v>A~0</v>
      </c>
    </row>
    <row r="2554" spans="1:12">
      <c r="A2554">
        <v>1962</v>
      </c>
      <c r="B2554" t="s">
        <v>42</v>
      </c>
      <c r="C2554" s="3">
        <v>38671</v>
      </c>
      <c r="D2554" s="3">
        <v>38786</v>
      </c>
      <c r="E2554" t="s">
        <v>18</v>
      </c>
      <c r="F2554">
        <v>1</v>
      </c>
      <c r="G2554">
        <v>2960</v>
      </c>
      <c r="H2554">
        <v>2960</v>
      </c>
      <c r="I2554" s="4">
        <v>38686</v>
      </c>
      <c r="J2554" s="5">
        <f t="shared" si="78"/>
        <v>-100</v>
      </c>
      <c r="K2554" s="6" t="str">
        <f t="shared" si="79"/>
        <v>A~0</v>
      </c>
      <c r="L2554" t="str">
        <f>IF(J2554&lt;0,"A~0",VLOOKUP(J2554,[1]作法V!$B$1:$C$9,2,TRUE))</f>
        <v>A~0</v>
      </c>
    </row>
    <row r="2555" spans="1:12">
      <c r="A2555">
        <v>1962</v>
      </c>
      <c r="B2555" t="s">
        <v>42</v>
      </c>
      <c r="C2555" s="3">
        <v>38674</v>
      </c>
      <c r="D2555" s="3">
        <v>38786</v>
      </c>
      <c r="E2555" t="s">
        <v>18</v>
      </c>
      <c r="F2555">
        <v>1</v>
      </c>
      <c r="G2555">
        <v>2426</v>
      </c>
      <c r="H2555">
        <v>2426</v>
      </c>
      <c r="I2555" s="4">
        <v>38686</v>
      </c>
      <c r="J2555" s="5">
        <f t="shared" si="78"/>
        <v>-100</v>
      </c>
      <c r="K2555" s="6" t="str">
        <f t="shared" si="79"/>
        <v>A~0</v>
      </c>
      <c r="L2555" t="str">
        <f>IF(J2555&lt;0,"A~0",VLOOKUP(J2555,[1]作法V!$B$1:$C$9,2,TRUE))</f>
        <v>A~0</v>
      </c>
    </row>
    <row r="2556" spans="1:12">
      <c r="A2556">
        <v>1962</v>
      </c>
      <c r="B2556" t="s">
        <v>42</v>
      </c>
      <c r="C2556" s="3">
        <v>38674</v>
      </c>
      <c r="D2556" s="3">
        <v>38786</v>
      </c>
      <c r="E2556" t="s">
        <v>18</v>
      </c>
      <c r="F2556">
        <v>1</v>
      </c>
      <c r="G2556">
        <v>6395</v>
      </c>
      <c r="H2556">
        <v>6395</v>
      </c>
      <c r="I2556" s="4">
        <v>38686</v>
      </c>
      <c r="J2556" s="5">
        <f t="shared" si="78"/>
        <v>-100</v>
      </c>
      <c r="K2556" s="6" t="str">
        <f t="shared" si="79"/>
        <v>A~0</v>
      </c>
      <c r="L2556" t="str">
        <f>IF(J2556&lt;0,"A~0",VLOOKUP(J2556,[1]作法V!$B$1:$C$9,2,TRUE))</f>
        <v>A~0</v>
      </c>
    </row>
    <row r="2557" spans="1:12">
      <c r="A2557">
        <v>1962</v>
      </c>
      <c r="B2557" t="s">
        <v>42</v>
      </c>
      <c r="C2557" s="3">
        <v>38686</v>
      </c>
      <c r="D2557" s="3">
        <v>38817</v>
      </c>
      <c r="E2557" t="s">
        <v>18</v>
      </c>
      <c r="F2557">
        <v>1</v>
      </c>
      <c r="G2557">
        <v>279712</v>
      </c>
      <c r="H2557">
        <v>279712</v>
      </c>
      <c r="I2557" s="4">
        <v>38686</v>
      </c>
      <c r="J2557" s="5">
        <f t="shared" si="78"/>
        <v>-131</v>
      </c>
      <c r="K2557" s="6" t="str">
        <f t="shared" si="79"/>
        <v>A~0</v>
      </c>
      <c r="L2557" t="str">
        <f>IF(J2557&lt;0,"A~0",VLOOKUP(J2557,[1]作法V!$B$1:$C$9,2,TRUE))</f>
        <v>A~0</v>
      </c>
    </row>
    <row r="2558" spans="1:12">
      <c r="A2558">
        <v>1982</v>
      </c>
      <c r="B2558" t="s">
        <v>20</v>
      </c>
      <c r="C2558" s="3">
        <v>38044</v>
      </c>
      <c r="D2558" s="3">
        <v>38178</v>
      </c>
      <c r="E2558" t="s">
        <v>17</v>
      </c>
      <c r="F2558">
        <v>33.08</v>
      </c>
      <c r="G2558">
        <v>2653</v>
      </c>
      <c r="H2558">
        <v>87761</v>
      </c>
      <c r="I2558" s="4">
        <v>38686</v>
      </c>
      <c r="J2558" s="5">
        <f t="shared" si="78"/>
        <v>508</v>
      </c>
      <c r="K2558" s="6" t="str">
        <f t="shared" si="79"/>
        <v>H361~</v>
      </c>
      <c r="L2558" t="str">
        <f>IF(J2558&lt;0,"A~0",VLOOKUP(J2558,[1]作法V!$B$1:$C$9,2,TRUE))</f>
        <v>H361~</v>
      </c>
    </row>
    <row r="2559" spans="1:12">
      <c r="A2559">
        <v>1982</v>
      </c>
      <c r="B2559" t="s">
        <v>20</v>
      </c>
      <c r="C2559" s="3">
        <v>38079</v>
      </c>
      <c r="D2559" s="3">
        <v>38209</v>
      </c>
      <c r="E2559" t="s">
        <v>17</v>
      </c>
      <c r="F2559">
        <v>33.195</v>
      </c>
      <c r="G2559">
        <v>44240</v>
      </c>
      <c r="H2559">
        <v>1468547</v>
      </c>
      <c r="I2559" s="4">
        <v>38686</v>
      </c>
      <c r="J2559" s="5">
        <f t="shared" si="78"/>
        <v>477</v>
      </c>
      <c r="K2559" s="6" t="str">
        <f t="shared" si="79"/>
        <v>H361~</v>
      </c>
      <c r="L2559" t="str">
        <f>IF(J2559&lt;0,"A~0",VLOOKUP(J2559,[1]作法V!$B$1:$C$9,2,TRUE))</f>
        <v>H361~</v>
      </c>
    </row>
    <row r="2560" spans="1:12">
      <c r="A2560">
        <v>1982</v>
      </c>
      <c r="B2560" t="s">
        <v>20</v>
      </c>
      <c r="C2560" s="3">
        <v>38082</v>
      </c>
      <c r="D2560" s="3">
        <v>38209</v>
      </c>
      <c r="E2560" t="s">
        <v>17</v>
      </c>
      <c r="F2560">
        <v>33.195</v>
      </c>
      <c r="G2560">
        <v>24016</v>
      </c>
      <c r="H2560">
        <v>797211</v>
      </c>
      <c r="I2560" s="4">
        <v>38686</v>
      </c>
      <c r="J2560" s="5">
        <f t="shared" si="78"/>
        <v>477</v>
      </c>
      <c r="K2560" s="6" t="str">
        <f t="shared" si="79"/>
        <v>H361~</v>
      </c>
      <c r="L2560" t="str">
        <f>IF(J2560&lt;0,"A~0",VLOOKUP(J2560,[1]作法V!$B$1:$C$9,2,TRUE))</f>
        <v>H361~</v>
      </c>
    </row>
    <row r="2561" spans="1:12">
      <c r="A2561">
        <v>1982</v>
      </c>
      <c r="B2561" t="s">
        <v>20</v>
      </c>
      <c r="C2561" s="3">
        <v>38093</v>
      </c>
      <c r="D2561" s="3">
        <v>38209</v>
      </c>
      <c r="E2561" t="s">
        <v>17</v>
      </c>
      <c r="F2561">
        <v>32.909999999999997</v>
      </c>
      <c r="G2561">
        <v>29307</v>
      </c>
      <c r="H2561">
        <v>964493</v>
      </c>
      <c r="I2561" s="4">
        <v>38686</v>
      </c>
      <c r="J2561" s="5">
        <f t="shared" si="78"/>
        <v>477</v>
      </c>
      <c r="K2561" s="6" t="str">
        <f t="shared" si="79"/>
        <v>H361~</v>
      </c>
      <c r="L2561" t="str">
        <f>IF(J2561&lt;0,"A~0",VLOOKUP(J2561,[1]作法V!$B$1:$C$9,2,TRUE))</f>
        <v>H361~</v>
      </c>
    </row>
    <row r="2562" spans="1:12">
      <c r="A2562">
        <v>1982</v>
      </c>
      <c r="B2562" t="s">
        <v>20</v>
      </c>
      <c r="C2562" s="3">
        <v>38103</v>
      </c>
      <c r="D2562" s="3">
        <v>38240</v>
      </c>
      <c r="E2562" t="s">
        <v>17</v>
      </c>
      <c r="F2562">
        <v>32.975000000000001</v>
      </c>
      <c r="G2562">
        <v>22212</v>
      </c>
      <c r="H2562">
        <v>732441</v>
      </c>
      <c r="I2562" s="4">
        <v>38686</v>
      </c>
      <c r="J2562" s="5">
        <f t="shared" ref="J2562:J2625" si="80">I2562-D2562</f>
        <v>446</v>
      </c>
      <c r="K2562" s="6" t="str">
        <f t="shared" ref="K2562:K2625" si="81">IF(J2562&lt;1,"A~0",IF(J2562&lt;31,"B1~30",IF(J2562&lt;61,"C31~60",IF(J2562&lt;91,"D61~90",IF(J2562&lt;121,"E91~120",IF(J2562&lt;181,"F121~180",IF(J2562&lt;361,"G181~360","H361~")))))))</f>
        <v>H361~</v>
      </c>
      <c r="L2562" t="str">
        <f>IF(J2562&lt;0,"A~0",VLOOKUP(J2562,[1]作法V!$B$1:$C$9,2,TRUE))</f>
        <v>H361~</v>
      </c>
    </row>
    <row r="2563" spans="1:12">
      <c r="A2563">
        <v>1982</v>
      </c>
      <c r="B2563" t="s">
        <v>20</v>
      </c>
      <c r="C2563" s="3">
        <v>38124</v>
      </c>
      <c r="D2563" s="3">
        <v>38240</v>
      </c>
      <c r="E2563" t="s">
        <v>17</v>
      </c>
      <c r="F2563">
        <v>33.215000000000003</v>
      </c>
      <c r="G2563">
        <v>12340</v>
      </c>
      <c r="H2563">
        <v>409873</v>
      </c>
      <c r="I2563" s="4">
        <v>38686</v>
      </c>
      <c r="J2563" s="5">
        <f t="shared" si="80"/>
        <v>446</v>
      </c>
      <c r="K2563" s="6" t="str">
        <f t="shared" si="81"/>
        <v>H361~</v>
      </c>
      <c r="L2563" t="str">
        <f>IF(J2563&lt;0,"A~0",VLOOKUP(J2563,[1]作法V!$B$1:$C$9,2,TRUE))</f>
        <v>H361~</v>
      </c>
    </row>
    <row r="2564" spans="1:12">
      <c r="A2564">
        <v>1982</v>
      </c>
      <c r="B2564" t="s">
        <v>20</v>
      </c>
      <c r="C2564" s="3">
        <v>38127</v>
      </c>
      <c r="D2564" s="3">
        <v>38240</v>
      </c>
      <c r="E2564" t="s">
        <v>17</v>
      </c>
      <c r="F2564">
        <v>33.215000000000003</v>
      </c>
      <c r="G2564">
        <v>1597.28</v>
      </c>
      <c r="H2564">
        <v>53054</v>
      </c>
      <c r="I2564" s="4">
        <v>38686</v>
      </c>
      <c r="J2564" s="5">
        <f t="shared" si="80"/>
        <v>446</v>
      </c>
      <c r="K2564" s="6" t="str">
        <f t="shared" si="81"/>
        <v>H361~</v>
      </c>
      <c r="L2564" t="str">
        <f>IF(J2564&lt;0,"A~0",VLOOKUP(J2564,[1]作法V!$B$1:$C$9,2,TRUE))</f>
        <v>H361~</v>
      </c>
    </row>
    <row r="2565" spans="1:12">
      <c r="A2565">
        <v>1982</v>
      </c>
      <c r="B2565" t="s">
        <v>20</v>
      </c>
      <c r="C2565" s="3">
        <v>38127</v>
      </c>
      <c r="D2565" s="3">
        <v>38240</v>
      </c>
      <c r="E2565" t="s">
        <v>17</v>
      </c>
      <c r="F2565">
        <v>33.215000000000003</v>
      </c>
      <c r="G2565">
        <v>13265</v>
      </c>
      <c r="H2565">
        <v>440597</v>
      </c>
      <c r="I2565" s="4">
        <v>38686</v>
      </c>
      <c r="J2565" s="5">
        <f t="shared" si="80"/>
        <v>446</v>
      </c>
      <c r="K2565" s="6" t="str">
        <f t="shared" si="81"/>
        <v>H361~</v>
      </c>
      <c r="L2565" t="str">
        <f>IF(J2565&lt;0,"A~0",VLOOKUP(J2565,[1]作法V!$B$1:$C$9,2,TRUE))</f>
        <v>H361~</v>
      </c>
    </row>
    <row r="2566" spans="1:12">
      <c r="A2566">
        <v>1982</v>
      </c>
      <c r="B2566" t="s">
        <v>20</v>
      </c>
      <c r="C2566" s="3">
        <v>38135</v>
      </c>
      <c r="D2566" s="3">
        <v>38270</v>
      </c>
      <c r="E2566" t="s">
        <v>17</v>
      </c>
      <c r="F2566">
        <v>33.64</v>
      </c>
      <c r="G2566">
        <v>12340</v>
      </c>
      <c r="H2566">
        <v>415118</v>
      </c>
      <c r="I2566" s="4">
        <v>38686</v>
      </c>
      <c r="J2566" s="5">
        <f t="shared" si="80"/>
        <v>416</v>
      </c>
      <c r="K2566" s="6" t="str">
        <f t="shared" si="81"/>
        <v>H361~</v>
      </c>
      <c r="L2566" t="str">
        <f>IF(J2566&lt;0,"A~0",VLOOKUP(J2566,[1]作法V!$B$1:$C$9,2,TRUE))</f>
        <v>H361~</v>
      </c>
    </row>
    <row r="2567" spans="1:12">
      <c r="A2567">
        <v>1982</v>
      </c>
      <c r="B2567" t="s">
        <v>20</v>
      </c>
      <c r="C2567" s="3">
        <v>38145</v>
      </c>
      <c r="D2567" s="3">
        <v>38270</v>
      </c>
      <c r="E2567" t="s">
        <v>17</v>
      </c>
      <c r="F2567">
        <v>33.564999999999998</v>
      </c>
      <c r="G2567">
        <v>3702</v>
      </c>
      <c r="H2567">
        <v>124258</v>
      </c>
      <c r="I2567" s="4">
        <v>38686</v>
      </c>
      <c r="J2567" s="5">
        <f t="shared" si="80"/>
        <v>416</v>
      </c>
      <c r="K2567" s="6" t="str">
        <f t="shared" si="81"/>
        <v>H361~</v>
      </c>
      <c r="L2567" t="str">
        <f>IF(J2567&lt;0,"A~0",VLOOKUP(J2567,[1]作法V!$B$1:$C$9,2,TRUE))</f>
        <v>H361~</v>
      </c>
    </row>
    <row r="2568" spans="1:12">
      <c r="A2568">
        <v>1982</v>
      </c>
      <c r="B2568" t="s">
        <v>20</v>
      </c>
      <c r="C2568" s="3">
        <v>38163</v>
      </c>
      <c r="D2568" s="3">
        <v>38301</v>
      </c>
      <c r="E2568" t="s">
        <v>17</v>
      </c>
      <c r="F2568">
        <v>33.630000000000003</v>
      </c>
      <c r="G2568">
        <v>9270</v>
      </c>
      <c r="H2568">
        <v>311750</v>
      </c>
      <c r="I2568" s="4">
        <v>38686</v>
      </c>
      <c r="J2568" s="5">
        <f t="shared" si="80"/>
        <v>385</v>
      </c>
      <c r="K2568" s="6" t="str">
        <f t="shared" si="81"/>
        <v>H361~</v>
      </c>
      <c r="L2568" t="str">
        <f>IF(J2568&lt;0,"A~0",VLOOKUP(J2568,[1]作法V!$B$1:$C$9,2,TRUE))</f>
        <v>H361~</v>
      </c>
    </row>
    <row r="2569" spans="1:12">
      <c r="A2569">
        <v>1983</v>
      </c>
      <c r="B2569" t="s">
        <v>80</v>
      </c>
      <c r="C2569" s="3">
        <v>38573</v>
      </c>
      <c r="D2569" s="3">
        <v>38696</v>
      </c>
      <c r="E2569" t="s">
        <v>17</v>
      </c>
      <c r="F2569">
        <v>31.684999999999999</v>
      </c>
      <c r="G2569">
        <v>5220</v>
      </c>
      <c r="H2569">
        <v>165396</v>
      </c>
      <c r="I2569" s="4">
        <v>38686</v>
      </c>
      <c r="J2569" s="5">
        <f t="shared" si="80"/>
        <v>-10</v>
      </c>
      <c r="K2569" s="6" t="str">
        <f t="shared" si="81"/>
        <v>A~0</v>
      </c>
      <c r="L2569" t="str">
        <f>IF(J2569&lt;0,"A~0",VLOOKUP(J2569,[1]作法V!$B$1:$C$9,2,TRUE))</f>
        <v>A~0</v>
      </c>
    </row>
    <row r="2570" spans="1:12">
      <c r="A2570">
        <v>1983</v>
      </c>
      <c r="B2570" t="s">
        <v>80</v>
      </c>
      <c r="C2570" s="3">
        <v>38579</v>
      </c>
      <c r="D2570" s="3">
        <v>38696</v>
      </c>
      <c r="E2570" t="s">
        <v>17</v>
      </c>
      <c r="F2570">
        <v>31.875</v>
      </c>
      <c r="G2570">
        <v>1740</v>
      </c>
      <c r="H2570">
        <v>55463</v>
      </c>
      <c r="I2570" s="4">
        <v>38686</v>
      </c>
      <c r="J2570" s="5">
        <f t="shared" si="80"/>
        <v>-10</v>
      </c>
      <c r="K2570" s="6" t="str">
        <f t="shared" si="81"/>
        <v>A~0</v>
      </c>
      <c r="L2570" t="str">
        <f>IF(J2570&lt;0,"A~0",VLOOKUP(J2570,[1]作法V!$B$1:$C$9,2,TRUE))</f>
        <v>A~0</v>
      </c>
    </row>
    <row r="2571" spans="1:12">
      <c r="A2571">
        <v>1983</v>
      </c>
      <c r="B2571" t="s">
        <v>80</v>
      </c>
      <c r="C2571" s="3">
        <v>38579</v>
      </c>
      <c r="D2571" s="3">
        <v>38696</v>
      </c>
      <c r="E2571" t="s">
        <v>17</v>
      </c>
      <c r="F2571">
        <v>31.875</v>
      </c>
      <c r="G2571">
        <v>4350</v>
      </c>
      <c r="H2571">
        <v>138656</v>
      </c>
      <c r="I2571" s="4">
        <v>38686</v>
      </c>
      <c r="J2571" s="5">
        <f t="shared" si="80"/>
        <v>-10</v>
      </c>
      <c r="K2571" s="6" t="str">
        <f t="shared" si="81"/>
        <v>A~0</v>
      </c>
      <c r="L2571" t="str">
        <f>IF(J2571&lt;0,"A~0",VLOOKUP(J2571,[1]作法V!$B$1:$C$9,2,TRUE))</f>
        <v>A~0</v>
      </c>
    </row>
    <row r="2572" spans="1:12">
      <c r="A2572">
        <v>1983</v>
      </c>
      <c r="B2572" t="s">
        <v>80</v>
      </c>
      <c r="C2572" s="3">
        <v>38583</v>
      </c>
      <c r="D2572" s="3">
        <v>38696</v>
      </c>
      <c r="E2572" t="s">
        <v>17</v>
      </c>
      <c r="F2572">
        <v>31.875</v>
      </c>
      <c r="G2572">
        <v>8700</v>
      </c>
      <c r="H2572">
        <v>277313</v>
      </c>
      <c r="I2572" s="4">
        <v>38686</v>
      </c>
      <c r="J2572" s="5">
        <f t="shared" si="80"/>
        <v>-10</v>
      </c>
      <c r="K2572" s="6" t="str">
        <f t="shared" si="81"/>
        <v>A~0</v>
      </c>
      <c r="L2572" t="str">
        <f>IF(J2572&lt;0,"A~0",VLOOKUP(J2572,[1]作法V!$B$1:$C$9,2,TRUE))</f>
        <v>A~0</v>
      </c>
    </row>
    <row r="2573" spans="1:12">
      <c r="A2573">
        <v>1983</v>
      </c>
      <c r="B2573" t="s">
        <v>80</v>
      </c>
      <c r="C2573" s="3">
        <v>38590</v>
      </c>
      <c r="D2573" s="3">
        <v>38727</v>
      </c>
      <c r="E2573" t="s">
        <v>17</v>
      </c>
      <c r="F2573">
        <v>31.905000000000001</v>
      </c>
      <c r="G2573">
        <v>20880</v>
      </c>
      <c r="H2573">
        <v>666176</v>
      </c>
      <c r="I2573" s="4">
        <v>38686</v>
      </c>
      <c r="J2573" s="5">
        <f t="shared" si="80"/>
        <v>-41</v>
      </c>
      <c r="K2573" s="6" t="str">
        <f t="shared" si="81"/>
        <v>A~0</v>
      </c>
      <c r="L2573" t="str">
        <f>IF(J2573&lt;0,"A~0",VLOOKUP(J2573,[1]作法V!$B$1:$C$9,2,TRUE))</f>
        <v>A~0</v>
      </c>
    </row>
    <row r="2574" spans="1:12">
      <c r="A2574">
        <v>1983</v>
      </c>
      <c r="B2574" t="s">
        <v>80</v>
      </c>
      <c r="C2574" s="3">
        <v>38590</v>
      </c>
      <c r="D2574" s="3">
        <v>38727</v>
      </c>
      <c r="E2574" t="s">
        <v>17</v>
      </c>
      <c r="F2574">
        <v>31.905000000000001</v>
      </c>
      <c r="G2574">
        <v>2610</v>
      </c>
      <c r="H2574">
        <v>83272</v>
      </c>
      <c r="I2574" s="4">
        <v>38686</v>
      </c>
      <c r="J2574" s="5">
        <f t="shared" si="80"/>
        <v>-41</v>
      </c>
      <c r="K2574" s="6" t="str">
        <f t="shared" si="81"/>
        <v>A~0</v>
      </c>
      <c r="L2574" t="str">
        <f>IF(J2574&lt;0,"A~0",VLOOKUP(J2574,[1]作法V!$B$1:$C$9,2,TRUE))</f>
        <v>A~0</v>
      </c>
    </row>
    <row r="2575" spans="1:12">
      <c r="A2575">
        <v>1983</v>
      </c>
      <c r="B2575" t="s">
        <v>80</v>
      </c>
      <c r="C2575" s="3">
        <v>38594</v>
      </c>
      <c r="D2575" s="3">
        <v>38727</v>
      </c>
      <c r="E2575" t="s">
        <v>17</v>
      </c>
      <c r="F2575">
        <v>31.905000000000001</v>
      </c>
      <c r="G2575">
        <v>662</v>
      </c>
      <c r="H2575">
        <v>21121</v>
      </c>
      <c r="I2575" s="4">
        <v>38686</v>
      </c>
      <c r="J2575" s="5">
        <f t="shared" si="80"/>
        <v>-41</v>
      </c>
      <c r="K2575" s="6" t="str">
        <f t="shared" si="81"/>
        <v>A~0</v>
      </c>
      <c r="L2575" t="str">
        <f>IF(J2575&lt;0,"A~0",VLOOKUP(J2575,[1]作法V!$B$1:$C$9,2,TRUE))</f>
        <v>A~0</v>
      </c>
    </row>
    <row r="2576" spans="1:12">
      <c r="A2576">
        <v>1983</v>
      </c>
      <c r="B2576" t="s">
        <v>80</v>
      </c>
      <c r="C2576" s="3">
        <v>38594</v>
      </c>
      <c r="D2576" s="3">
        <v>38727</v>
      </c>
      <c r="E2576" t="s">
        <v>17</v>
      </c>
      <c r="F2576">
        <v>31.905000000000001</v>
      </c>
      <c r="G2576">
        <v>3972</v>
      </c>
      <c r="H2576">
        <v>126727</v>
      </c>
      <c r="I2576" s="4">
        <v>38686</v>
      </c>
      <c r="J2576" s="5">
        <f t="shared" si="80"/>
        <v>-41</v>
      </c>
      <c r="K2576" s="6" t="str">
        <f t="shared" si="81"/>
        <v>A~0</v>
      </c>
      <c r="L2576" t="str">
        <f>IF(J2576&lt;0,"A~0",VLOOKUP(J2576,[1]作法V!$B$1:$C$9,2,TRUE))</f>
        <v>A~0</v>
      </c>
    </row>
    <row r="2577" spans="1:12">
      <c r="A2577">
        <v>1983</v>
      </c>
      <c r="B2577" t="s">
        <v>80</v>
      </c>
      <c r="C2577" s="3">
        <v>38594</v>
      </c>
      <c r="D2577" s="3">
        <v>38727</v>
      </c>
      <c r="E2577" t="s">
        <v>17</v>
      </c>
      <c r="F2577">
        <v>31.905000000000001</v>
      </c>
      <c r="G2577">
        <v>662</v>
      </c>
      <c r="H2577">
        <v>21121</v>
      </c>
      <c r="I2577" s="4">
        <v>38686</v>
      </c>
      <c r="J2577" s="5">
        <f t="shared" si="80"/>
        <v>-41</v>
      </c>
      <c r="K2577" s="6" t="str">
        <f t="shared" si="81"/>
        <v>A~0</v>
      </c>
      <c r="L2577" t="str">
        <f>IF(J2577&lt;0,"A~0",VLOOKUP(J2577,[1]作法V!$B$1:$C$9,2,TRUE))</f>
        <v>A~0</v>
      </c>
    </row>
    <row r="2578" spans="1:12">
      <c r="A2578">
        <v>1983</v>
      </c>
      <c r="B2578" t="s">
        <v>80</v>
      </c>
      <c r="C2578" s="3">
        <v>38594</v>
      </c>
      <c r="D2578" s="3">
        <v>38727</v>
      </c>
      <c r="E2578" t="s">
        <v>17</v>
      </c>
      <c r="F2578">
        <v>31.905000000000001</v>
      </c>
      <c r="G2578">
        <v>662</v>
      </c>
      <c r="H2578">
        <v>21121</v>
      </c>
      <c r="I2578" s="4">
        <v>38686</v>
      </c>
      <c r="J2578" s="5">
        <f t="shared" si="80"/>
        <v>-41</v>
      </c>
      <c r="K2578" s="6" t="str">
        <f t="shared" si="81"/>
        <v>A~0</v>
      </c>
      <c r="L2578" t="str">
        <f>IF(J2578&lt;0,"A~0",VLOOKUP(J2578,[1]作法V!$B$1:$C$9,2,TRUE))</f>
        <v>A~0</v>
      </c>
    </row>
    <row r="2579" spans="1:12">
      <c r="A2579">
        <v>1983</v>
      </c>
      <c r="B2579" t="s">
        <v>80</v>
      </c>
      <c r="C2579" s="3">
        <v>38605</v>
      </c>
      <c r="D2579" s="3">
        <v>38727</v>
      </c>
      <c r="E2579" t="s">
        <v>17</v>
      </c>
      <c r="F2579">
        <v>32.195</v>
      </c>
      <c r="G2579">
        <v>32190</v>
      </c>
      <c r="H2579">
        <v>1036357</v>
      </c>
      <c r="I2579" s="4">
        <v>38686</v>
      </c>
      <c r="J2579" s="5">
        <f t="shared" si="80"/>
        <v>-41</v>
      </c>
      <c r="K2579" s="6" t="str">
        <f t="shared" si="81"/>
        <v>A~0</v>
      </c>
      <c r="L2579" t="str">
        <f>IF(J2579&lt;0,"A~0",VLOOKUP(J2579,[1]作法V!$B$1:$C$9,2,TRUE))</f>
        <v>A~0</v>
      </c>
    </row>
    <row r="2580" spans="1:12">
      <c r="A2580">
        <v>1983</v>
      </c>
      <c r="B2580" t="s">
        <v>80</v>
      </c>
      <c r="C2580" s="3">
        <v>38605</v>
      </c>
      <c r="D2580" s="3">
        <v>38727</v>
      </c>
      <c r="E2580" t="s">
        <v>17</v>
      </c>
      <c r="F2580">
        <v>32.195</v>
      </c>
      <c r="G2580">
        <v>870</v>
      </c>
      <c r="H2580">
        <v>28010</v>
      </c>
      <c r="I2580" s="4">
        <v>38686</v>
      </c>
      <c r="J2580" s="5">
        <f t="shared" si="80"/>
        <v>-41</v>
      </c>
      <c r="K2580" s="6" t="str">
        <f t="shared" si="81"/>
        <v>A~0</v>
      </c>
      <c r="L2580" t="str">
        <f>IF(J2580&lt;0,"A~0",VLOOKUP(J2580,[1]作法V!$B$1:$C$9,2,TRUE))</f>
        <v>A~0</v>
      </c>
    </row>
    <row r="2581" spans="1:12">
      <c r="A2581">
        <v>1983</v>
      </c>
      <c r="B2581" t="s">
        <v>80</v>
      </c>
      <c r="C2581" s="3">
        <v>38605</v>
      </c>
      <c r="D2581" s="3">
        <v>38727</v>
      </c>
      <c r="E2581" t="s">
        <v>17</v>
      </c>
      <c r="F2581">
        <v>32.195</v>
      </c>
      <c r="G2581">
        <v>20010</v>
      </c>
      <c r="H2581">
        <v>644222</v>
      </c>
      <c r="I2581" s="4">
        <v>38686</v>
      </c>
      <c r="J2581" s="5">
        <f t="shared" si="80"/>
        <v>-41</v>
      </c>
      <c r="K2581" s="6" t="str">
        <f t="shared" si="81"/>
        <v>A~0</v>
      </c>
      <c r="L2581" t="str">
        <f>IF(J2581&lt;0,"A~0",VLOOKUP(J2581,[1]作法V!$B$1:$C$9,2,TRUE))</f>
        <v>A~0</v>
      </c>
    </row>
    <row r="2582" spans="1:12">
      <c r="A2582">
        <v>1983</v>
      </c>
      <c r="B2582" t="s">
        <v>80</v>
      </c>
      <c r="C2582" s="3">
        <v>38610</v>
      </c>
      <c r="D2582" s="3">
        <v>38727</v>
      </c>
      <c r="E2582" t="s">
        <v>17</v>
      </c>
      <c r="F2582">
        <v>32.365000000000002</v>
      </c>
      <c r="G2582">
        <v>20880</v>
      </c>
      <c r="H2582">
        <v>675781</v>
      </c>
      <c r="I2582" s="4">
        <v>38686</v>
      </c>
      <c r="J2582" s="5">
        <f t="shared" si="80"/>
        <v>-41</v>
      </c>
      <c r="K2582" s="6" t="str">
        <f t="shared" si="81"/>
        <v>A~0</v>
      </c>
      <c r="L2582" t="str">
        <f>IF(J2582&lt;0,"A~0",VLOOKUP(J2582,[1]作法V!$B$1:$C$9,2,TRUE))</f>
        <v>A~0</v>
      </c>
    </row>
    <row r="2583" spans="1:12">
      <c r="A2583">
        <v>1983</v>
      </c>
      <c r="B2583" t="s">
        <v>80</v>
      </c>
      <c r="C2583" s="3">
        <v>38618</v>
      </c>
      <c r="D2583" s="3">
        <v>38727</v>
      </c>
      <c r="E2583" t="s">
        <v>17</v>
      </c>
      <c r="F2583">
        <v>32.799999999999997</v>
      </c>
      <c r="G2583">
        <v>6090</v>
      </c>
      <c r="H2583">
        <v>199752</v>
      </c>
      <c r="I2583" s="4">
        <v>38686</v>
      </c>
      <c r="J2583" s="5">
        <f t="shared" si="80"/>
        <v>-41</v>
      </c>
      <c r="K2583" s="6" t="str">
        <f t="shared" si="81"/>
        <v>A~0</v>
      </c>
      <c r="L2583" t="str">
        <f>IF(J2583&lt;0,"A~0",VLOOKUP(J2583,[1]作法V!$B$1:$C$9,2,TRUE))</f>
        <v>A~0</v>
      </c>
    </row>
    <row r="2584" spans="1:12">
      <c r="A2584">
        <v>1983</v>
      </c>
      <c r="B2584" t="s">
        <v>80</v>
      </c>
      <c r="C2584" s="3">
        <v>38618</v>
      </c>
      <c r="D2584" s="3">
        <v>38727</v>
      </c>
      <c r="E2584" t="s">
        <v>17</v>
      </c>
      <c r="F2584">
        <v>32.799999999999997</v>
      </c>
      <c r="G2584">
        <v>11310</v>
      </c>
      <c r="H2584">
        <v>370968</v>
      </c>
      <c r="I2584" s="4">
        <v>38686</v>
      </c>
      <c r="J2584" s="5">
        <f t="shared" si="80"/>
        <v>-41</v>
      </c>
      <c r="K2584" s="6" t="str">
        <f t="shared" si="81"/>
        <v>A~0</v>
      </c>
      <c r="L2584" t="str">
        <f>IF(J2584&lt;0,"A~0",VLOOKUP(J2584,[1]作法V!$B$1:$C$9,2,TRUE))</f>
        <v>A~0</v>
      </c>
    </row>
    <row r="2585" spans="1:12">
      <c r="A2585">
        <v>1983</v>
      </c>
      <c r="B2585" t="s">
        <v>80</v>
      </c>
      <c r="C2585" s="3">
        <v>38642</v>
      </c>
      <c r="D2585" s="3">
        <v>38758</v>
      </c>
      <c r="E2585" t="s">
        <v>17</v>
      </c>
      <c r="F2585">
        <v>33.195</v>
      </c>
      <c r="G2585">
        <v>4350</v>
      </c>
      <c r="H2585">
        <v>144398</v>
      </c>
      <c r="I2585" s="4">
        <v>38686</v>
      </c>
      <c r="J2585" s="5">
        <f t="shared" si="80"/>
        <v>-72</v>
      </c>
      <c r="K2585" s="6" t="str">
        <f t="shared" si="81"/>
        <v>A~0</v>
      </c>
      <c r="L2585" t="str">
        <f>IF(J2585&lt;0,"A~0",VLOOKUP(J2585,[1]作法V!$B$1:$C$9,2,TRUE))</f>
        <v>A~0</v>
      </c>
    </row>
    <row r="2586" spans="1:12">
      <c r="A2586">
        <v>1983</v>
      </c>
      <c r="B2586" t="s">
        <v>80</v>
      </c>
      <c r="C2586" s="3">
        <v>38645</v>
      </c>
      <c r="D2586" s="3">
        <v>38758</v>
      </c>
      <c r="E2586" t="s">
        <v>17</v>
      </c>
      <c r="F2586">
        <v>33.195</v>
      </c>
      <c r="G2586">
        <v>1572.4</v>
      </c>
      <c r="H2586">
        <v>52196</v>
      </c>
      <c r="I2586" s="4">
        <v>38686</v>
      </c>
      <c r="J2586" s="5">
        <f t="shared" si="80"/>
        <v>-72</v>
      </c>
      <c r="K2586" s="6" t="str">
        <f t="shared" si="81"/>
        <v>A~0</v>
      </c>
      <c r="L2586" t="str">
        <f>IF(J2586&lt;0,"A~0",VLOOKUP(J2586,[1]作法V!$B$1:$C$9,2,TRUE))</f>
        <v>A~0</v>
      </c>
    </row>
    <row r="2587" spans="1:12">
      <c r="A2587">
        <v>1983</v>
      </c>
      <c r="B2587" t="s">
        <v>80</v>
      </c>
      <c r="C2587" s="3">
        <v>38651</v>
      </c>
      <c r="D2587" s="3">
        <v>38786</v>
      </c>
      <c r="E2587" t="s">
        <v>17</v>
      </c>
      <c r="F2587">
        <v>33.4</v>
      </c>
      <c r="G2587">
        <v>940</v>
      </c>
      <c r="H2587">
        <v>31396</v>
      </c>
      <c r="I2587" s="4">
        <v>38686</v>
      </c>
      <c r="J2587" s="5">
        <f t="shared" si="80"/>
        <v>-100</v>
      </c>
      <c r="K2587" s="6" t="str">
        <f t="shared" si="81"/>
        <v>A~0</v>
      </c>
      <c r="L2587" t="str">
        <f>IF(J2587&lt;0,"A~0",VLOOKUP(J2587,[1]作法V!$B$1:$C$9,2,TRUE))</f>
        <v>A~0</v>
      </c>
    </row>
    <row r="2588" spans="1:12">
      <c r="A2588">
        <v>1983</v>
      </c>
      <c r="B2588" t="s">
        <v>80</v>
      </c>
      <c r="C2588" s="3">
        <v>38660</v>
      </c>
      <c r="D2588" s="3">
        <v>38786</v>
      </c>
      <c r="E2588" t="s">
        <v>17</v>
      </c>
      <c r="F2588">
        <v>33.715000000000003</v>
      </c>
      <c r="G2588">
        <v>1740</v>
      </c>
      <c r="H2588">
        <v>58664</v>
      </c>
      <c r="I2588" s="4">
        <v>38686</v>
      </c>
      <c r="J2588" s="5">
        <f t="shared" si="80"/>
        <v>-100</v>
      </c>
      <c r="K2588" s="6" t="str">
        <f t="shared" si="81"/>
        <v>A~0</v>
      </c>
      <c r="L2588" t="str">
        <f>IF(J2588&lt;0,"A~0",VLOOKUP(J2588,[1]作法V!$B$1:$C$9,2,TRUE))</f>
        <v>A~0</v>
      </c>
    </row>
    <row r="2589" spans="1:12">
      <c r="A2589">
        <v>1983</v>
      </c>
      <c r="B2589" t="s">
        <v>80</v>
      </c>
      <c r="C2589" s="3">
        <v>38660</v>
      </c>
      <c r="D2589" s="3">
        <v>38786</v>
      </c>
      <c r="E2589" t="s">
        <v>17</v>
      </c>
      <c r="F2589">
        <v>33.715000000000003</v>
      </c>
      <c r="G2589">
        <v>1740</v>
      </c>
      <c r="H2589">
        <v>58664</v>
      </c>
      <c r="I2589" s="4">
        <v>38686</v>
      </c>
      <c r="J2589" s="5">
        <f t="shared" si="80"/>
        <v>-100</v>
      </c>
      <c r="K2589" s="6" t="str">
        <f t="shared" si="81"/>
        <v>A~0</v>
      </c>
      <c r="L2589" t="str">
        <f>IF(J2589&lt;0,"A~0",VLOOKUP(J2589,[1]作法V!$B$1:$C$9,2,TRUE))</f>
        <v>A~0</v>
      </c>
    </row>
    <row r="2590" spans="1:12">
      <c r="A2590">
        <v>1983</v>
      </c>
      <c r="B2590" t="s">
        <v>80</v>
      </c>
      <c r="C2590" s="3">
        <v>38660</v>
      </c>
      <c r="D2590" s="3">
        <v>38786</v>
      </c>
      <c r="E2590" t="s">
        <v>17</v>
      </c>
      <c r="F2590">
        <v>33.715000000000003</v>
      </c>
      <c r="G2590">
        <v>1740</v>
      </c>
      <c r="H2590">
        <v>58664</v>
      </c>
      <c r="I2590" s="4">
        <v>38686</v>
      </c>
      <c r="J2590" s="5">
        <f t="shared" si="80"/>
        <v>-100</v>
      </c>
      <c r="K2590" s="6" t="str">
        <f t="shared" si="81"/>
        <v>A~0</v>
      </c>
      <c r="L2590" t="str">
        <f>IF(J2590&lt;0,"A~0",VLOOKUP(J2590,[1]作法V!$B$1:$C$9,2,TRUE))</f>
        <v>A~0</v>
      </c>
    </row>
    <row r="2591" spans="1:12">
      <c r="A2591">
        <v>2004</v>
      </c>
      <c r="B2591" t="s">
        <v>32</v>
      </c>
      <c r="C2591" s="3">
        <v>38665</v>
      </c>
      <c r="D2591" s="3">
        <v>38786</v>
      </c>
      <c r="E2591" t="s">
        <v>18</v>
      </c>
      <c r="F2591">
        <v>1</v>
      </c>
      <c r="G2591">
        <v>4095</v>
      </c>
      <c r="H2591">
        <v>4095</v>
      </c>
      <c r="I2591" s="4">
        <v>38686</v>
      </c>
      <c r="J2591" s="5">
        <f t="shared" si="80"/>
        <v>-100</v>
      </c>
      <c r="K2591" s="6" t="str">
        <f t="shared" si="81"/>
        <v>A~0</v>
      </c>
      <c r="L2591" t="str">
        <f>IF(J2591&lt;0,"A~0",VLOOKUP(J2591,[1]作法V!$B$1:$C$9,2,TRUE))</f>
        <v>A~0</v>
      </c>
    </row>
    <row r="2592" spans="1:12">
      <c r="A2592">
        <v>2045</v>
      </c>
      <c r="B2592" t="s">
        <v>33</v>
      </c>
      <c r="C2592" s="3">
        <v>38090</v>
      </c>
      <c r="D2592" s="3">
        <v>38209</v>
      </c>
      <c r="E2592" t="s">
        <v>17</v>
      </c>
      <c r="F2592">
        <v>32.909999999999997</v>
      </c>
      <c r="G2592">
        <v>1958.4</v>
      </c>
      <c r="H2592">
        <v>64451</v>
      </c>
      <c r="I2592" s="4">
        <v>38686</v>
      </c>
      <c r="J2592" s="5">
        <f t="shared" si="80"/>
        <v>477</v>
      </c>
      <c r="K2592" s="6" t="str">
        <f t="shared" si="81"/>
        <v>H361~</v>
      </c>
      <c r="L2592" t="str">
        <f>IF(J2592&lt;0,"A~0",VLOOKUP(J2592,[1]作法V!$B$1:$C$9,2,TRUE))</f>
        <v>H361~</v>
      </c>
    </row>
    <row r="2593" spans="1:12">
      <c r="A2593">
        <v>2045</v>
      </c>
      <c r="B2593" t="s">
        <v>33</v>
      </c>
      <c r="C2593" s="3">
        <v>38231</v>
      </c>
      <c r="D2593" s="3">
        <v>38362</v>
      </c>
      <c r="E2593" t="s">
        <v>17</v>
      </c>
      <c r="F2593">
        <v>34.03</v>
      </c>
      <c r="G2593">
        <v>1.2</v>
      </c>
      <c r="H2593">
        <v>41</v>
      </c>
      <c r="I2593" s="4">
        <v>38686</v>
      </c>
      <c r="J2593" s="5">
        <f t="shared" si="80"/>
        <v>324</v>
      </c>
      <c r="K2593" s="6" t="str">
        <f t="shared" si="81"/>
        <v>G181~360</v>
      </c>
      <c r="L2593" t="str">
        <f>IF(J2593&lt;0,"A~0",VLOOKUP(J2593,[1]作法V!$B$1:$C$9,2,TRUE))</f>
        <v>G181~360</v>
      </c>
    </row>
    <row r="2594" spans="1:12">
      <c r="A2594">
        <v>2045</v>
      </c>
      <c r="B2594" t="s">
        <v>33</v>
      </c>
      <c r="C2594" s="3">
        <v>38243</v>
      </c>
      <c r="D2594" s="3">
        <v>38362</v>
      </c>
      <c r="E2594" t="s">
        <v>17</v>
      </c>
      <c r="F2594">
        <v>33.86</v>
      </c>
      <c r="G2594">
        <v>1603.08</v>
      </c>
      <c r="H2594">
        <v>54280</v>
      </c>
      <c r="I2594" s="4">
        <v>38686</v>
      </c>
      <c r="J2594" s="5">
        <f t="shared" si="80"/>
        <v>324</v>
      </c>
      <c r="K2594" s="6" t="str">
        <f t="shared" si="81"/>
        <v>G181~360</v>
      </c>
      <c r="L2594" t="str">
        <f>IF(J2594&lt;0,"A~0",VLOOKUP(J2594,[1]作法V!$B$1:$C$9,2,TRUE))</f>
        <v>G181~360</v>
      </c>
    </row>
    <row r="2595" spans="1:12">
      <c r="A2595">
        <v>2045</v>
      </c>
      <c r="B2595" t="s">
        <v>33</v>
      </c>
      <c r="C2595" s="3">
        <v>38289</v>
      </c>
      <c r="D2595" s="3">
        <v>38421</v>
      </c>
      <c r="E2595" t="s">
        <v>17</v>
      </c>
      <c r="F2595">
        <v>33.814999999999998</v>
      </c>
      <c r="G2595">
        <v>197.11</v>
      </c>
      <c r="H2595">
        <v>6665</v>
      </c>
      <c r="I2595" s="4">
        <v>38686</v>
      </c>
      <c r="J2595" s="5">
        <f t="shared" si="80"/>
        <v>265</v>
      </c>
      <c r="K2595" s="6" t="str">
        <f t="shared" si="81"/>
        <v>G181~360</v>
      </c>
      <c r="L2595" t="str">
        <f>IF(J2595&lt;0,"A~0",VLOOKUP(J2595,[1]作法V!$B$1:$C$9,2,TRUE))</f>
        <v>G181~360</v>
      </c>
    </row>
    <row r="2596" spans="1:12">
      <c r="A2596">
        <v>2045</v>
      </c>
      <c r="B2596" t="s">
        <v>33</v>
      </c>
      <c r="C2596" s="3">
        <v>38365</v>
      </c>
      <c r="D2596" s="3">
        <v>38482</v>
      </c>
      <c r="E2596" t="s">
        <v>17</v>
      </c>
      <c r="F2596">
        <v>31.97</v>
      </c>
      <c r="G2596">
        <v>189</v>
      </c>
      <c r="H2596">
        <v>6042</v>
      </c>
      <c r="I2596" s="4">
        <v>38686</v>
      </c>
      <c r="J2596" s="5">
        <f t="shared" si="80"/>
        <v>204</v>
      </c>
      <c r="K2596" s="6" t="str">
        <f t="shared" si="81"/>
        <v>G181~360</v>
      </c>
      <c r="L2596" t="str">
        <f>IF(J2596&lt;0,"A~0",VLOOKUP(J2596,[1]作法V!$B$1:$C$9,2,TRUE))</f>
        <v>G181~360</v>
      </c>
    </row>
    <row r="2597" spans="1:12">
      <c r="A2597">
        <v>2045</v>
      </c>
      <c r="B2597" t="s">
        <v>33</v>
      </c>
      <c r="C2597" s="3">
        <v>38365</v>
      </c>
      <c r="D2597" s="3">
        <v>38482</v>
      </c>
      <c r="E2597" t="s">
        <v>17</v>
      </c>
      <c r="F2597">
        <v>31.97</v>
      </c>
      <c r="G2597">
        <v>216</v>
      </c>
      <c r="H2597">
        <v>6906</v>
      </c>
      <c r="I2597" s="4">
        <v>38686</v>
      </c>
      <c r="J2597" s="5">
        <f t="shared" si="80"/>
        <v>204</v>
      </c>
      <c r="K2597" s="6" t="str">
        <f t="shared" si="81"/>
        <v>G181~360</v>
      </c>
      <c r="L2597" t="str">
        <f>IF(J2597&lt;0,"A~0",VLOOKUP(J2597,[1]作法V!$B$1:$C$9,2,TRUE))</f>
        <v>G181~360</v>
      </c>
    </row>
    <row r="2598" spans="1:12">
      <c r="A2598">
        <v>2045</v>
      </c>
      <c r="B2598" t="s">
        <v>33</v>
      </c>
      <c r="C2598" s="3">
        <v>38369</v>
      </c>
      <c r="D2598" s="3">
        <v>38482</v>
      </c>
      <c r="E2598" t="s">
        <v>17</v>
      </c>
      <c r="F2598">
        <v>31.97</v>
      </c>
      <c r="G2598">
        <v>189</v>
      </c>
      <c r="H2598">
        <v>6042</v>
      </c>
      <c r="I2598" s="4">
        <v>38686</v>
      </c>
      <c r="J2598" s="5">
        <f t="shared" si="80"/>
        <v>204</v>
      </c>
      <c r="K2598" s="6" t="str">
        <f t="shared" si="81"/>
        <v>G181~360</v>
      </c>
      <c r="L2598" t="str">
        <f>IF(J2598&lt;0,"A~0",VLOOKUP(J2598,[1]作法V!$B$1:$C$9,2,TRUE))</f>
        <v>G181~360</v>
      </c>
    </row>
    <row r="2599" spans="1:12">
      <c r="A2599">
        <v>2045</v>
      </c>
      <c r="B2599" t="s">
        <v>33</v>
      </c>
      <c r="C2599" s="3">
        <v>38369</v>
      </c>
      <c r="D2599" s="3">
        <v>38482</v>
      </c>
      <c r="E2599" t="s">
        <v>17</v>
      </c>
      <c r="F2599">
        <v>31.97</v>
      </c>
      <c r="G2599">
        <v>216</v>
      </c>
      <c r="H2599">
        <v>6906</v>
      </c>
      <c r="I2599" s="4">
        <v>38686</v>
      </c>
      <c r="J2599" s="5">
        <f t="shared" si="80"/>
        <v>204</v>
      </c>
      <c r="K2599" s="6" t="str">
        <f t="shared" si="81"/>
        <v>G181~360</v>
      </c>
      <c r="L2599" t="str">
        <f>IF(J2599&lt;0,"A~0",VLOOKUP(J2599,[1]作法V!$B$1:$C$9,2,TRUE))</f>
        <v>G181~360</v>
      </c>
    </row>
    <row r="2600" spans="1:12">
      <c r="A2600">
        <v>2045</v>
      </c>
      <c r="B2600" t="s">
        <v>33</v>
      </c>
      <c r="C2600" s="3">
        <v>38373</v>
      </c>
      <c r="D2600" s="3">
        <v>38482</v>
      </c>
      <c r="E2600" t="s">
        <v>17</v>
      </c>
      <c r="F2600">
        <v>31.98</v>
      </c>
      <c r="G2600">
        <v>216</v>
      </c>
      <c r="H2600">
        <v>6908</v>
      </c>
      <c r="I2600" s="4">
        <v>38686</v>
      </c>
      <c r="J2600" s="5">
        <f t="shared" si="80"/>
        <v>204</v>
      </c>
      <c r="K2600" s="6" t="str">
        <f t="shared" si="81"/>
        <v>G181~360</v>
      </c>
      <c r="L2600" t="str">
        <f>IF(J2600&lt;0,"A~0",VLOOKUP(J2600,[1]作法V!$B$1:$C$9,2,TRUE))</f>
        <v>G181~360</v>
      </c>
    </row>
    <row r="2601" spans="1:12">
      <c r="A2601">
        <v>2045</v>
      </c>
      <c r="B2601" t="s">
        <v>33</v>
      </c>
      <c r="C2601" s="3">
        <v>38373</v>
      </c>
      <c r="D2601" s="3">
        <v>38482</v>
      </c>
      <c r="E2601" t="s">
        <v>17</v>
      </c>
      <c r="F2601">
        <v>31.98</v>
      </c>
      <c r="G2601">
        <v>94.5</v>
      </c>
      <c r="H2601">
        <v>3022</v>
      </c>
      <c r="I2601" s="4">
        <v>38686</v>
      </c>
      <c r="J2601" s="5">
        <f t="shared" si="80"/>
        <v>204</v>
      </c>
      <c r="K2601" s="6" t="str">
        <f t="shared" si="81"/>
        <v>G181~360</v>
      </c>
      <c r="L2601" t="str">
        <f>IF(J2601&lt;0,"A~0",VLOOKUP(J2601,[1]作法V!$B$1:$C$9,2,TRUE))</f>
        <v>G181~360</v>
      </c>
    </row>
    <row r="2602" spans="1:12">
      <c r="A2602">
        <v>2045</v>
      </c>
      <c r="B2602" t="s">
        <v>33</v>
      </c>
      <c r="C2602" s="3">
        <v>38373</v>
      </c>
      <c r="D2602" s="3">
        <v>38482</v>
      </c>
      <c r="E2602" t="s">
        <v>17</v>
      </c>
      <c r="F2602">
        <v>31.98</v>
      </c>
      <c r="G2602">
        <v>189</v>
      </c>
      <c r="H2602">
        <v>6044</v>
      </c>
      <c r="I2602" s="4">
        <v>38686</v>
      </c>
      <c r="J2602" s="5">
        <f t="shared" si="80"/>
        <v>204</v>
      </c>
      <c r="K2602" s="6" t="str">
        <f t="shared" si="81"/>
        <v>G181~360</v>
      </c>
      <c r="L2602" t="str">
        <f>IF(J2602&lt;0,"A~0",VLOOKUP(J2602,[1]作法V!$B$1:$C$9,2,TRUE))</f>
        <v>G181~360</v>
      </c>
    </row>
    <row r="2603" spans="1:12">
      <c r="A2603">
        <v>2045</v>
      </c>
      <c r="B2603" t="s">
        <v>33</v>
      </c>
      <c r="C2603" s="3">
        <v>38373</v>
      </c>
      <c r="D2603" s="3">
        <v>38482</v>
      </c>
      <c r="E2603" t="s">
        <v>17</v>
      </c>
      <c r="F2603">
        <v>31.98</v>
      </c>
      <c r="G2603">
        <v>216</v>
      </c>
      <c r="H2603">
        <v>6908</v>
      </c>
      <c r="I2603" s="4">
        <v>38686</v>
      </c>
      <c r="J2603" s="5">
        <f t="shared" si="80"/>
        <v>204</v>
      </c>
      <c r="K2603" s="6" t="str">
        <f t="shared" si="81"/>
        <v>G181~360</v>
      </c>
      <c r="L2603" t="str">
        <f>IF(J2603&lt;0,"A~0",VLOOKUP(J2603,[1]作法V!$B$1:$C$9,2,TRUE))</f>
        <v>G181~360</v>
      </c>
    </row>
    <row r="2604" spans="1:12">
      <c r="A2604">
        <v>2045</v>
      </c>
      <c r="B2604" t="s">
        <v>33</v>
      </c>
      <c r="C2604" s="3">
        <v>38380</v>
      </c>
      <c r="D2604" s="3">
        <v>38513</v>
      </c>
      <c r="E2604" t="s">
        <v>17</v>
      </c>
      <c r="F2604">
        <v>31.98</v>
      </c>
      <c r="G2604">
        <v>216</v>
      </c>
      <c r="H2604">
        <v>6908</v>
      </c>
      <c r="I2604" s="4">
        <v>38686</v>
      </c>
      <c r="J2604" s="5">
        <f t="shared" si="80"/>
        <v>173</v>
      </c>
      <c r="K2604" s="6" t="str">
        <f t="shared" si="81"/>
        <v>F121~180</v>
      </c>
      <c r="L2604" t="str">
        <f>IF(J2604&lt;0,"A~0",VLOOKUP(J2604,[1]作法V!$B$1:$C$9,2,TRUE))</f>
        <v>F121~180</v>
      </c>
    </row>
    <row r="2605" spans="1:12">
      <c r="A2605">
        <v>2045</v>
      </c>
      <c r="B2605" t="s">
        <v>33</v>
      </c>
      <c r="C2605" s="3">
        <v>38380</v>
      </c>
      <c r="D2605" s="3">
        <v>38513</v>
      </c>
      <c r="E2605" t="s">
        <v>17</v>
      </c>
      <c r="F2605">
        <v>31.98</v>
      </c>
      <c r="G2605">
        <v>132.25</v>
      </c>
      <c r="H2605">
        <v>4229</v>
      </c>
      <c r="I2605" s="4">
        <v>38686</v>
      </c>
      <c r="J2605" s="5">
        <f t="shared" si="80"/>
        <v>173</v>
      </c>
      <c r="K2605" s="6" t="str">
        <f t="shared" si="81"/>
        <v>F121~180</v>
      </c>
      <c r="L2605" t="str">
        <f>IF(J2605&lt;0,"A~0",VLOOKUP(J2605,[1]作法V!$B$1:$C$9,2,TRUE))</f>
        <v>F121~180</v>
      </c>
    </row>
    <row r="2606" spans="1:12">
      <c r="A2606">
        <v>2045</v>
      </c>
      <c r="B2606" t="s">
        <v>33</v>
      </c>
      <c r="C2606" s="3">
        <v>38380</v>
      </c>
      <c r="D2606" s="3">
        <v>38513</v>
      </c>
      <c r="E2606" t="s">
        <v>17</v>
      </c>
      <c r="F2606">
        <v>31.98</v>
      </c>
      <c r="G2606">
        <v>378</v>
      </c>
      <c r="H2606">
        <v>12088</v>
      </c>
      <c r="I2606" s="4">
        <v>38686</v>
      </c>
      <c r="J2606" s="5">
        <f t="shared" si="80"/>
        <v>173</v>
      </c>
      <c r="K2606" s="6" t="str">
        <f t="shared" si="81"/>
        <v>F121~180</v>
      </c>
      <c r="L2606" t="str">
        <f>IF(J2606&lt;0,"A~0",VLOOKUP(J2606,[1]作法V!$B$1:$C$9,2,TRUE))</f>
        <v>F121~180</v>
      </c>
    </row>
    <row r="2607" spans="1:12">
      <c r="A2607">
        <v>2045</v>
      </c>
      <c r="B2607" t="s">
        <v>33</v>
      </c>
      <c r="C2607" s="3">
        <v>38380</v>
      </c>
      <c r="D2607" s="3">
        <v>38513</v>
      </c>
      <c r="E2607" t="s">
        <v>17</v>
      </c>
      <c r="F2607">
        <v>31.98</v>
      </c>
      <c r="G2607">
        <v>216</v>
      </c>
      <c r="H2607">
        <v>6908</v>
      </c>
      <c r="I2607" s="4">
        <v>38686</v>
      </c>
      <c r="J2607" s="5">
        <f t="shared" si="80"/>
        <v>173</v>
      </c>
      <c r="K2607" s="6" t="str">
        <f t="shared" si="81"/>
        <v>F121~180</v>
      </c>
      <c r="L2607" t="str">
        <f>IF(J2607&lt;0,"A~0",VLOOKUP(J2607,[1]作法V!$B$1:$C$9,2,TRUE))</f>
        <v>F121~180</v>
      </c>
    </row>
    <row r="2608" spans="1:12">
      <c r="A2608">
        <v>2045</v>
      </c>
      <c r="B2608" t="s">
        <v>33</v>
      </c>
      <c r="C2608" s="3">
        <v>38384</v>
      </c>
      <c r="D2608" s="3">
        <v>38513</v>
      </c>
      <c r="E2608" t="s">
        <v>17</v>
      </c>
      <c r="F2608">
        <v>31.82</v>
      </c>
      <c r="G2608">
        <v>211.6</v>
      </c>
      <c r="H2608">
        <v>6733</v>
      </c>
      <c r="I2608" s="4">
        <v>38686</v>
      </c>
      <c r="J2608" s="5">
        <f t="shared" si="80"/>
        <v>173</v>
      </c>
      <c r="K2608" s="6" t="str">
        <f t="shared" si="81"/>
        <v>F121~180</v>
      </c>
      <c r="L2608" t="str">
        <f>IF(J2608&lt;0,"A~0",VLOOKUP(J2608,[1]作法V!$B$1:$C$9,2,TRUE))</f>
        <v>F121~180</v>
      </c>
    </row>
    <row r="2609" spans="1:12">
      <c r="A2609">
        <v>2045</v>
      </c>
      <c r="B2609" t="s">
        <v>33</v>
      </c>
      <c r="C2609" s="3">
        <v>38401</v>
      </c>
      <c r="D2609" s="3">
        <v>38513</v>
      </c>
      <c r="E2609" t="s">
        <v>17</v>
      </c>
      <c r="F2609">
        <v>31.52</v>
      </c>
      <c r="G2609">
        <v>247.03</v>
      </c>
      <c r="H2609">
        <v>7786</v>
      </c>
      <c r="I2609" s="4">
        <v>38686</v>
      </c>
      <c r="J2609" s="5">
        <f t="shared" si="80"/>
        <v>173</v>
      </c>
      <c r="K2609" s="6" t="str">
        <f t="shared" si="81"/>
        <v>F121~180</v>
      </c>
      <c r="L2609" t="str">
        <f>IF(J2609&lt;0,"A~0",VLOOKUP(J2609,[1]作法V!$B$1:$C$9,2,TRUE))</f>
        <v>F121~180</v>
      </c>
    </row>
    <row r="2610" spans="1:12">
      <c r="A2610">
        <v>2045</v>
      </c>
      <c r="B2610" t="s">
        <v>33</v>
      </c>
      <c r="C2610" s="3">
        <v>38401</v>
      </c>
      <c r="D2610" s="3">
        <v>38513</v>
      </c>
      <c r="E2610" t="s">
        <v>17</v>
      </c>
      <c r="F2610">
        <v>31.52</v>
      </c>
      <c r="G2610">
        <v>850.5</v>
      </c>
      <c r="H2610">
        <v>26808</v>
      </c>
      <c r="I2610" s="4">
        <v>38686</v>
      </c>
      <c r="J2610" s="5">
        <f t="shared" si="80"/>
        <v>173</v>
      </c>
      <c r="K2610" s="6" t="str">
        <f t="shared" si="81"/>
        <v>F121~180</v>
      </c>
      <c r="L2610" t="str">
        <f>IF(J2610&lt;0,"A~0",VLOOKUP(J2610,[1]作法V!$B$1:$C$9,2,TRUE))</f>
        <v>F121~180</v>
      </c>
    </row>
    <row r="2611" spans="1:12">
      <c r="A2611">
        <v>2045</v>
      </c>
      <c r="B2611" t="s">
        <v>33</v>
      </c>
      <c r="C2611" s="3">
        <v>38435</v>
      </c>
      <c r="D2611" s="3">
        <v>38543</v>
      </c>
      <c r="E2611" t="s">
        <v>17</v>
      </c>
      <c r="F2611">
        <v>30.934999999999999</v>
      </c>
      <c r="G2611">
        <v>90</v>
      </c>
      <c r="H2611">
        <v>2784</v>
      </c>
      <c r="I2611" s="4">
        <v>38686</v>
      </c>
      <c r="J2611" s="5">
        <f t="shared" si="80"/>
        <v>143</v>
      </c>
      <c r="K2611" s="6" t="str">
        <f t="shared" si="81"/>
        <v>F121~180</v>
      </c>
      <c r="L2611" t="str">
        <f>IF(J2611&lt;0,"A~0",VLOOKUP(J2611,[1]作法V!$B$1:$C$9,2,TRUE))</f>
        <v>F121~180</v>
      </c>
    </row>
    <row r="2612" spans="1:12">
      <c r="A2612">
        <v>2045</v>
      </c>
      <c r="B2612" t="s">
        <v>33</v>
      </c>
      <c r="C2612" s="3">
        <v>38491</v>
      </c>
      <c r="D2612" s="3">
        <v>38605</v>
      </c>
      <c r="E2612" t="s">
        <v>17</v>
      </c>
      <c r="F2612">
        <v>31.085000000000001</v>
      </c>
      <c r="G2612">
        <v>1357.02</v>
      </c>
      <c r="H2612">
        <v>42183</v>
      </c>
      <c r="I2612" s="4">
        <v>38686</v>
      </c>
      <c r="J2612" s="5">
        <f t="shared" si="80"/>
        <v>81</v>
      </c>
      <c r="K2612" s="6" t="str">
        <f t="shared" si="81"/>
        <v>D61~90</v>
      </c>
      <c r="L2612" t="str">
        <f>IF(J2612&lt;0,"A~0",VLOOKUP(J2612,[1]作法V!$B$1:$C$9,2,TRUE))</f>
        <v>D61-90</v>
      </c>
    </row>
    <row r="2613" spans="1:12">
      <c r="A2613">
        <v>2045</v>
      </c>
      <c r="B2613" t="s">
        <v>33</v>
      </c>
      <c r="C2613" s="3">
        <v>38553</v>
      </c>
      <c r="D2613" s="3">
        <v>38666</v>
      </c>
      <c r="E2613" t="s">
        <v>17</v>
      </c>
      <c r="F2613">
        <v>31.95</v>
      </c>
      <c r="G2613">
        <v>1278</v>
      </c>
      <c r="H2613">
        <v>40832</v>
      </c>
      <c r="I2613" s="4">
        <v>38686</v>
      </c>
      <c r="J2613" s="5">
        <f t="shared" si="80"/>
        <v>20</v>
      </c>
      <c r="K2613" s="6" t="str">
        <f t="shared" si="81"/>
        <v>B1~30</v>
      </c>
      <c r="L2613" t="str">
        <f>IF(J2613&lt;0,"A~0",VLOOKUP(J2613,[1]作法V!$B$1:$C$9,2,TRUE))</f>
        <v>B1~30</v>
      </c>
    </row>
    <row r="2614" spans="1:12">
      <c r="A2614">
        <v>2045</v>
      </c>
      <c r="B2614" t="s">
        <v>33</v>
      </c>
      <c r="C2614" s="3">
        <v>38553</v>
      </c>
      <c r="D2614" s="3">
        <v>38666</v>
      </c>
      <c r="E2614" t="s">
        <v>17</v>
      </c>
      <c r="F2614">
        <v>31.95</v>
      </c>
      <c r="G2614">
        <v>4217.3999999999996</v>
      </c>
      <c r="H2614">
        <v>134746</v>
      </c>
      <c r="I2614" s="4">
        <v>38686</v>
      </c>
      <c r="J2614" s="5">
        <f t="shared" si="80"/>
        <v>20</v>
      </c>
      <c r="K2614" s="6" t="str">
        <f t="shared" si="81"/>
        <v>B1~30</v>
      </c>
      <c r="L2614" t="str">
        <f>IF(J2614&lt;0,"A~0",VLOOKUP(J2614,[1]作法V!$B$1:$C$9,2,TRUE))</f>
        <v>B1~30</v>
      </c>
    </row>
    <row r="2615" spans="1:12">
      <c r="A2615">
        <v>2045</v>
      </c>
      <c r="B2615" t="s">
        <v>33</v>
      </c>
      <c r="C2615" s="3">
        <v>38553</v>
      </c>
      <c r="D2615" s="3">
        <v>38666</v>
      </c>
      <c r="E2615" t="s">
        <v>17</v>
      </c>
      <c r="F2615">
        <v>31.95</v>
      </c>
      <c r="G2615">
        <v>1278</v>
      </c>
      <c r="H2615">
        <v>40832</v>
      </c>
      <c r="I2615" s="4">
        <v>38686</v>
      </c>
      <c r="J2615" s="5">
        <f t="shared" si="80"/>
        <v>20</v>
      </c>
      <c r="K2615" s="6" t="str">
        <f t="shared" si="81"/>
        <v>B1~30</v>
      </c>
      <c r="L2615" t="str">
        <f>IF(J2615&lt;0,"A~0",VLOOKUP(J2615,[1]作法V!$B$1:$C$9,2,TRUE))</f>
        <v>B1~30</v>
      </c>
    </row>
    <row r="2616" spans="1:12">
      <c r="A2616">
        <v>2045</v>
      </c>
      <c r="B2616" t="s">
        <v>33</v>
      </c>
      <c r="C2616" s="3">
        <v>38562</v>
      </c>
      <c r="D2616" s="3">
        <v>38696</v>
      </c>
      <c r="E2616" t="s">
        <v>17</v>
      </c>
      <c r="F2616">
        <v>31.89</v>
      </c>
      <c r="G2616">
        <v>211.2</v>
      </c>
      <c r="H2616">
        <v>6735</v>
      </c>
      <c r="I2616" s="4">
        <v>38686</v>
      </c>
      <c r="J2616" s="5">
        <f t="shared" si="80"/>
        <v>-10</v>
      </c>
      <c r="K2616" s="6" t="str">
        <f t="shared" si="81"/>
        <v>A~0</v>
      </c>
      <c r="L2616" t="str">
        <f>IF(J2616&lt;0,"A~0",VLOOKUP(J2616,[1]作法V!$B$1:$C$9,2,TRUE))</f>
        <v>A~0</v>
      </c>
    </row>
    <row r="2617" spans="1:12">
      <c r="A2617">
        <v>2045</v>
      </c>
      <c r="B2617" t="s">
        <v>33</v>
      </c>
      <c r="C2617" s="3">
        <v>38562</v>
      </c>
      <c r="D2617" s="3">
        <v>38696</v>
      </c>
      <c r="E2617" t="s">
        <v>17</v>
      </c>
      <c r="F2617">
        <v>31.89</v>
      </c>
      <c r="G2617">
        <v>92.4</v>
      </c>
      <c r="H2617">
        <v>2947</v>
      </c>
      <c r="I2617" s="4">
        <v>38686</v>
      </c>
      <c r="J2617" s="5">
        <f t="shared" si="80"/>
        <v>-10</v>
      </c>
      <c r="K2617" s="6" t="str">
        <f t="shared" si="81"/>
        <v>A~0</v>
      </c>
      <c r="L2617" t="str">
        <f>IF(J2617&lt;0,"A~0",VLOOKUP(J2617,[1]作法V!$B$1:$C$9,2,TRUE))</f>
        <v>A~0</v>
      </c>
    </row>
    <row r="2618" spans="1:12">
      <c r="A2618">
        <v>2045</v>
      </c>
      <c r="B2618" t="s">
        <v>33</v>
      </c>
      <c r="C2618" s="3">
        <v>38562</v>
      </c>
      <c r="D2618" s="3">
        <v>38696</v>
      </c>
      <c r="E2618" t="s">
        <v>17</v>
      </c>
      <c r="F2618">
        <v>31.89</v>
      </c>
      <c r="G2618">
        <v>184.8</v>
      </c>
      <c r="H2618">
        <v>5893</v>
      </c>
      <c r="I2618" s="4">
        <v>38686</v>
      </c>
      <c r="J2618" s="5">
        <f t="shared" si="80"/>
        <v>-10</v>
      </c>
      <c r="K2618" s="6" t="str">
        <f t="shared" si="81"/>
        <v>A~0</v>
      </c>
      <c r="L2618" t="str">
        <f>IF(J2618&lt;0,"A~0",VLOOKUP(J2618,[1]作法V!$B$1:$C$9,2,TRUE))</f>
        <v>A~0</v>
      </c>
    </row>
    <row r="2619" spans="1:12">
      <c r="A2619">
        <v>2045</v>
      </c>
      <c r="B2619" t="s">
        <v>33</v>
      </c>
      <c r="C2619" s="3">
        <v>38562</v>
      </c>
      <c r="D2619" s="3">
        <v>38696</v>
      </c>
      <c r="E2619" t="s">
        <v>17</v>
      </c>
      <c r="F2619">
        <v>31.89</v>
      </c>
      <c r="G2619">
        <v>211.2</v>
      </c>
      <c r="H2619">
        <v>6735</v>
      </c>
      <c r="I2619" s="4">
        <v>38686</v>
      </c>
      <c r="J2619" s="5">
        <f t="shared" si="80"/>
        <v>-10</v>
      </c>
      <c r="K2619" s="6" t="str">
        <f t="shared" si="81"/>
        <v>A~0</v>
      </c>
      <c r="L2619" t="str">
        <f>IF(J2619&lt;0,"A~0",VLOOKUP(J2619,[1]作法V!$B$1:$C$9,2,TRUE))</f>
        <v>A~0</v>
      </c>
    </row>
    <row r="2620" spans="1:12">
      <c r="A2620">
        <v>2045</v>
      </c>
      <c r="B2620" t="s">
        <v>33</v>
      </c>
      <c r="C2620" s="3">
        <v>38562</v>
      </c>
      <c r="D2620" s="3">
        <v>38696</v>
      </c>
      <c r="E2620" t="s">
        <v>17</v>
      </c>
      <c r="F2620">
        <v>31.89</v>
      </c>
      <c r="G2620">
        <v>211.2</v>
      </c>
      <c r="H2620">
        <v>6735</v>
      </c>
      <c r="I2620" s="4">
        <v>38686</v>
      </c>
      <c r="J2620" s="5">
        <f t="shared" si="80"/>
        <v>-10</v>
      </c>
      <c r="K2620" s="6" t="str">
        <f t="shared" si="81"/>
        <v>A~0</v>
      </c>
      <c r="L2620" t="str">
        <f>IF(J2620&lt;0,"A~0",VLOOKUP(J2620,[1]作法V!$B$1:$C$9,2,TRUE))</f>
        <v>A~0</v>
      </c>
    </row>
    <row r="2621" spans="1:12">
      <c r="A2621">
        <v>2045</v>
      </c>
      <c r="B2621" t="s">
        <v>33</v>
      </c>
      <c r="C2621" s="3">
        <v>38566</v>
      </c>
      <c r="D2621" s="3">
        <v>38696</v>
      </c>
      <c r="E2621" t="s">
        <v>17</v>
      </c>
      <c r="F2621">
        <v>31.684999999999999</v>
      </c>
      <c r="G2621">
        <v>2320</v>
      </c>
      <c r="H2621">
        <v>73509</v>
      </c>
      <c r="I2621" s="4">
        <v>38686</v>
      </c>
      <c r="J2621" s="5">
        <f t="shared" si="80"/>
        <v>-10</v>
      </c>
      <c r="K2621" s="6" t="str">
        <f t="shared" si="81"/>
        <v>A~0</v>
      </c>
      <c r="L2621" t="str">
        <f>IF(J2621&lt;0,"A~0",VLOOKUP(J2621,[1]作法V!$B$1:$C$9,2,TRUE))</f>
        <v>A~0</v>
      </c>
    </row>
    <row r="2622" spans="1:12">
      <c r="A2622">
        <v>2045</v>
      </c>
      <c r="B2622" t="s">
        <v>33</v>
      </c>
      <c r="C2622" s="3">
        <v>38566</v>
      </c>
      <c r="D2622" s="3">
        <v>38696</v>
      </c>
      <c r="E2622" t="s">
        <v>17</v>
      </c>
      <c r="F2622">
        <v>31.684999999999999</v>
      </c>
      <c r="G2622">
        <v>1085.76</v>
      </c>
      <c r="H2622">
        <v>34402</v>
      </c>
      <c r="I2622" s="4">
        <v>38686</v>
      </c>
      <c r="J2622" s="5">
        <f t="shared" si="80"/>
        <v>-10</v>
      </c>
      <c r="K2622" s="6" t="str">
        <f t="shared" si="81"/>
        <v>A~0</v>
      </c>
      <c r="L2622" t="str">
        <f>IF(J2622&lt;0,"A~0",VLOOKUP(J2622,[1]作法V!$B$1:$C$9,2,TRUE))</f>
        <v>A~0</v>
      </c>
    </row>
    <row r="2623" spans="1:12">
      <c r="A2623">
        <v>2045</v>
      </c>
      <c r="B2623" t="s">
        <v>33</v>
      </c>
      <c r="C2623" s="3">
        <v>38576</v>
      </c>
      <c r="D2623" s="3">
        <v>38696</v>
      </c>
      <c r="E2623" t="s">
        <v>17</v>
      </c>
      <c r="F2623">
        <v>31.875</v>
      </c>
      <c r="G2623">
        <v>580</v>
      </c>
      <c r="H2623">
        <v>18488</v>
      </c>
      <c r="I2623" s="4">
        <v>38686</v>
      </c>
      <c r="J2623" s="5">
        <f t="shared" si="80"/>
        <v>-10</v>
      </c>
      <c r="K2623" s="6" t="str">
        <f t="shared" si="81"/>
        <v>A~0</v>
      </c>
      <c r="L2623" t="str">
        <f>IF(J2623&lt;0,"A~0",VLOOKUP(J2623,[1]作法V!$B$1:$C$9,2,TRUE))</f>
        <v>A~0</v>
      </c>
    </row>
    <row r="2624" spans="1:12">
      <c r="A2624">
        <v>2045</v>
      </c>
      <c r="B2624" t="s">
        <v>33</v>
      </c>
      <c r="C2624" s="3">
        <v>38576</v>
      </c>
      <c r="D2624" s="3">
        <v>38696</v>
      </c>
      <c r="E2624" t="s">
        <v>17</v>
      </c>
      <c r="F2624">
        <v>31.875</v>
      </c>
      <c r="G2624">
        <v>580</v>
      </c>
      <c r="H2624">
        <v>18488</v>
      </c>
      <c r="I2624" s="4">
        <v>38686</v>
      </c>
      <c r="J2624" s="5">
        <f t="shared" si="80"/>
        <v>-10</v>
      </c>
      <c r="K2624" s="6" t="str">
        <f t="shared" si="81"/>
        <v>A~0</v>
      </c>
      <c r="L2624" t="str">
        <f>IF(J2624&lt;0,"A~0",VLOOKUP(J2624,[1]作法V!$B$1:$C$9,2,TRUE))</f>
        <v>A~0</v>
      </c>
    </row>
    <row r="2625" spans="1:12">
      <c r="A2625">
        <v>2045</v>
      </c>
      <c r="B2625" t="s">
        <v>33</v>
      </c>
      <c r="C2625" s="3">
        <v>38576</v>
      </c>
      <c r="D2625" s="3">
        <v>38696</v>
      </c>
      <c r="E2625" t="s">
        <v>17</v>
      </c>
      <c r="F2625">
        <v>31.875</v>
      </c>
      <c r="G2625">
        <v>74.239999999999995</v>
      </c>
      <c r="H2625">
        <v>2366</v>
      </c>
      <c r="I2625" s="4">
        <v>38686</v>
      </c>
      <c r="J2625" s="5">
        <f t="shared" si="80"/>
        <v>-10</v>
      </c>
      <c r="K2625" s="6" t="str">
        <f t="shared" si="81"/>
        <v>A~0</v>
      </c>
      <c r="L2625" t="str">
        <f>IF(J2625&lt;0,"A~0",VLOOKUP(J2625,[1]作法V!$B$1:$C$9,2,TRUE))</f>
        <v>A~0</v>
      </c>
    </row>
    <row r="2626" spans="1:12">
      <c r="A2626">
        <v>2045</v>
      </c>
      <c r="B2626" t="s">
        <v>33</v>
      </c>
      <c r="C2626" s="3">
        <v>38595</v>
      </c>
      <c r="D2626" s="3">
        <v>38727</v>
      </c>
      <c r="E2626" t="s">
        <v>17</v>
      </c>
      <c r="F2626">
        <v>31.905000000000001</v>
      </c>
      <c r="G2626">
        <v>515</v>
      </c>
      <c r="H2626">
        <v>16431</v>
      </c>
      <c r="I2626" s="4">
        <v>38686</v>
      </c>
      <c r="J2626" s="5">
        <f t="shared" ref="J2626:J2689" si="82">I2626-D2626</f>
        <v>-41</v>
      </c>
      <c r="K2626" s="6" t="str">
        <f t="shared" ref="K2626:K2689" si="83">IF(J2626&lt;1,"A~0",IF(J2626&lt;31,"B1~30",IF(J2626&lt;61,"C31~60",IF(J2626&lt;91,"D61~90",IF(J2626&lt;121,"E91~120",IF(J2626&lt;181,"F121~180",IF(J2626&lt;361,"G181~360","H361~")))))))</f>
        <v>A~0</v>
      </c>
      <c r="L2626" t="str">
        <f>IF(J2626&lt;0,"A~0",VLOOKUP(J2626,[1]作法V!$B$1:$C$9,2,TRUE))</f>
        <v>A~0</v>
      </c>
    </row>
    <row r="2627" spans="1:12">
      <c r="A2627">
        <v>2045</v>
      </c>
      <c r="B2627" t="s">
        <v>33</v>
      </c>
      <c r="C2627" s="3">
        <v>38595</v>
      </c>
      <c r="D2627" s="3">
        <v>38727</v>
      </c>
      <c r="E2627" t="s">
        <v>17</v>
      </c>
      <c r="F2627">
        <v>31.905000000000001</v>
      </c>
      <c r="G2627">
        <v>515</v>
      </c>
      <c r="H2627">
        <v>16431</v>
      </c>
      <c r="I2627" s="4">
        <v>38686</v>
      </c>
      <c r="J2627" s="5">
        <f t="shared" si="82"/>
        <v>-41</v>
      </c>
      <c r="K2627" s="6" t="str">
        <f t="shared" si="83"/>
        <v>A~0</v>
      </c>
      <c r="L2627" t="str">
        <f>IF(J2627&lt;0,"A~0",VLOOKUP(J2627,[1]作法V!$B$1:$C$9,2,TRUE))</f>
        <v>A~0</v>
      </c>
    </row>
    <row r="2628" spans="1:12">
      <c r="A2628">
        <v>2045</v>
      </c>
      <c r="B2628" t="s">
        <v>33</v>
      </c>
      <c r="C2628" s="3">
        <v>38604</v>
      </c>
      <c r="D2628" s="3">
        <v>38727</v>
      </c>
      <c r="E2628" t="s">
        <v>17</v>
      </c>
      <c r="F2628">
        <v>32.195</v>
      </c>
      <c r="G2628">
        <v>422.4</v>
      </c>
      <c r="H2628">
        <v>13599</v>
      </c>
      <c r="I2628" s="4">
        <v>38686</v>
      </c>
      <c r="J2628" s="5">
        <f t="shared" si="82"/>
        <v>-41</v>
      </c>
      <c r="K2628" s="6" t="str">
        <f t="shared" si="83"/>
        <v>A~0</v>
      </c>
      <c r="L2628" t="str">
        <f>IF(J2628&lt;0,"A~0",VLOOKUP(J2628,[1]作法V!$B$1:$C$9,2,TRUE))</f>
        <v>A~0</v>
      </c>
    </row>
    <row r="2629" spans="1:12">
      <c r="A2629">
        <v>2045</v>
      </c>
      <c r="B2629" t="s">
        <v>33</v>
      </c>
      <c r="C2629" s="3">
        <v>38604</v>
      </c>
      <c r="D2629" s="3">
        <v>38727</v>
      </c>
      <c r="E2629" t="s">
        <v>17</v>
      </c>
      <c r="F2629">
        <v>32.195</v>
      </c>
      <c r="G2629">
        <v>462</v>
      </c>
      <c r="H2629">
        <v>14874</v>
      </c>
      <c r="I2629" s="4">
        <v>38686</v>
      </c>
      <c r="J2629" s="5">
        <f t="shared" si="82"/>
        <v>-41</v>
      </c>
      <c r="K2629" s="6" t="str">
        <f t="shared" si="83"/>
        <v>A~0</v>
      </c>
      <c r="L2629" t="str">
        <f>IF(J2629&lt;0,"A~0",VLOOKUP(J2629,[1]作法V!$B$1:$C$9,2,TRUE))</f>
        <v>A~0</v>
      </c>
    </row>
    <row r="2630" spans="1:12">
      <c r="A2630">
        <v>2045</v>
      </c>
      <c r="B2630" t="s">
        <v>33</v>
      </c>
      <c r="C2630" s="3">
        <v>38604</v>
      </c>
      <c r="D2630" s="3">
        <v>38727</v>
      </c>
      <c r="E2630" t="s">
        <v>17</v>
      </c>
      <c r="F2630">
        <v>32.195</v>
      </c>
      <c r="G2630">
        <v>1272.5999999999999</v>
      </c>
      <c r="H2630">
        <v>40971</v>
      </c>
      <c r="I2630" s="4">
        <v>38686</v>
      </c>
      <c r="J2630" s="5">
        <f t="shared" si="82"/>
        <v>-41</v>
      </c>
      <c r="K2630" s="6" t="str">
        <f t="shared" si="83"/>
        <v>A~0</v>
      </c>
      <c r="L2630" t="str">
        <f>IF(J2630&lt;0,"A~0",VLOOKUP(J2630,[1]作法V!$B$1:$C$9,2,TRUE))</f>
        <v>A~0</v>
      </c>
    </row>
    <row r="2631" spans="1:12">
      <c r="A2631">
        <v>2045</v>
      </c>
      <c r="B2631" t="s">
        <v>33</v>
      </c>
      <c r="C2631" s="3">
        <v>38604</v>
      </c>
      <c r="D2631" s="3">
        <v>38727</v>
      </c>
      <c r="E2631" t="s">
        <v>17</v>
      </c>
      <c r="F2631">
        <v>32.195</v>
      </c>
      <c r="G2631">
        <v>92.4</v>
      </c>
      <c r="H2631">
        <v>2975</v>
      </c>
      <c r="I2631" s="4">
        <v>38686</v>
      </c>
      <c r="J2631" s="5">
        <f t="shared" si="82"/>
        <v>-41</v>
      </c>
      <c r="K2631" s="6" t="str">
        <f t="shared" si="83"/>
        <v>A~0</v>
      </c>
      <c r="L2631" t="str">
        <f>IF(J2631&lt;0,"A~0",VLOOKUP(J2631,[1]作法V!$B$1:$C$9,2,TRUE))</f>
        <v>A~0</v>
      </c>
    </row>
    <row r="2632" spans="1:12">
      <c r="A2632">
        <v>2045</v>
      </c>
      <c r="B2632" t="s">
        <v>33</v>
      </c>
      <c r="C2632" s="3">
        <v>38610</v>
      </c>
      <c r="D2632" s="3">
        <v>38727</v>
      </c>
      <c r="E2632" t="s">
        <v>17</v>
      </c>
      <c r="F2632">
        <v>32.365000000000002</v>
      </c>
      <c r="G2632">
        <v>3978.8</v>
      </c>
      <c r="H2632">
        <v>128774</v>
      </c>
      <c r="I2632" s="4">
        <v>38686</v>
      </c>
      <c r="J2632" s="5">
        <f t="shared" si="82"/>
        <v>-41</v>
      </c>
      <c r="K2632" s="6" t="str">
        <f t="shared" si="83"/>
        <v>A~0</v>
      </c>
      <c r="L2632" t="str">
        <f>IF(J2632&lt;0,"A~0",VLOOKUP(J2632,[1]作法V!$B$1:$C$9,2,TRUE))</f>
        <v>A~0</v>
      </c>
    </row>
    <row r="2633" spans="1:12">
      <c r="A2633">
        <v>2045</v>
      </c>
      <c r="B2633" t="s">
        <v>33</v>
      </c>
      <c r="C2633" s="3">
        <v>38610</v>
      </c>
      <c r="D2633" s="3">
        <v>38727</v>
      </c>
      <c r="E2633" t="s">
        <v>17</v>
      </c>
      <c r="F2633">
        <v>32.365000000000002</v>
      </c>
      <c r="G2633">
        <v>113.68</v>
      </c>
      <c r="H2633">
        <v>3679</v>
      </c>
      <c r="I2633" s="4">
        <v>38686</v>
      </c>
      <c r="J2633" s="5">
        <f t="shared" si="82"/>
        <v>-41</v>
      </c>
      <c r="K2633" s="6" t="str">
        <f t="shared" si="83"/>
        <v>A~0</v>
      </c>
      <c r="L2633" t="str">
        <f>IF(J2633&lt;0,"A~0",VLOOKUP(J2633,[1]作法V!$B$1:$C$9,2,TRUE))</f>
        <v>A~0</v>
      </c>
    </row>
    <row r="2634" spans="1:12">
      <c r="A2634">
        <v>2045</v>
      </c>
      <c r="B2634" t="s">
        <v>33</v>
      </c>
      <c r="C2634" s="3">
        <v>38624</v>
      </c>
      <c r="D2634" s="3">
        <v>38758</v>
      </c>
      <c r="E2634" t="s">
        <v>17</v>
      </c>
      <c r="F2634">
        <v>32.799999999999997</v>
      </c>
      <c r="G2634">
        <v>184.8</v>
      </c>
      <c r="H2634">
        <v>6061</v>
      </c>
      <c r="I2634" s="4">
        <v>38686</v>
      </c>
      <c r="J2634" s="5">
        <f t="shared" si="82"/>
        <v>-72</v>
      </c>
      <c r="K2634" s="6" t="str">
        <f t="shared" si="83"/>
        <v>A~0</v>
      </c>
      <c r="L2634" t="str">
        <f>IF(J2634&lt;0,"A~0",VLOOKUP(J2634,[1]作法V!$B$1:$C$9,2,TRUE))</f>
        <v>A~0</v>
      </c>
    </row>
    <row r="2635" spans="1:12">
      <c r="A2635">
        <v>2045</v>
      </c>
      <c r="B2635" t="s">
        <v>33</v>
      </c>
      <c r="C2635" s="3">
        <v>38624</v>
      </c>
      <c r="D2635" s="3">
        <v>38758</v>
      </c>
      <c r="E2635" t="s">
        <v>17</v>
      </c>
      <c r="F2635">
        <v>32.799999999999997</v>
      </c>
      <c r="G2635">
        <v>92.4</v>
      </c>
      <c r="H2635">
        <v>3031</v>
      </c>
      <c r="I2635" s="4">
        <v>38686</v>
      </c>
      <c r="J2635" s="5">
        <f t="shared" si="82"/>
        <v>-72</v>
      </c>
      <c r="K2635" s="6" t="str">
        <f t="shared" si="83"/>
        <v>A~0</v>
      </c>
      <c r="L2635" t="str">
        <f>IF(J2635&lt;0,"A~0",VLOOKUP(J2635,[1]作法V!$B$1:$C$9,2,TRUE))</f>
        <v>A~0</v>
      </c>
    </row>
    <row r="2636" spans="1:12">
      <c r="A2636">
        <v>2045</v>
      </c>
      <c r="B2636" t="s">
        <v>33</v>
      </c>
      <c r="C2636" s="3">
        <v>38624</v>
      </c>
      <c r="D2636" s="3">
        <v>38758</v>
      </c>
      <c r="E2636" t="s">
        <v>17</v>
      </c>
      <c r="F2636">
        <v>32.799999999999997</v>
      </c>
      <c r="G2636">
        <v>92.4</v>
      </c>
      <c r="H2636">
        <v>3031</v>
      </c>
      <c r="I2636" s="4">
        <v>38686</v>
      </c>
      <c r="J2636" s="5">
        <f t="shared" si="82"/>
        <v>-72</v>
      </c>
      <c r="K2636" s="6" t="str">
        <f t="shared" si="83"/>
        <v>A~0</v>
      </c>
      <c r="L2636" t="str">
        <f>IF(J2636&lt;0,"A~0",VLOOKUP(J2636,[1]作法V!$B$1:$C$9,2,TRUE))</f>
        <v>A~0</v>
      </c>
    </row>
    <row r="2637" spans="1:12">
      <c r="A2637">
        <v>2045</v>
      </c>
      <c r="B2637" t="s">
        <v>33</v>
      </c>
      <c r="C2637" s="3">
        <v>38632</v>
      </c>
      <c r="D2637" s="3">
        <v>38758</v>
      </c>
      <c r="E2637" t="s">
        <v>17</v>
      </c>
      <c r="F2637">
        <v>33.15</v>
      </c>
      <c r="G2637">
        <v>1733.62</v>
      </c>
      <c r="H2637">
        <v>57470</v>
      </c>
      <c r="I2637" s="4">
        <v>38686</v>
      </c>
      <c r="J2637" s="5">
        <f t="shared" si="82"/>
        <v>-72</v>
      </c>
      <c r="K2637" s="6" t="str">
        <f t="shared" si="83"/>
        <v>A~0</v>
      </c>
      <c r="L2637" t="str">
        <f>IF(J2637&lt;0,"A~0",VLOOKUP(J2637,[1]作法V!$B$1:$C$9,2,TRUE))</f>
        <v>A~0</v>
      </c>
    </row>
    <row r="2638" spans="1:12">
      <c r="A2638">
        <v>2045</v>
      </c>
      <c r="B2638" t="s">
        <v>33</v>
      </c>
      <c r="C2638" s="3">
        <v>38639</v>
      </c>
      <c r="D2638" s="3">
        <v>38758</v>
      </c>
      <c r="E2638" t="s">
        <v>17</v>
      </c>
      <c r="F2638">
        <v>33.195</v>
      </c>
      <c r="G2638">
        <v>1591.52</v>
      </c>
      <c r="H2638">
        <v>52831</v>
      </c>
      <c r="I2638" s="4">
        <v>38686</v>
      </c>
      <c r="J2638" s="5">
        <f t="shared" si="82"/>
        <v>-72</v>
      </c>
      <c r="K2638" s="6" t="str">
        <f t="shared" si="83"/>
        <v>A~0</v>
      </c>
      <c r="L2638" t="str">
        <f>IF(J2638&lt;0,"A~0",VLOOKUP(J2638,[1]作法V!$B$1:$C$9,2,TRUE))</f>
        <v>A~0</v>
      </c>
    </row>
    <row r="2639" spans="1:12">
      <c r="A2639">
        <v>2045</v>
      </c>
      <c r="B2639" t="s">
        <v>33</v>
      </c>
      <c r="C2639" s="3">
        <v>38639</v>
      </c>
      <c r="D2639" s="3">
        <v>38758</v>
      </c>
      <c r="E2639" t="s">
        <v>17</v>
      </c>
      <c r="F2639">
        <v>33.195</v>
      </c>
      <c r="G2639">
        <v>422.4</v>
      </c>
      <c r="H2639">
        <v>14022</v>
      </c>
      <c r="I2639" s="4">
        <v>38686</v>
      </c>
      <c r="J2639" s="5">
        <f t="shared" si="82"/>
        <v>-72</v>
      </c>
      <c r="K2639" s="6" t="str">
        <f t="shared" si="83"/>
        <v>A~0</v>
      </c>
      <c r="L2639" t="str">
        <f>IF(J2639&lt;0,"A~0",VLOOKUP(J2639,[1]作法V!$B$1:$C$9,2,TRUE))</f>
        <v>A~0</v>
      </c>
    </row>
    <row r="2640" spans="1:12">
      <c r="A2640">
        <v>2045</v>
      </c>
      <c r="B2640" t="s">
        <v>33</v>
      </c>
      <c r="C2640" s="3">
        <v>38639</v>
      </c>
      <c r="D2640" s="3">
        <v>38758</v>
      </c>
      <c r="E2640" t="s">
        <v>17</v>
      </c>
      <c r="F2640">
        <v>33.195</v>
      </c>
      <c r="G2640">
        <v>646.79999999999995</v>
      </c>
      <c r="H2640">
        <v>21471</v>
      </c>
      <c r="I2640" s="4">
        <v>38686</v>
      </c>
      <c r="J2640" s="5">
        <f t="shared" si="82"/>
        <v>-72</v>
      </c>
      <c r="K2640" s="6" t="str">
        <f t="shared" si="83"/>
        <v>A~0</v>
      </c>
      <c r="L2640" t="str">
        <f>IF(J2640&lt;0,"A~0",VLOOKUP(J2640,[1]作法V!$B$1:$C$9,2,TRUE))</f>
        <v>A~0</v>
      </c>
    </row>
    <row r="2641" spans="1:12">
      <c r="A2641">
        <v>2045</v>
      </c>
      <c r="B2641" t="s">
        <v>33</v>
      </c>
      <c r="C2641" s="3">
        <v>38639</v>
      </c>
      <c r="D2641" s="3">
        <v>38758</v>
      </c>
      <c r="E2641" t="s">
        <v>17</v>
      </c>
      <c r="F2641">
        <v>33.195</v>
      </c>
      <c r="G2641">
        <v>92.4</v>
      </c>
      <c r="H2641">
        <v>3067</v>
      </c>
      <c r="I2641" s="4">
        <v>38686</v>
      </c>
      <c r="J2641" s="5">
        <f t="shared" si="82"/>
        <v>-72</v>
      </c>
      <c r="K2641" s="6" t="str">
        <f t="shared" si="83"/>
        <v>A~0</v>
      </c>
      <c r="L2641" t="str">
        <f>IF(J2641&lt;0,"A~0",VLOOKUP(J2641,[1]作法V!$B$1:$C$9,2,TRUE))</f>
        <v>A~0</v>
      </c>
    </row>
    <row r="2642" spans="1:12">
      <c r="A2642">
        <v>2045</v>
      </c>
      <c r="B2642" t="s">
        <v>33</v>
      </c>
      <c r="C2642" s="3">
        <v>38658</v>
      </c>
      <c r="D2642" s="3">
        <v>38786</v>
      </c>
      <c r="E2642" t="s">
        <v>17</v>
      </c>
      <c r="F2642">
        <v>33.715000000000003</v>
      </c>
      <c r="G2642">
        <v>832.5</v>
      </c>
      <c r="H2642">
        <v>28068</v>
      </c>
      <c r="I2642" s="4">
        <v>38686</v>
      </c>
      <c r="J2642" s="5">
        <f t="shared" si="82"/>
        <v>-100</v>
      </c>
      <c r="K2642" s="6" t="str">
        <f t="shared" si="83"/>
        <v>A~0</v>
      </c>
      <c r="L2642" t="str">
        <f>IF(J2642&lt;0,"A~0",VLOOKUP(J2642,[1]作法V!$B$1:$C$9,2,TRUE))</f>
        <v>A~0</v>
      </c>
    </row>
    <row r="2643" spans="1:12">
      <c r="A2643">
        <v>2045</v>
      </c>
      <c r="B2643" t="s">
        <v>33</v>
      </c>
      <c r="C2643" s="3">
        <v>38658</v>
      </c>
      <c r="D2643" s="3">
        <v>38786</v>
      </c>
      <c r="E2643" t="s">
        <v>17</v>
      </c>
      <c r="F2643">
        <v>33.715000000000003</v>
      </c>
      <c r="G2643">
        <v>211.2</v>
      </c>
      <c r="H2643">
        <v>7121</v>
      </c>
      <c r="I2643" s="4">
        <v>38686</v>
      </c>
      <c r="J2643" s="5">
        <f t="shared" si="82"/>
        <v>-100</v>
      </c>
      <c r="K2643" s="6" t="str">
        <f t="shared" si="83"/>
        <v>A~0</v>
      </c>
      <c r="L2643" t="str">
        <f>IF(J2643&lt;0,"A~0",VLOOKUP(J2643,[1]作法V!$B$1:$C$9,2,TRUE))</f>
        <v>A~0</v>
      </c>
    </row>
    <row r="2644" spans="1:12">
      <c r="A2644">
        <v>2327</v>
      </c>
      <c r="B2644" t="s">
        <v>34</v>
      </c>
      <c r="C2644" s="3">
        <v>38621</v>
      </c>
      <c r="D2644" s="3">
        <v>38701</v>
      </c>
      <c r="E2644" t="s">
        <v>18</v>
      </c>
      <c r="F2644">
        <v>1</v>
      </c>
      <c r="G2644">
        <v>2835</v>
      </c>
      <c r="H2644">
        <v>2835</v>
      </c>
      <c r="I2644" s="4">
        <v>38686</v>
      </c>
      <c r="J2644" s="5">
        <f t="shared" si="82"/>
        <v>-15</v>
      </c>
      <c r="K2644" s="6" t="str">
        <f t="shared" si="83"/>
        <v>A~0</v>
      </c>
      <c r="L2644" t="str">
        <f>IF(J2644&lt;0,"A~0",VLOOKUP(J2644,[1]作法V!$B$1:$C$9,2,TRUE))</f>
        <v>A~0</v>
      </c>
    </row>
    <row r="2645" spans="1:12">
      <c r="A2645">
        <v>2327</v>
      </c>
      <c r="B2645" t="s">
        <v>34</v>
      </c>
      <c r="C2645" s="3">
        <v>38650</v>
      </c>
      <c r="D2645" s="3">
        <v>38732</v>
      </c>
      <c r="E2645" t="s">
        <v>18</v>
      </c>
      <c r="F2645">
        <v>1</v>
      </c>
      <c r="G2645">
        <v>11025</v>
      </c>
      <c r="H2645">
        <v>11025</v>
      </c>
      <c r="I2645" s="4">
        <v>38686</v>
      </c>
      <c r="J2645" s="5">
        <f t="shared" si="82"/>
        <v>-46</v>
      </c>
      <c r="K2645" s="6" t="str">
        <f t="shared" si="83"/>
        <v>A~0</v>
      </c>
      <c r="L2645" t="str">
        <f>IF(J2645&lt;0,"A~0",VLOOKUP(J2645,[1]作法V!$B$1:$C$9,2,TRUE))</f>
        <v>A~0</v>
      </c>
    </row>
    <row r="2646" spans="1:12">
      <c r="A2646">
        <v>2327</v>
      </c>
      <c r="B2646" t="s">
        <v>34</v>
      </c>
      <c r="C2646" s="3">
        <v>38659</v>
      </c>
      <c r="D2646" s="3">
        <v>38763</v>
      </c>
      <c r="E2646" t="s">
        <v>18</v>
      </c>
      <c r="F2646">
        <v>1</v>
      </c>
      <c r="G2646">
        <v>15750</v>
      </c>
      <c r="H2646">
        <v>15750</v>
      </c>
      <c r="I2646" s="4">
        <v>38686</v>
      </c>
      <c r="J2646" s="5">
        <f t="shared" si="82"/>
        <v>-77</v>
      </c>
      <c r="K2646" s="6" t="str">
        <f t="shared" si="83"/>
        <v>A~0</v>
      </c>
      <c r="L2646" t="str">
        <f>IF(J2646&lt;0,"A~0",VLOOKUP(J2646,[1]作法V!$B$1:$C$9,2,TRUE))</f>
        <v>A~0</v>
      </c>
    </row>
    <row r="2647" spans="1:12">
      <c r="A2647">
        <v>2327</v>
      </c>
      <c r="B2647" t="s">
        <v>34</v>
      </c>
      <c r="C2647" s="3">
        <v>38686</v>
      </c>
      <c r="D2647" s="3">
        <v>38763</v>
      </c>
      <c r="E2647" t="s">
        <v>18</v>
      </c>
      <c r="F2647">
        <v>1</v>
      </c>
      <c r="G2647">
        <v>11025</v>
      </c>
      <c r="H2647">
        <v>11025</v>
      </c>
      <c r="I2647" s="4">
        <v>38686</v>
      </c>
      <c r="J2647" s="5">
        <f t="shared" si="82"/>
        <v>-77</v>
      </c>
      <c r="K2647" s="6" t="str">
        <f t="shared" si="83"/>
        <v>A~0</v>
      </c>
      <c r="L2647" t="str">
        <f>IF(J2647&lt;0,"A~0",VLOOKUP(J2647,[1]作法V!$B$1:$C$9,2,TRUE))</f>
        <v>A~0</v>
      </c>
    </row>
    <row r="2648" spans="1:12">
      <c r="A2648">
        <v>2349</v>
      </c>
      <c r="B2648" t="s">
        <v>35</v>
      </c>
      <c r="C2648" s="3">
        <v>38637</v>
      </c>
      <c r="D2648" s="3">
        <v>38718</v>
      </c>
      <c r="E2648" t="s">
        <v>17</v>
      </c>
      <c r="F2648">
        <v>33.195</v>
      </c>
      <c r="G2648">
        <v>627</v>
      </c>
      <c r="H2648">
        <v>20813</v>
      </c>
      <c r="I2648" s="4">
        <v>38686</v>
      </c>
      <c r="J2648" s="5">
        <f t="shared" si="82"/>
        <v>-32</v>
      </c>
      <c r="K2648" s="6" t="str">
        <f t="shared" si="83"/>
        <v>A~0</v>
      </c>
      <c r="L2648" t="str">
        <f>IF(J2648&lt;0,"A~0",VLOOKUP(J2648,[1]作法V!$B$1:$C$9,2,TRUE))</f>
        <v>A~0</v>
      </c>
    </row>
    <row r="2649" spans="1:12">
      <c r="A2649">
        <v>2349</v>
      </c>
      <c r="B2649" t="s">
        <v>35</v>
      </c>
      <c r="C2649" s="3">
        <v>38637</v>
      </c>
      <c r="D2649" s="3">
        <v>38718</v>
      </c>
      <c r="E2649" t="s">
        <v>17</v>
      </c>
      <c r="F2649">
        <v>33.195</v>
      </c>
      <c r="G2649">
        <v>396</v>
      </c>
      <c r="H2649">
        <v>13145</v>
      </c>
      <c r="I2649" s="4">
        <v>38686</v>
      </c>
      <c r="J2649" s="5">
        <f t="shared" si="82"/>
        <v>-32</v>
      </c>
      <c r="K2649" s="6" t="str">
        <f t="shared" si="83"/>
        <v>A~0</v>
      </c>
      <c r="L2649" t="str">
        <f>IF(J2649&lt;0,"A~0",VLOOKUP(J2649,[1]作法V!$B$1:$C$9,2,TRUE))</f>
        <v>A~0</v>
      </c>
    </row>
    <row r="2650" spans="1:12">
      <c r="A2650">
        <v>2349</v>
      </c>
      <c r="B2650" t="s">
        <v>35</v>
      </c>
      <c r="C2650" s="3">
        <v>38638</v>
      </c>
      <c r="D2650" s="3">
        <v>38718</v>
      </c>
      <c r="E2650" t="s">
        <v>17</v>
      </c>
      <c r="F2650">
        <v>33.195</v>
      </c>
      <c r="G2650">
        <v>396</v>
      </c>
      <c r="H2650">
        <v>13145</v>
      </c>
      <c r="I2650" s="4">
        <v>38686</v>
      </c>
      <c r="J2650" s="5">
        <f t="shared" si="82"/>
        <v>-32</v>
      </c>
      <c r="K2650" s="6" t="str">
        <f t="shared" si="83"/>
        <v>A~0</v>
      </c>
      <c r="L2650" t="str">
        <f>IF(J2650&lt;0,"A~0",VLOOKUP(J2650,[1]作法V!$B$1:$C$9,2,TRUE))</f>
        <v>A~0</v>
      </c>
    </row>
    <row r="2651" spans="1:12">
      <c r="A2651">
        <v>2349</v>
      </c>
      <c r="B2651" t="s">
        <v>35</v>
      </c>
      <c r="C2651" s="3">
        <v>38642</v>
      </c>
      <c r="D2651" s="3">
        <v>38718</v>
      </c>
      <c r="E2651" t="s">
        <v>17</v>
      </c>
      <c r="F2651">
        <v>33.195</v>
      </c>
      <c r="G2651">
        <v>264</v>
      </c>
      <c r="H2651">
        <v>8763</v>
      </c>
      <c r="I2651" s="4">
        <v>38686</v>
      </c>
      <c r="J2651" s="5">
        <f t="shared" si="82"/>
        <v>-32</v>
      </c>
      <c r="K2651" s="6" t="str">
        <f t="shared" si="83"/>
        <v>A~0</v>
      </c>
      <c r="L2651" t="str">
        <f>IF(J2651&lt;0,"A~0",VLOOKUP(J2651,[1]作法V!$B$1:$C$9,2,TRUE))</f>
        <v>A~0</v>
      </c>
    </row>
    <row r="2652" spans="1:12">
      <c r="A2652">
        <v>2349</v>
      </c>
      <c r="B2652" t="s">
        <v>35</v>
      </c>
      <c r="C2652" s="3">
        <v>38642</v>
      </c>
      <c r="D2652" s="3">
        <v>38718</v>
      </c>
      <c r="E2652" t="s">
        <v>17</v>
      </c>
      <c r="F2652">
        <v>33.195</v>
      </c>
      <c r="G2652">
        <v>528</v>
      </c>
      <c r="H2652">
        <v>17527</v>
      </c>
      <c r="I2652" s="4">
        <v>38686</v>
      </c>
      <c r="J2652" s="5">
        <f t="shared" si="82"/>
        <v>-32</v>
      </c>
      <c r="K2652" s="6" t="str">
        <f t="shared" si="83"/>
        <v>A~0</v>
      </c>
      <c r="L2652" t="str">
        <f>IF(J2652&lt;0,"A~0",VLOOKUP(J2652,[1]作法V!$B$1:$C$9,2,TRUE))</f>
        <v>A~0</v>
      </c>
    </row>
    <row r="2653" spans="1:12">
      <c r="A2653">
        <v>2349</v>
      </c>
      <c r="B2653" t="s">
        <v>35</v>
      </c>
      <c r="C2653" s="3">
        <v>38652</v>
      </c>
      <c r="D2653" s="3">
        <v>38718</v>
      </c>
      <c r="E2653" t="s">
        <v>17</v>
      </c>
      <c r="F2653">
        <v>33.4</v>
      </c>
      <c r="G2653">
        <v>396</v>
      </c>
      <c r="H2653">
        <v>13226</v>
      </c>
      <c r="I2653" s="4">
        <v>38686</v>
      </c>
      <c r="J2653" s="5">
        <f t="shared" si="82"/>
        <v>-32</v>
      </c>
      <c r="K2653" s="6" t="str">
        <f t="shared" si="83"/>
        <v>A~0</v>
      </c>
      <c r="L2653" t="str">
        <f>IF(J2653&lt;0,"A~0",VLOOKUP(J2653,[1]作法V!$B$1:$C$9,2,TRUE))</f>
        <v>A~0</v>
      </c>
    </row>
    <row r="2654" spans="1:12">
      <c r="A2654">
        <v>2349</v>
      </c>
      <c r="B2654" t="s">
        <v>35</v>
      </c>
      <c r="C2654" s="3">
        <v>38652</v>
      </c>
      <c r="D2654" s="3">
        <v>38718</v>
      </c>
      <c r="E2654" t="s">
        <v>17</v>
      </c>
      <c r="F2654">
        <v>33.4</v>
      </c>
      <c r="G2654">
        <v>659.12</v>
      </c>
      <c r="H2654">
        <v>22015</v>
      </c>
      <c r="I2654" s="4">
        <v>38686</v>
      </c>
      <c r="J2654" s="5">
        <f t="shared" si="82"/>
        <v>-32</v>
      </c>
      <c r="K2654" s="6" t="str">
        <f t="shared" si="83"/>
        <v>A~0</v>
      </c>
      <c r="L2654" t="str">
        <f>IF(J2654&lt;0,"A~0",VLOOKUP(J2654,[1]作法V!$B$1:$C$9,2,TRUE))</f>
        <v>A~0</v>
      </c>
    </row>
    <row r="2655" spans="1:12">
      <c r="A2655">
        <v>2357</v>
      </c>
      <c r="B2655" t="s">
        <v>36</v>
      </c>
      <c r="C2655" s="3">
        <v>38622</v>
      </c>
      <c r="D2655" s="3">
        <v>38758</v>
      </c>
      <c r="E2655" t="s">
        <v>17</v>
      </c>
      <c r="F2655">
        <v>32.799999999999997</v>
      </c>
      <c r="G2655">
        <v>264</v>
      </c>
      <c r="H2655">
        <v>8659</v>
      </c>
      <c r="I2655" s="4">
        <v>38686</v>
      </c>
      <c r="J2655" s="5">
        <f t="shared" si="82"/>
        <v>-72</v>
      </c>
      <c r="K2655" s="6" t="str">
        <f t="shared" si="83"/>
        <v>A~0</v>
      </c>
      <c r="L2655" t="str">
        <f>IF(J2655&lt;0,"A~0",VLOOKUP(J2655,[1]作法V!$B$1:$C$9,2,TRUE))</f>
        <v>A~0</v>
      </c>
    </row>
    <row r="2656" spans="1:12">
      <c r="A2656">
        <v>2363</v>
      </c>
      <c r="B2656" t="s">
        <v>37</v>
      </c>
      <c r="C2656" s="3">
        <v>38453</v>
      </c>
      <c r="D2656" s="3">
        <v>38504</v>
      </c>
      <c r="E2656" t="s">
        <v>19</v>
      </c>
      <c r="F2656">
        <v>4.0209999999999999</v>
      </c>
      <c r="G2656">
        <v>2851.42</v>
      </c>
      <c r="H2656">
        <v>11466</v>
      </c>
      <c r="I2656" s="4">
        <v>38686</v>
      </c>
      <c r="J2656" s="5">
        <f t="shared" si="82"/>
        <v>182</v>
      </c>
      <c r="K2656" s="6" t="str">
        <f t="shared" si="83"/>
        <v>G181~360</v>
      </c>
      <c r="L2656" t="str">
        <f>IF(J2656&lt;0,"A~0",VLOOKUP(J2656,[1]作法V!$B$1:$C$9,2,TRUE))</f>
        <v>G181~360</v>
      </c>
    </row>
    <row r="2657" spans="1:12">
      <c r="A2657">
        <v>2363</v>
      </c>
      <c r="B2657" t="s">
        <v>37</v>
      </c>
      <c r="C2657" s="3">
        <v>38470</v>
      </c>
      <c r="D2657" s="3">
        <v>38504</v>
      </c>
      <c r="E2657" t="s">
        <v>19</v>
      </c>
      <c r="F2657">
        <v>4.0380000000000003</v>
      </c>
      <c r="G2657">
        <v>3337.6</v>
      </c>
      <c r="H2657">
        <v>13477</v>
      </c>
      <c r="I2657" s="4">
        <v>38686</v>
      </c>
      <c r="J2657" s="5">
        <f t="shared" si="82"/>
        <v>182</v>
      </c>
      <c r="K2657" s="6" t="str">
        <f t="shared" si="83"/>
        <v>G181~360</v>
      </c>
      <c r="L2657" t="str">
        <f>IF(J2657&lt;0,"A~0",VLOOKUP(J2657,[1]作法V!$B$1:$C$9,2,TRUE))</f>
        <v>G181~360</v>
      </c>
    </row>
    <row r="2658" spans="1:12">
      <c r="A2658">
        <v>2363</v>
      </c>
      <c r="B2658" t="s">
        <v>37</v>
      </c>
      <c r="C2658" s="3">
        <v>38530</v>
      </c>
      <c r="D2658" s="3">
        <v>38565</v>
      </c>
      <c r="E2658" t="s">
        <v>19</v>
      </c>
      <c r="F2658">
        <v>4.01</v>
      </c>
      <c r="G2658">
        <v>4160.8</v>
      </c>
      <c r="H2658">
        <v>16685</v>
      </c>
      <c r="I2658" s="4">
        <v>38686</v>
      </c>
      <c r="J2658" s="5">
        <f t="shared" si="82"/>
        <v>121</v>
      </c>
      <c r="K2658" s="6" t="str">
        <f t="shared" si="83"/>
        <v>F121~180</v>
      </c>
      <c r="L2658" t="str">
        <f>IF(J2658&lt;0,"A~0",VLOOKUP(J2658,[1]作法V!$B$1:$C$9,2,TRUE))</f>
        <v>F121~180</v>
      </c>
    </row>
    <row r="2659" spans="1:12">
      <c r="A2659">
        <v>2363</v>
      </c>
      <c r="B2659" t="s">
        <v>37</v>
      </c>
      <c r="C2659" s="3">
        <v>38546</v>
      </c>
      <c r="D2659" s="3">
        <v>38596</v>
      </c>
      <c r="E2659" t="s">
        <v>19</v>
      </c>
      <c r="F2659">
        <v>4.0869999999999997</v>
      </c>
      <c r="G2659">
        <v>13400</v>
      </c>
      <c r="H2659">
        <v>54766</v>
      </c>
      <c r="I2659" s="4">
        <v>38686</v>
      </c>
      <c r="J2659" s="5">
        <f t="shared" si="82"/>
        <v>90</v>
      </c>
      <c r="K2659" s="6" t="str">
        <f t="shared" si="83"/>
        <v>D61~90</v>
      </c>
      <c r="L2659" t="str">
        <f>IF(J2659&lt;0,"A~0",VLOOKUP(J2659,[1]作法V!$B$1:$C$9,2,TRUE))</f>
        <v>D61-90</v>
      </c>
    </row>
    <row r="2660" spans="1:12">
      <c r="A2660">
        <v>2363</v>
      </c>
      <c r="B2660" t="s">
        <v>37</v>
      </c>
      <c r="C2660" s="3">
        <v>38561</v>
      </c>
      <c r="D2660" s="3">
        <v>38596</v>
      </c>
      <c r="E2660" t="s">
        <v>19</v>
      </c>
      <c r="F2660">
        <v>4.077</v>
      </c>
      <c r="G2660">
        <v>8340.4</v>
      </c>
      <c r="H2660">
        <v>34004</v>
      </c>
      <c r="I2660" s="4">
        <v>38686</v>
      </c>
      <c r="J2660" s="5">
        <f t="shared" si="82"/>
        <v>90</v>
      </c>
      <c r="K2660" s="6" t="str">
        <f t="shared" si="83"/>
        <v>D61~90</v>
      </c>
      <c r="L2660" t="str">
        <f>IF(J2660&lt;0,"A~0",VLOOKUP(J2660,[1]作法V!$B$1:$C$9,2,TRUE))</f>
        <v>D61-90</v>
      </c>
    </row>
    <row r="2661" spans="1:12">
      <c r="A2661">
        <v>2363</v>
      </c>
      <c r="B2661" t="s">
        <v>37</v>
      </c>
      <c r="C2661" s="3">
        <v>38579</v>
      </c>
      <c r="D2661" s="3">
        <v>38626</v>
      </c>
      <c r="E2661" t="s">
        <v>19</v>
      </c>
      <c r="F2661">
        <v>4.0780000000000003</v>
      </c>
      <c r="G2661">
        <v>840</v>
      </c>
      <c r="H2661">
        <v>3426</v>
      </c>
      <c r="I2661" s="4">
        <v>38686</v>
      </c>
      <c r="J2661" s="5">
        <f t="shared" si="82"/>
        <v>60</v>
      </c>
      <c r="K2661" s="6" t="str">
        <f t="shared" si="83"/>
        <v>C31~60</v>
      </c>
      <c r="L2661" t="str">
        <f>IF(J2661&lt;0,"A~0",VLOOKUP(J2661,[1]作法V!$B$1:$C$9,2,TRUE))</f>
        <v>C31~60</v>
      </c>
    </row>
    <row r="2662" spans="1:12">
      <c r="A2662">
        <v>2363</v>
      </c>
      <c r="B2662" t="s">
        <v>37</v>
      </c>
      <c r="C2662" s="3">
        <v>38586</v>
      </c>
      <c r="D2662" s="3">
        <v>38626</v>
      </c>
      <c r="E2662" t="s">
        <v>19</v>
      </c>
      <c r="F2662">
        <v>4.0839999999999996</v>
      </c>
      <c r="G2662">
        <v>2117.1999999999998</v>
      </c>
      <c r="H2662">
        <v>8647</v>
      </c>
      <c r="I2662" s="4">
        <v>38686</v>
      </c>
      <c r="J2662" s="5">
        <f t="shared" si="82"/>
        <v>60</v>
      </c>
      <c r="K2662" s="6" t="str">
        <f t="shared" si="83"/>
        <v>C31~60</v>
      </c>
      <c r="L2662" t="str">
        <f>IF(J2662&lt;0,"A~0",VLOOKUP(J2662,[1]作法V!$B$1:$C$9,2,TRUE))</f>
        <v>C31~60</v>
      </c>
    </row>
    <row r="2663" spans="1:12">
      <c r="A2663">
        <v>2363</v>
      </c>
      <c r="B2663" t="s">
        <v>37</v>
      </c>
      <c r="C2663" s="3">
        <v>38586</v>
      </c>
      <c r="D2663" s="3">
        <v>38626</v>
      </c>
      <c r="E2663" t="s">
        <v>19</v>
      </c>
      <c r="F2663">
        <v>4.0839999999999996</v>
      </c>
      <c r="G2663">
        <v>2197.6</v>
      </c>
      <c r="H2663">
        <v>8975</v>
      </c>
      <c r="I2663" s="4">
        <v>38686</v>
      </c>
      <c r="J2663" s="5">
        <f t="shared" si="82"/>
        <v>60</v>
      </c>
      <c r="K2663" s="6" t="str">
        <f t="shared" si="83"/>
        <v>C31~60</v>
      </c>
      <c r="L2663" t="str">
        <f>IF(J2663&lt;0,"A~0",VLOOKUP(J2663,[1]作法V!$B$1:$C$9,2,TRUE))</f>
        <v>C31~60</v>
      </c>
    </row>
    <row r="2664" spans="1:12">
      <c r="A2664">
        <v>2363</v>
      </c>
      <c r="B2664" t="s">
        <v>37</v>
      </c>
      <c r="C2664" s="3">
        <v>38589</v>
      </c>
      <c r="D2664" s="3">
        <v>38626</v>
      </c>
      <c r="E2664" t="s">
        <v>19</v>
      </c>
      <c r="F2664">
        <v>4.0839999999999996</v>
      </c>
      <c r="G2664">
        <v>8.4</v>
      </c>
      <c r="H2664">
        <v>34</v>
      </c>
      <c r="I2664" s="4">
        <v>38686</v>
      </c>
      <c r="J2664" s="5">
        <f t="shared" si="82"/>
        <v>60</v>
      </c>
      <c r="K2664" s="6" t="str">
        <f t="shared" si="83"/>
        <v>C31~60</v>
      </c>
      <c r="L2664" t="str">
        <f>IF(J2664&lt;0,"A~0",VLOOKUP(J2664,[1]作法V!$B$1:$C$9,2,TRUE))</f>
        <v>C31~60</v>
      </c>
    </row>
    <row r="2665" spans="1:12">
      <c r="A2665">
        <v>2363</v>
      </c>
      <c r="B2665" t="s">
        <v>37</v>
      </c>
      <c r="C2665" s="3">
        <v>38589</v>
      </c>
      <c r="D2665" s="3">
        <v>38626</v>
      </c>
      <c r="E2665" t="s">
        <v>19</v>
      </c>
      <c r="F2665">
        <v>4.0839999999999996</v>
      </c>
      <c r="G2665">
        <v>3564.4</v>
      </c>
      <c r="H2665">
        <v>14557</v>
      </c>
      <c r="I2665" s="4">
        <v>38686</v>
      </c>
      <c r="J2665" s="5">
        <f t="shared" si="82"/>
        <v>60</v>
      </c>
      <c r="K2665" s="6" t="str">
        <f t="shared" si="83"/>
        <v>C31~60</v>
      </c>
      <c r="L2665" t="str">
        <f>IF(J2665&lt;0,"A~0",VLOOKUP(J2665,[1]作法V!$B$1:$C$9,2,TRUE))</f>
        <v>C31~60</v>
      </c>
    </row>
    <row r="2666" spans="1:12">
      <c r="A2666">
        <v>2363</v>
      </c>
      <c r="B2666" t="s">
        <v>37</v>
      </c>
      <c r="C2666" s="3">
        <v>38589</v>
      </c>
      <c r="D2666" s="3">
        <v>38626</v>
      </c>
      <c r="E2666" t="s">
        <v>19</v>
      </c>
      <c r="F2666">
        <v>4.0839999999999996</v>
      </c>
      <c r="G2666">
        <v>4703.3999999999996</v>
      </c>
      <c r="H2666">
        <v>19209</v>
      </c>
      <c r="I2666" s="4">
        <v>38686</v>
      </c>
      <c r="J2666" s="5">
        <f t="shared" si="82"/>
        <v>60</v>
      </c>
      <c r="K2666" s="6" t="str">
        <f t="shared" si="83"/>
        <v>C31~60</v>
      </c>
      <c r="L2666" t="str">
        <f>IF(J2666&lt;0,"A~0",VLOOKUP(J2666,[1]作法V!$B$1:$C$9,2,TRUE))</f>
        <v>C31~60</v>
      </c>
    </row>
    <row r="2667" spans="1:12">
      <c r="A2667">
        <v>2363</v>
      </c>
      <c r="B2667" t="s">
        <v>37</v>
      </c>
      <c r="C2667" s="3">
        <v>38593</v>
      </c>
      <c r="D2667" s="3">
        <v>38626</v>
      </c>
      <c r="E2667" t="s">
        <v>19</v>
      </c>
      <c r="F2667">
        <v>4.0839999999999996</v>
      </c>
      <c r="G2667">
        <v>1393.6</v>
      </c>
      <c r="H2667">
        <v>5691</v>
      </c>
      <c r="I2667" s="4">
        <v>38686</v>
      </c>
      <c r="J2667" s="5">
        <f t="shared" si="82"/>
        <v>60</v>
      </c>
      <c r="K2667" s="6" t="str">
        <f t="shared" si="83"/>
        <v>C31~60</v>
      </c>
      <c r="L2667" t="str">
        <f>IF(J2667&lt;0,"A~0",VLOOKUP(J2667,[1]作法V!$B$1:$C$9,2,TRUE))</f>
        <v>C31~60</v>
      </c>
    </row>
    <row r="2668" spans="1:12">
      <c r="A2668">
        <v>2363</v>
      </c>
      <c r="B2668" t="s">
        <v>37</v>
      </c>
      <c r="C2668" s="3">
        <v>38595</v>
      </c>
      <c r="D2668" s="3">
        <v>38626</v>
      </c>
      <c r="E2668" t="s">
        <v>19</v>
      </c>
      <c r="F2668">
        <v>4.0839999999999996</v>
      </c>
      <c r="G2668">
        <v>12600</v>
      </c>
      <c r="H2668">
        <v>51458</v>
      </c>
      <c r="I2668" s="4">
        <v>38686</v>
      </c>
      <c r="J2668" s="5">
        <f t="shared" si="82"/>
        <v>60</v>
      </c>
      <c r="K2668" s="6" t="str">
        <f t="shared" si="83"/>
        <v>C31~60</v>
      </c>
      <c r="L2668" t="str">
        <f>IF(J2668&lt;0,"A~0",VLOOKUP(J2668,[1]作法V!$B$1:$C$9,2,TRUE))</f>
        <v>C31~60</v>
      </c>
    </row>
    <row r="2669" spans="1:12">
      <c r="A2669">
        <v>2363</v>
      </c>
      <c r="B2669" t="s">
        <v>37</v>
      </c>
      <c r="C2669" s="3">
        <v>38607</v>
      </c>
      <c r="D2669" s="3">
        <v>38657</v>
      </c>
      <c r="E2669" t="s">
        <v>19</v>
      </c>
      <c r="F2669">
        <v>4.1429999999999998</v>
      </c>
      <c r="G2669">
        <v>289.8</v>
      </c>
      <c r="H2669">
        <v>1201</v>
      </c>
      <c r="I2669" s="4">
        <v>38686</v>
      </c>
      <c r="J2669" s="5">
        <f t="shared" si="82"/>
        <v>29</v>
      </c>
      <c r="K2669" s="6" t="str">
        <f t="shared" si="83"/>
        <v>B1~30</v>
      </c>
      <c r="L2669" t="str">
        <f>IF(J2669&lt;0,"A~0",VLOOKUP(J2669,[1]作法V!$B$1:$C$9,2,TRUE))</f>
        <v>B1~30</v>
      </c>
    </row>
    <row r="2670" spans="1:12">
      <c r="A2670">
        <v>2363</v>
      </c>
      <c r="B2670" t="s">
        <v>37</v>
      </c>
      <c r="C2670" s="3">
        <v>38607</v>
      </c>
      <c r="D2670" s="3">
        <v>38657</v>
      </c>
      <c r="E2670" t="s">
        <v>19</v>
      </c>
      <c r="F2670">
        <v>4.1429999999999998</v>
      </c>
      <c r="G2670">
        <v>12600</v>
      </c>
      <c r="H2670">
        <v>52202</v>
      </c>
      <c r="I2670" s="4">
        <v>38686</v>
      </c>
      <c r="J2670" s="5">
        <f t="shared" si="82"/>
        <v>29</v>
      </c>
      <c r="K2670" s="6" t="str">
        <f t="shared" si="83"/>
        <v>B1~30</v>
      </c>
      <c r="L2670" t="str">
        <f>IF(J2670&lt;0,"A~0",VLOOKUP(J2670,[1]作法V!$B$1:$C$9,2,TRUE))</f>
        <v>B1~30</v>
      </c>
    </row>
    <row r="2671" spans="1:12">
      <c r="A2671">
        <v>2363</v>
      </c>
      <c r="B2671" t="s">
        <v>37</v>
      </c>
      <c r="C2671" s="3">
        <v>38617</v>
      </c>
      <c r="D2671" s="3">
        <v>38687</v>
      </c>
      <c r="E2671" t="s">
        <v>19</v>
      </c>
      <c r="F2671">
        <v>4.2039999999999997</v>
      </c>
      <c r="G2671">
        <v>1634.91</v>
      </c>
      <c r="H2671">
        <v>6873</v>
      </c>
      <c r="I2671" s="4">
        <v>38686</v>
      </c>
      <c r="J2671" s="5">
        <f t="shared" si="82"/>
        <v>-1</v>
      </c>
      <c r="K2671" s="6" t="str">
        <f t="shared" si="83"/>
        <v>A~0</v>
      </c>
      <c r="L2671" t="str">
        <f>IF(J2671&lt;0,"A~0",VLOOKUP(J2671,[1]作法V!$B$1:$C$9,2,TRUE))</f>
        <v>A~0</v>
      </c>
    </row>
    <row r="2672" spans="1:12">
      <c r="A2672">
        <v>2363</v>
      </c>
      <c r="B2672" t="s">
        <v>37</v>
      </c>
      <c r="C2672" s="3">
        <v>38617</v>
      </c>
      <c r="D2672" s="3">
        <v>38687</v>
      </c>
      <c r="E2672" t="s">
        <v>19</v>
      </c>
      <c r="F2672">
        <v>4.2039999999999997</v>
      </c>
      <c r="G2672">
        <v>2800</v>
      </c>
      <c r="H2672">
        <v>11771</v>
      </c>
      <c r="I2672" s="4">
        <v>38686</v>
      </c>
      <c r="J2672" s="5">
        <f t="shared" si="82"/>
        <v>-1</v>
      </c>
      <c r="K2672" s="6" t="str">
        <f t="shared" si="83"/>
        <v>A~0</v>
      </c>
      <c r="L2672" t="str">
        <f>IF(J2672&lt;0,"A~0",VLOOKUP(J2672,[1]作法V!$B$1:$C$9,2,TRUE))</f>
        <v>A~0</v>
      </c>
    </row>
    <row r="2673" spans="1:12">
      <c r="A2673">
        <v>2363</v>
      </c>
      <c r="B2673" t="s">
        <v>37</v>
      </c>
      <c r="C2673" s="3">
        <v>38617</v>
      </c>
      <c r="D2673" s="3">
        <v>38687</v>
      </c>
      <c r="E2673" t="s">
        <v>19</v>
      </c>
      <c r="F2673">
        <v>4.2039999999999997</v>
      </c>
      <c r="G2673">
        <v>566</v>
      </c>
      <c r="H2673">
        <v>2379</v>
      </c>
      <c r="I2673" s="4">
        <v>38686</v>
      </c>
      <c r="J2673" s="5">
        <f t="shared" si="82"/>
        <v>-1</v>
      </c>
      <c r="K2673" s="6" t="str">
        <f t="shared" si="83"/>
        <v>A~0</v>
      </c>
      <c r="L2673" t="str">
        <f>IF(J2673&lt;0,"A~0",VLOOKUP(J2673,[1]作法V!$B$1:$C$9,2,TRUE))</f>
        <v>A~0</v>
      </c>
    </row>
    <row r="2674" spans="1:12">
      <c r="A2674">
        <v>2363</v>
      </c>
      <c r="B2674" t="s">
        <v>37</v>
      </c>
      <c r="C2674" s="3">
        <v>38622</v>
      </c>
      <c r="D2674" s="3">
        <v>38687</v>
      </c>
      <c r="E2674" t="s">
        <v>19</v>
      </c>
      <c r="F2674">
        <v>4.2039999999999997</v>
      </c>
      <c r="G2674">
        <v>814.8</v>
      </c>
      <c r="H2674">
        <v>3425</v>
      </c>
      <c r="I2674" s="4">
        <v>38686</v>
      </c>
      <c r="J2674" s="5">
        <f t="shared" si="82"/>
        <v>-1</v>
      </c>
      <c r="K2674" s="6" t="str">
        <f t="shared" si="83"/>
        <v>A~0</v>
      </c>
      <c r="L2674" t="str">
        <f>IF(J2674&lt;0,"A~0",VLOOKUP(J2674,[1]作法V!$B$1:$C$9,2,TRUE))</f>
        <v>A~0</v>
      </c>
    </row>
    <row r="2675" spans="1:12">
      <c r="A2675">
        <v>2363</v>
      </c>
      <c r="B2675" t="s">
        <v>37</v>
      </c>
      <c r="C2675" s="3">
        <v>38622</v>
      </c>
      <c r="D2675" s="3">
        <v>38687</v>
      </c>
      <c r="E2675" t="s">
        <v>19</v>
      </c>
      <c r="F2675">
        <v>4.2039999999999997</v>
      </c>
      <c r="G2675">
        <v>5600</v>
      </c>
      <c r="H2675">
        <v>23542</v>
      </c>
      <c r="I2675" s="4">
        <v>38686</v>
      </c>
      <c r="J2675" s="5">
        <f t="shared" si="82"/>
        <v>-1</v>
      </c>
      <c r="K2675" s="6" t="str">
        <f t="shared" si="83"/>
        <v>A~0</v>
      </c>
      <c r="L2675" t="str">
        <f>IF(J2675&lt;0,"A~0",VLOOKUP(J2675,[1]作法V!$B$1:$C$9,2,TRUE))</f>
        <v>A~0</v>
      </c>
    </row>
    <row r="2676" spans="1:12">
      <c r="A2676">
        <v>2363</v>
      </c>
      <c r="B2676" t="s">
        <v>37</v>
      </c>
      <c r="C2676" s="3">
        <v>38622</v>
      </c>
      <c r="D2676" s="3">
        <v>38687</v>
      </c>
      <c r="E2676" t="s">
        <v>19</v>
      </c>
      <c r="F2676">
        <v>4.2039999999999997</v>
      </c>
      <c r="G2676">
        <v>2520</v>
      </c>
      <c r="H2676">
        <v>10594</v>
      </c>
      <c r="I2676" s="4">
        <v>38686</v>
      </c>
      <c r="J2676" s="5">
        <f t="shared" si="82"/>
        <v>-1</v>
      </c>
      <c r="K2676" s="6" t="str">
        <f t="shared" si="83"/>
        <v>A~0</v>
      </c>
      <c r="L2676" t="str">
        <f>IF(J2676&lt;0,"A~0",VLOOKUP(J2676,[1]作法V!$B$1:$C$9,2,TRUE))</f>
        <v>A~0</v>
      </c>
    </row>
    <row r="2677" spans="1:12">
      <c r="A2677">
        <v>2363</v>
      </c>
      <c r="B2677" t="s">
        <v>37</v>
      </c>
      <c r="C2677" s="3">
        <v>38623</v>
      </c>
      <c r="D2677" s="3">
        <v>38687</v>
      </c>
      <c r="E2677" t="s">
        <v>19</v>
      </c>
      <c r="F2677">
        <v>4.2039999999999997</v>
      </c>
      <c r="G2677">
        <v>386.4</v>
      </c>
      <c r="H2677">
        <v>1624</v>
      </c>
      <c r="I2677" s="4">
        <v>38686</v>
      </c>
      <c r="J2677" s="5">
        <f t="shared" si="82"/>
        <v>-1</v>
      </c>
      <c r="K2677" s="6" t="str">
        <f t="shared" si="83"/>
        <v>A~0</v>
      </c>
      <c r="L2677" t="str">
        <f>IF(J2677&lt;0,"A~0",VLOOKUP(J2677,[1]作法V!$B$1:$C$9,2,TRUE))</f>
        <v>A~0</v>
      </c>
    </row>
    <row r="2678" spans="1:12">
      <c r="A2678">
        <v>2363</v>
      </c>
      <c r="B2678" t="s">
        <v>37</v>
      </c>
      <c r="C2678" s="3">
        <v>38625</v>
      </c>
      <c r="D2678" s="3">
        <v>38687</v>
      </c>
      <c r="E2678" t="s">
        <v>19</v>
      </c>
      <c r="F2678">
        <v>4.2039999999999997</v>
      </c>
      <c r="G2678">
        <v>4046</v>
      </c>
      <c r="H2678">
        <v>17009</v>
      </c>
      <c r="I2678" s="4">
        <v>38686</v>
      </c>
      <c r="J2678" s="5">
        <f t="shared" si="82"/>
        <v>-1</v>
      </c>
      <c r="K2678" s="6" t="str">
        <f t="shared" si="83"/>
        <v>A~0</v>
      </c>
      <c r="L2678" t="str">
        <f>IF(J2678&lt;0,"A~0",VLOOKUP(J2678,[1]作法V!$B$1:$C$9,2,TRUE))</f>
        <v>A~0</v>
      </c>
    </row>
    <row r="2679" spans="1:12">
      <c r="A2679">
        <v>2363</v>
      </c>
      <c r="B2679" t="s">
        <v>37</v>
      </c>
      <c r="C2679" s="3">
        <v>38642</v>
      </c>
      <c r="D2679" s="3">
        <v>38718</v>
      </c>
      <c r="E2679" t="s">
        <v>19</v>
      </c>
      <c r="F2679">
        <v>4.2560000000000002</v>
      </c>
      <c r="G2679">
        <v>9240</v>
      </c>
      <c r="H2679">
        <v>39325</v>
      </c>
      <c r="I2679" s="4">
        <v>38686</v>
      </c>
      <c r="J2679" s="5">
        <f t="shared" si="82"/>
        <v>-32</v>
      </c>
      <c r="K2679" s="6" t="str">
        <f t="shared" si="83"/>
        <v>A~0</v>
      </c>
      <c r="L2679" t="str">
        <f>IF(J2679&lt;0,"A~0",VLOOKUP(J2679,[1]作法V!$B$1:$C$9,2,TRUE))</f>
        <v>A~0</v>
      </c>
    </row>
    <row r="2680" spans="1:12">
      <c r="A2680">
        <v>2363</v>
      </c>
      <c r="B2680" t="s">
        <v>37</v>
      </c>
      <c r="C2680" s="3">
        <v>38642</v>
      </c>
      <c r="D2680" s="3">
        <v>38718</v>
      </c>
      <c r="E2680" t="s">
        <v>19</v>
      </c>
      <c r="F2680">
        <v>4.2560000000000002</v>
      </c>
      <c r="G2680">
        <v>1735.3</v>
      </c>
      <c r="H2680">
        <v>7385</v>
      </c>
      <c r="I2680" s="4">
        <v>38686</v>
      </c>
      <c r="J2680" s="5">
        <f t="shared" si="82"/>
        <v>-32</v>
      </c>
      <c r="K2680" s="6" t="str">
        <f t="shared" si="83"/>
        <v>A~0</v>
      </c>
      <c r="L2680" t="str">
        <f>IF(J2680&lt;0,"A~0",VLOOKUP(J2680,[1]作法V!$B$1:$C$9,2,TRUE))</f>
        <v>A~0</v>
      </c>
    </row>
    <row r="2681" spans="1:12">
      <c r="A2681">
        <v>2363</v>
      </c>
      <c r="B2681" t="s">
        <v>37</v>
      </c>
      <c r="C2681" s="3">
        <v>38656</v>
      </c>
      <c r="D2681" s="3">
        <v>38718</v>
      </c>
      <c r="E2681" t="s">
        <v>19</v>
      </c>
      <c r="F2681">
        <v>4.2830000000000004</v>
      </c>
      <c r="G2681">
        <v>3174.91</v>
      </c>
      <c r="H2681">
        <v>13598</v>
      </c>
      <c r="I2681" s="4">
        <v>38686</v>
      </c>
      <c r="J2681" s="5">
        <f t="shared" si="82"/>
        <v>-32</v>
      </c>
      <c r="K2681" s="6" t="str">
        <f t="shared" si="83"/>
        <v>A~0</v>
      </c>
      <c r="L2681" t="str">
        <f>IF(J2681&lt;0,"A~0",VLOOKUP(J2681,[1]作法V!$B$1:$C$9,2,TRUE))</f>
        <v>A~0</v>
      </c>
    </row>
    <row r="2682" spans="1:12">
      <c r="A2682">
        <v>2363</v>
      </c>
      <c r="B2682" t="s">
        <v>37</v>
      </c>
      <c r="C2682" s="3">
        <v>38656</v>
      </c>
      <c r="D2682" s="3">
        <v>38718</v>
      </c>
      <c r="E2682" t="s">
        <v>19</v>
      </c>
      <c r="F2682">
        <v>4.2830000000000004</v>
      </c>
      <c r="G2682">
        <v>354.2</v>
      </c>
      <c r="H2682">
        <v>1517</v>
      </c>
      <c r="I2682" s="4">
        <v>38686</v>
      </c>
      <c r="J2682" s="5">
        <f t="shared" si="82"/>
        <v>-32</v>
      </c>
      <c r="K2682" s="6" t="str">
        <f t="shared" si="83"/>
        <v>A~0</v>
      </c>
      <c r="L2682" t="str">
        <f>IF(J2682&lt;0,"A~0",VLOOKUP(J2682,[1]作法V!$B$1:$C$9,2,TRUE))</f>
        <v>A~0</v>
      </c>
    </row>
    <row r="2683" spans="1:12">
      <c r="A2683">
        <v>2363</v>
      </c>
      <c r="B2683" t="s">
        <v>37</v>
      </c>
      <c r="C2683" s="3">
        <v>38656</v>
      </c>
      <c r="D2683" s="3">
        <v>38718</v>
      </c>
      <c r="E2683" t="s">
        <v>19</v>
      </c>
      <c r="F2683">
        <v>4.2830000000000004</v>
      </c>
      <c r="G2683">
        <v>3728.76</v>
      </c>
      <c r="H2683">
        <v>15970</v>
      </c>
      <c r="I2683" s="4">
        <v>38686</v>
      </c>
      <c r="J2683" s="5">
        <f t="shared" si="82"/>
        <v>-32</v>
      </c>
      <c r="K2683" s="6" t="str">
        <f t="shared" si="83"/>
        <v>A~0</v>
      </c>
      <c r="L2683" t="str">
        <f>IF(J2683&lt;0,"A~0",VLOOKUP(J2683,[1]作法V!$B$1:$C$9,2,TRUE))</f>
        <v>A~0</v>
      </c>
    </row>
    <row r="2684" spans="1:12">
      <c r="A2684">
        <v>2363</v>
      </c>
      <c r="B2684" t="s">
        <v>37</v>
      </c>
      <c r="C2684" s="3">
        <v>38656</v>
      </c>
      <c r="D2684" s="3">
        <v>38718</v>
      </c>
      <c r="E2684" t="s">
        <v>19</v>
      </c>
      <c r="F2684">
        <v>4.2830000000000004</v>
      </c>
      <c r="G2684">
        <v>2711.24</v>
      </c>
      <c r="H2684">
        <v>11612</v>
      </c>
      <c r="I2684" s="4">
        <v>38686</v>
      </c>
      <c r="J2684" s="5">
        <f t="shared" si="82"/>
        <v>-32</v>
      </c>
      <c r="K2684" s="6" t="str">
        <f t="shared" si="83"/>
        <v>A~0</v>
      </c>
      <c r="L2684" t="str">
        <f>IF(J2684&lt;0,"A~0",VLOOKUP(J2684,[1]作法V!$B$1:$C$9,2,TRUE))</f>
        <v>A~0</v>
      </c>
    </row>
    <row r="2685" spans="1:12">
      <c r="A2685">
        <v>2363</v>
      </c>
      <c r="B2685" t="s">
        <v>37</v>
      </c>
      <c r="C2685" s="3">
        <v>38656</v>
      </c>
      <c r="D2685" s="3">
        <v>38718</v>
      </c>
      <c r="E2685" t="s">
        <v>19</v>
      </c>
      <c r="F2685">
        <v>4.2830000000000004</v>
      </c>
      <c r="G2685">
        <v>2800</v>
      </c>
      <c r="H2685">
        <v>11992</v>
      </c>
      <c r="I2685" s="4">
        <v>38686</v>
      </c>
      <c r="J2685" s="5">
        <f t="shared" si="82"/>
        <v>-32</v>
      </c>
      <c r="K2685" s="6" t="str">
        <f t="shared" si="83"/>
        <v>A~0</v>
      </c>
      <c r="L2685" t="str">
        <f>IF(J2685&lt;0,"A~0",VLOOKUP(J2685,[1]作法V!$B$1:$C$9,2,TRUE))</f>
        <v>A~0</v>
      </c>
    </row>
    <row r="2686" spans="1:12">
      <c r="A2686">
        <v>2363</v>
      </c>
      <c r="B2686" t="s">
        <v>37</v>
      </c>
      <c r="C2686" s="3">
        <v>38656</v>
      </c>
      <c r="D2686" s="3">
        <v>38718</v>
      </c>
      <c r="E2686" t="s">
        <v>19</v>
      </c>
      <c r="F2686">
        <v>4.2830000000000004</v>
      </c>
      <c r="G2686">
        <v>1372.49</v>
      </c>
      <c r="H2686">
        <v>5878</v>
      </c>
      <c r="I2686" s="4">
        <v>38686</v>
      </c>
      <c r="J2686" s="5">
        <f t="shared" si="82"/>
        <v>-32</v>
      </c>
      <c r="K2686" s="6" t="str">
        <f t="shared" si="83"/>
        <v>A~0</v>
      </c>
      <c r="L2686" t="str">
        <f>IF(J2686&lt;0,"A~0",VLOOKUP(J2686,[1]作法V!$B$1:$C$9,2,TRUE))</f>
        <v>A~0</v>
      </c>
    </row>
    <row r="2687" spans="1:12">
      <c r="A2687">
        <v>2363</v>
      </c>
      <c r="B2687" t="s">
        <v>37</v>
      </c>
      <c r="C2687" s="3">
        <v>38656</v>
      </c>
      <c r="D2687" s="3">
        <v>38718</v>
      </c>
      <c r="E2687" t="s">
        <v>19</v>
      </c>
      <c r="F2687">
        <v>4.2830000000000004</v>
      </c>
      <c r="G2687">
        <v>2800</v>
      </c>
      <c r="H2687">
        <v>11992</v>
      </c>
      <c r="I2687" s="4">
        <v>38686</v>
      </c>
      <c r="J2687" s="5">
        <f t="shared" si="82"/>
        <v>-32</v>
      </c>
      <c r="K2687" s="6" t="str">
        <f t="shared" si="83"/>
        <v>A~0</v>
      </c>
      <c r="L2687" t="str">
        <f>IF(J2687&lt;0,"A~0",VLOOKUP(J2687,[1]作法V!$B$1:$C$9,2,TRUE))</f>
        <v>A~0</v>
      </c>
    </row>
    <row r="2688" spans="1:12">
      <c r="A2688">
        <v>2363</v>
      </c>
      <c r="B2688" t="s">
        <v>37</v>
      </c>
      <c r="C2688" s="3">
        <v>38664</v>
      </c>
      <c r="D2688" s="3">
        <v>38749</v>
      </c>
      <c r="E2688" t="s">
        <v>19</v>
      </c>
      <c r="F2688">
        <v>4.3250000000000002</v>
      </c>
      <c r="G2688">
        <v>2800</v>
      </c>
      <c r="H2688">
        <v>12110</v>
      </c>
      <c r="I2688" s="4">
        <v>38686</v>
      </c>
      <c r="J2688" s="5">
        <f t="shared" si="82"/>
        <v>-63</v>
      </c>
      <c r="K2688" s="6" t="str">
        <f t="shared" si="83"/>
        <v>A~0</v>
      </c>
      <c r="L2688" t="str">
        <f>IF(J2688&lt;0,"A~0",VLOOKUP(J2688,[1]作法V!$B$1:$C$9,2,TRUE))</f>
        <v>A~0</v>
      </c>
    </row>
    <row r="2689" spans="1:12">
      <c r="A2689">
        <v>2363</v>
      </c>
      <c r="B2689" t="s">
        <v>37</v>
      </c>
      <c r="C2689" s="3">
        <v>38667</v>
      </c>
      <c r="D2689" s="3">
        <v>38749</v>
      </c>
      <c r="E2689" t="s">
        <v>19</v>
      </c>
      <c r="F2689">
        <v>4.3150000000000004</v>
      </c>
      <c r="G2689">
        <v>2822.9</v>
      </c>
      <c r="H2689">
        <v>12181</v>
      </c>
      <c r="I2689" s="4">
        <v>38686</v>
      </c>
      <c r="J2689" s="5">
        <f t="shared" si="82"/>
        <v>-63</v>
      </c>
      <c r="K2689" s="6" t="str">
        <f t="shared" si="83"/>
        <v>A~0</v>
      </c>
      <c r="L2689" t="str">
        <f>IF(J2689&lt;0,"A~0",VLOOKUP(J2689,[1]作法V!$B$1:$C$9,2,TRUE))</f>
        <v>A~0</v>
      </c>
    </row>
    <row r="2690" spans="1:12">
      <c r="A2690">
        <v>2363</v>
      </c>
      <c r="B2690" t="s">
        <v>37</v>
      </c>
      <c r="C2690" s="3">
        <v>38667</v>
      </c>
      <c r="D2690" s="3">
        <v>38749</v>
      </c>
      <c r="E2690" t="s">
        <v>19</v>
      </c>
      <c r="F2690">
        <v>4.3150000000000004</v>
      </c>
      <c r="G2690">
        <v>710.2</v>
      </c>
      <c r="H2690">
        <v>3065</v>
      </c>
      <c r="I2690" s="4">
        <v>38686</v>
      </c>
      <c r="J2690" s="5">
        <f t="shared" ref="J2690:J2753" si="84">I2690-D2690</f>
        <v>-63</v>
      </c>
      <c r="K2690" s="6" t="str">
        <f t="shared" ref="K2690:K2753" si="85">IF(J2690&lt;1,"A~0",IF(J2690&lt;31,"B1~30",IF(J2690&lt;61,"C31~60",IF(J2690&lt;91,"D61~90",IF(J2690&lt;121,"E91~120",IF(J2690&lt;181,"F121~180",IF(J2690&lt;361,"G181~360","H361~")))))))</f>
        <v>A~0</v>
      </c>
      <c r="L2690" t="str">
        <f>IF(J2690&lt;0,"A~0",VLOOKUP(J2690,[1]作法V!$B$1:$C$9,2,TRUE))</f>
        <v>A~0</v>
      </c>
    </row>
    <row r="2691" spans="1:12">
      <c r="A2691">
        <v>2363</v>
      </c>
      <c r="B2691" t="s">
        <v>37</v>
      </c>
      <c r="C2691" s="3">
        <v>38667</v>
      </c>
      <c r="D2691" s="3">
        <v>38749</v>
      </c>
      <c r="E2691" t="s">
        <v>19</v>
      </c>
      <c r="F2691">
        <v>4.3150000000000004</v>
      </c>
      <c r="G2691">
        <v>2845.3</v>
      </c>
      <c r="H2691">
        <v>12277</v>
      </c>
      <c r="I2691" s="4">
        <v>38686</v>
      </c>
      <c r="J2691" s="5">
        <f t="shared" si="84"/>
        <v>-63</v>
      </c>
      <c r="K2691" s="6" t="str">
        <f t="shared" si="85"/>
        <v>A~0</v>
      </c>
      <c r="L2691" t="str">
        <f>IF(J2691&lt;0,"A~0",VLOOKUP(J2691,[1]作法V!$B$1:$C$9,2,TRUE))</f>
        <v>A~0</v>
      </c>
    </row>
    <row r="2692" spans="1:12">
      <c r="A2692">
        <v>2363</v>
      </c>
      <c r="B2692" t="s">
        <v>37</v>
      </c>
      <c r="C2692" s="3">
        <v>38667</v>
      </c>
      <c r="D2692" s="3">
        <v>38749</v>
      </c>
      <c r="E2692" t="s">
        <v>19</v>
      </c>
      <c r="F2692">
        <v>4.3150000000000004</v>
      </c>
      <c r="G2692">
        <v>487.81</v>
      </c>
      <c r="H2692">
        <v>2105</v>
      </c>
      <c r="I2692" s="4">
        <v>38686</v>
      </c>
      <c r="J2692" s="5">
        <f t="shared" si="84"/>
        <v>-63</v>
      </c>
      <c r="K2692" s="6" t="str">
        <f t="shared" si="85"/>
        <v>A~0</v>
      </c>
      <c r="L2692" t="str">
        <f>IF(J2692&lt;0,"A~0",VLOOKUP(J2692,[1]作法V!$B$1:$C$9,2,TRUE))</f>
        <v>A~0</v>
      </c>
    </row>
    <row r="2693" spans="1:12">
      <c r="A2693">
        <v>2363</v>
      </c>
      <c r="B2693" t="s">
        <v>37</v>
      </c>
      <c r="C2693" s="3">
        <v>38667</v>
      </c>
      <c r="D2693" s="3">
        <v>38749</v>
      </c>
      <c r="E2693" t="s">
        <v>19</v>
      </c>
      <c r="F2693">
        <v>4.3150000000000004</v>
      </c>
      <c r="G2693">
        <v>3934.5</v>
      </c>
      <c r="H2693">
        <v>16977</v>
      </c>
      <c r="I2693" s="4">
        <v>38686</v>
      </c>
      <c r="J2693" s="5">
        <f t="shared" si="84"/>
        <v>-63</v>
      </c>
      <c r="K2693" s="6" t="str">
        <f t="shared" si="85"/>
        <v>A~0</v>
      </c>
      <c r="L2693" t="str">
        <f>IF(J2693&lt;0,"A~0",VLOOKUP(J2693,[1]作法V!$B$1:$C$9,2,TRUE))</f>
        <v>A~0</v>
      </c>
    </row>
    <row r="2694" spans="1:12">
      <c r="A2694">
        <v>2363</v>
      </c>
      <c r="B2694" t="s">
        <v>37</v>
      </c>
      <c r="C2694" s="3">
        <v>38674</v>
      </c>
      <c r="D2694" s="3">
        <v>38749</v>
      </c>
      <c r="E2694" t="s">
        <v>19</v>
      </c>
      <c r="F2694">
        <v>4.3150000000000004</v>
      </c>
      <c r="G2694">
        <v>1694.94</v>
      </c>
      <c r="H2694">
        <v>7314</v>
      </c>
      <c r="I2694" s="4">
        <v>38686</v>
      </c>
      <c r="J2694" s="5">
        <f t="shared" si="84"/>
        <v>-63</v>
      </c>
      <c r="K2694" s="6" t="str">
        <f t="shared" si="85"/>
        <v>A~0</v>
      </c>
      <c r="L2694" t="str">
        <f>IF(J2694&lt;0,"A~0",VLOOKUP(J2694,[1]作法V!$B$1:$C$9,2,TRUE))</f>
        <v>A~0</v>
      </c>
    </row>
    <row r="2695" spans="1:12">
      <c r="A2695">
        <v>2363</v>
      </c>
      <c r="B2695" t="s">
        <v>37</v>
      </c>
      <c r="C2695" s="3">
        <v>38674</v>
      </c>
      <c r="D2695" s="3">
        <v>38749</v>
      </c>
      <c r="E2695" t="s">
        <v>19</v>
      </c>
      <c r="F2695">
        <v>4.3150000000000004</v>
      </c>
      <c r="G2695">
        <v>1091.3800000000001</v>
      </c>
      <c r="H2695">
        <v>4709</v>
      </c>
      <c r="I2695" s="4">
        <v>38686</v>
      </c>
      <c r="J2695" s="5">
        <f t="shared" si="84"/>
        <v>-63</v>
      </c>
      <c r="K2695" s="6" t="str">
        <f t="shared" si="85"/>
        <v>A~0</v>
      </c>
      <c r="L2695" t="str">
        <f>IF(J2695&lt;0,"A~0",VLOOKUP(J2695,[1]作法V!$B$1:$C$9,2,TRUE))</f>
        <v>A~0</v>
      </c>
    </row>
    <row r="2696" spans="1:12">
      <c r="A2696">
        <v>2363</v>
      </c>
      <c r="B2696" t="s">
        <v>37</v>
      </c>
      <c r="C2696" s="3">
        <v>38674</v>
      </c>
      <c r="D2696" s="3">
        <v>38749</v>
      </c>
      <c r="E2696" t="s">
        <v>19</v>
      </c>
      <c r="F2696">
        <v>4.3150000000000004</v>
      </c>
      <c r="G2696">
        <v>2800</v>
      </c>
      <c r="H2696">
        <v>12082</v>
      </c>
      <c r="I2696" s="4">
        <v>38686</v>
      </c>
      <c r="J2696" s="5">
        <f t="shared" si="84"/>
        <v>-63</v>
      </c>
      <c r="K2696" s="6" t="str">
        <f t="shared" si="85"/>
        <v>A~0</v>
      </c>
      <c r="L2696" t="str">
        <f>IF(J2696&lt;0,"A~0",VLOOKUP(J2696,[1]作法V!$B$1:$C$9,2,TRUE))</f>
        <v>A~0</v>
      </c>
    </row>
    <row r="2697" spans="1:12">
      <c r="A2697">
        <v>2363</v>
      </c>
      <c r="B2697" t="s">
        <v>37</v>
      </c>
      <c r="C2697" s="3">
        <v>38681</v>
      </c>
      <c r="D2697" s="3">
        <v>38749</v>
      </c>
      <c r="E2697" t="s">
        <v>19</v>
      </c>
      <c r="F2697">
        <v>4.2839999999999998</v>
      </c>
      <c r="G2697">
        <v>908.84</v>
      </c>
      <c r="H2697">
        <v>3893</v>
      </c>
      <c r="I2697" s="4">
        <v>38686</v>
      </c>
      <c r="J2697" s="5">
        <f t="shared" si="84"/>
        <v>-63</v>
      </c>
      <c r="K2697" s="6" t="str">
        <f t="shared" si="85"/>
        <v>A~0</v>
      </c>
      <c r="L2697" t="str">
        <f>IF(J2697&lt;0,"A~0",VLOOKUP(J2697,[1]作法V!$B$1:$C$9,2,TRUE))</f>
        <v>A~0</v>
      </c>
    </row>
    <row r="2698" spans="1:12">
      <c r="A2698">
        <v>2363</v>
      </c>
      <c r="B2698" t="s">
        <v>37</v>
      </c>
      <c r="C2698" s="3">
        <v>38681</v>
      </c>
      <c r="D2698" s="3">
        <v>38749</v>
      </c>
      <c r="E2698" t="s">
        <v>19</v>
      </c>
      <c r="F2698">
        <v>4.2839999999999998</v>
      </c>
      <c r="G2698">
        <v>2800</v>
      </c>
      <c r="H2698">
        <v>11995</v>
      </c>
      <c r="I2698" s="4">
        <v>38686</v>
      </c>
      <c r="J2698" s="5">
        <f t="shared" si="84"/>
        <v>-63</v>
      </c>
      <c r="K2698" s="6" t="str">
        <f t="shared" si="85"/>
        <v>A~0</v>
      </c>
      <c r="L2698" t="str">
        <f>IF(J2698&lt;0,"A~0",VLOOKUP(J2698,[1]作法V!$B$1:$C$9,2,TRUE))</f>
        <v>A~0</v>
      </c>
    </row>
    <row r="2699" spans="1:12">
      <c r="A2699">
        <v>2363</v>
      </c>
      <c r="B2699" t="s">
        <v>37</v>
      </c>
      <c r="C2699" s="3">
        <v>38686</v>
      </c>
      <c r="D2699" s="3">
        <v>38749</v>
      </c>
      <c r="E2699" t="s">
        <v>19</v>
      </c>
      <c r="F2699">
        <v>4.2839999999999998</v>
      </c>
      <c r="G2699">
        <v>1610</v>
      </c>
      <c r="H2699">
        <v>6897</v>
      </c>
      <c r="I2699" s="4">
        <v>38686</v>
      </c>
      <c r="J2699" s="5">
        <f t="shared" si="84"/>
        <v>-63</v>
      </c>
      <c r="K2699" s="6" t="str">
        <f t="shared" si="85"/>
        <v>A~0</v>
      </c>
      <c r="L2699" t="str">
        <f>IF(J2699&lt;0,"A~0",VLOOKUP(J2699,[1]作法V!$B$1:$C$9,2,TRUE))</f>
        <v>A~0</v>
      </c>
    </row>
    <row r="2700" spans="1:12">
      <c r="A2700">
        <v>2363</v>
      </c>
      <c r="B2700" t="s">
        <v>37</v>
      </c>
      <c r="C2700" s="3">
        <v>38686</v>
      </c>
      <c r="D2700" s="3">
        <v>38749</v>
      </c>
      <c r="E2700" t="s">
        <v>19</v>
      </c>
      <c r="F2700">
        <v>4.2839999999999998</v>
      </c>
      <c r="G2700">
        <v>2800</v>
      </c>
      <c r="H2700">
        <v>11995</v>
      </c>
      <c r="I2700" s="4">
        <v>38686</v>
      </c>
      <c r="J2700" s="5">
        <f t="shared" si="84"/>
        <v>-63</v>
      </c>
      <c r="K2700" s="6" t="str">
        <f t="shared" si="85"/>
        <v>A~0</v>
      </c>
      <c r="L2700" t="str">
        <f>IF(J2700&lt;0,"A~0",VLOOKUP(J2700,[1]作法V!$B$1:$C$9,2,TRUE))</f>
        <v>A~0</v>
      </c>
    </row>
    <row r="2701" spans="1:12">
      <c r="A2701">
        <v>2363</v>
      </c>
      <c r="B2701" t="s">
        <v>37</v>
      </c>
      <c r="C2701" s="3">
        <v>38686</v>
      </c>
      <c r="D2701" s="3">
        <v>38749</v>
      </c>
      <c r="E2701" t="s">
        <v>19</v>
      </c>
      <c r="F2701">
        <v>4.2839999999999998</v>
      </c>
      <c r="G2701">
        <v>2537.1999999999998</v>
      </c>
      <c r="H2701">
        <v>10869</v>
      </c>
      <c r="I2701" s="4">
        <v>38686</v>
      </c>
      <c r="J2701" s="5">
        <f t="shared" si="84"/>
        <v>-63</v>
      </c>
      <c r="K2701" s="6" t="str">
        <f t="shared" si="85"/>
        <v>A~0</v>
      </c>
      <c r="L2701" t="str">
        <f>IF(J2701&lt;0,"A~0",VLOOKUP(J2701,[1]作法V!$B$1:$C$9,2,TRUE))</f>
        <v>A~0</v>
      </c>
    </row>
    <row r="2702" spans="1:12">
      <c r="A2702">
        <v>2363</v>
      </c>
      <c r="B2702" t="s">
        <v>37</v>
      </c>
      <c r="C2702" s="3">
        <v>38686</v>
      </c>
      <c r="D2702" s="3">
        <v>38749</v>
      </c>
      <c r="E2702" t="s">
        <v>19</v>
      </c>
      <c r="F2702">
        <v>4.2839999999999998</v>
      </c>
      <c r="G2702">
        <v>770.5</v>
      </c>
      <c r="H2702">
        <v>3301</v>
      </c>
      <c r="I2702" s="4">
        <v>38686</v>
      </c>
      <c r="J2702" s="5">
        <f t="shared" si="84"/>
        <v>-63</v>
      </c>
      <c r="K2702" s="6" t="str">
        <f t="shared" si="85"/>
        <v>A~0</v>
      </c>
      <c r="L2702" t="str">
        <f>IF(J2702&lt;0,"A~0",VLOOKUP(J2702,[1]作法V!$B$1:$C$9,2,TRUE))</f>
        <v>A~0</v>
      </c>
    </row>
    <row r="2703" spans="1:12">
      <c r="A2703">
        <v>2363</v>
      </c>
      <c r="B2703" t="s">
        <v>37</v>
      </c>
      <c r="C2703" s="3">
        <v>38686</v>
      </c>
      <c r="D2703" s="3">
        <v>38749</v>
      </c>
      <c r="E2703" t="s">
        <v>19</v>
      </c>
      <c r="F2703">
        <v>4.2839999999999998</v>
      </c>
      <c r="G2703">
        <v>3040</v>
      </c>
      <c r="H2703">
        <v>13023</v>
      </c>
      <c r="I2703" s="4">
        <v>38686</v>
      </c>
      <c r="J2703" s="5">
        <f t="shared" si="84"/>
        <v>-63</v>
      </c>
      <c r="K2703" s="6" t="str">
        <f t="shared" si="85"/>
        <v>A~0</v>
      </c>
      <c r="L2703" t="str">
        <f>IF(J2703&lt;0,"A~0",VLOOKUP(J2703,[1]作法V!$B$1:$C$9,2,TRUE))</f>
        <v>A~0</v>
      </c>
    </row>
    <row r="2704" spans="1:12">
      <c r="A2704">
        <v>2363</v>
      </c>
      <c r="B2704" t="s">
        <v>37</v>
      </c>
      <c r="C2704" s="3">
        <v>38686</v>
      </c>
      <c r="D2704" s="3">
        <v>38749</v>
      </c>
      <c r="E2704" t="s">
        <v>19</v>
      </c>
      <c r="F2704">
        <v>4.2839999999999998</v>
      </c>
      <c r="G2704">
        <v>573.79999999999995</v>
      </c>
      <c r="H2704">
        <v>2458</v>
      </c>
      <c r="I2704" s="4">
        <v>38686</v>
      </c>
      <c r="J2704" s="5">
        <f t="shared" si="84"/>
        <v>-63</v>
      </c>
      <c r="K2704" s="6" t="str">
        <f t="shared" si="85"/>
        <v>A~0</v>
      </c>
      <c r="L2704" t="str">
        <f>IF(J2704&lt;0,"A~0",VLOOKUP(J2704,[1]作法V!$B$1:$C$9,2,TRUE))</f>
        <v>A~0</v>
      </c>
    </row>
    <row r="2705" spans="1:12">
      <c r="A2705">
        <v>2363</v>
      </c>
      <c r="B2705" t="s">
        <v>37</v>
      </c>
      <c r="C2705" s="3">
        <v>38686</v>
      </c>
      <c r="D2705" s="3">
        <v>38749</v>
      </c>
      <c r="E2705" t="s">
        <v>19</v>
      </c>
      <c r="F2705">
        <v>4.2839999999999998</v>
      </c>
      <c r="G2705">
        <v>693.4</v>
      </c>
      <c r="H2705">
        <v>2971</v>
      </c>
      <c r="I2705" s="4">
        <v>38686</v>
      </c>
      <c r="J2705" s="5">
        <f t="shared" si="84"/>
        <v>-63</v>
      </c>
      <c r="K2705" s="6" t="str">
        <f t="shared" si="85"/>
        <v>A~0</v>
      </c>
      <c r="L2705" t="str">
        <f>IF(J2705&lt;0,"A~0",VLOOKUP(J2705,[1]作法V!$B$1:$C$9,2,TRUE))</f>
        <v>A~0</v>
      </c>
    </row>
    <row r="2706" spans="1:12">
      <c r="A2706">
        <v>2363</v>
      </c>
      <c r="B2706" t="s">
        <v>37</v>
      </c>
      <c r="C2706" s="3">
        <v>38686</v>
      </c>
      <c r="D2706" s="3">
        <v>38749</v>
      </c>
      <c r="E2706" t="s">
        <v>19</v>
      </c>
      <c r="F2706">
        <v>4.2839999999999998</v>
      </c>
      <c r="G2706">
        <v>844.2</v>
      </c>
      <c r="H2706">
        <v>3617</v>
      </c>
      <c r="I2706" s="4">
        <v>38686</v>
      </c>
      <c r="J2706" s="5">
        <f t="shared" si="84"/>
        <v>-63</v>
      </c>
      <c r="K2706" s="6" t="str">
        <f t="shared" si="85"/>
        <v>A~0</v>
      </c>
      <c r="L2706" t="str">
        <f>IF(J2706&lt;0,"A~0",VLOOKUP(J2706,[1]作法V!$B$1:$C$9,2,TRUE))</f>
        <v>A~0</v>
      </c>
    </row>
    <row r="2707" spans="1:12">
      <c r="A2707">
        <v>2363</v>
      </c>
      <c r="B2707" t="s">
        <v>37</v>
      </c>
      <c r="C2707" s="3">
        <v>38686</v>
      </c>
      <c r="D2707" s="3">
        <v>38749</v>
      </c>
      <c r="E2707" t="s">
        <v>19</v>
      </c>
      <c r="F2707">
        <v>4.2839999999999998</v>
      </c>
      <c r="G2707">
        <v>495.8</v>
      </c>
      <c r="H2707">
        <v>2124</v>
      </c>
      <c r="I2707" s="4">
        <v>38686</v>
      </c>
      <c r="J2707" s="5">
        <f t="shared" si="84"/>
        <v>-63</v>
      </c>
      <c r="K2707" s="6" t="str">
        <f t="shared" si="85"/>
        <v>A~0</v>
      </c>
      <c r="L2707" t="str">
        <f>IF(J2707&lt;0,"A~0",VLOOKUP(J2707,[1]作法V!$B$1:$C$9,2,TRUE))</f>
        <v>A~0</v>
      </c>
    </row>
    <row r="2708" spans="1:12">
      <c r="A2708">
        <v>2363</v>
      </c>
      <c r="B2708" t="s">
        <v>37</v>
      </c>
      <c r="C2708" s="3">
        <v>38686</v>
      </c>
      <c r="D2708" s="3">
        <v>38749</v>
      </c>
      <c r="E2708" t="s">
        <v>19</v>
      </c>
      <c r="F2708">
        <v>4.2839999999999998</v>
      </c>
      <c r="G2708">
        <v>3885.2</v>
      </c>
      <c r="H2708">
        <v>16644</v>
      </c>
      <c r="I2708" s="4">
        <v>38686</v>
      </c>
      <c r="J2708" s="5">
        <f t="shared" si="84"/>
        <v>-63</v>
      </c>
      <c r="K2708" s="6" t="str">
        <f t="shared" si="85"/>
        <v>A~0</v>
      </c>
      <c r="L2708" t="str">
        <f>IF(J2708&lt;0,"A~0",VLOOKUP(J2708,[1]作法V!$B$1:$C$9,2,TRUE))</f>
        <v>A~0</v>
      </c>
    </row>
    <row r="2709" spans="1:12">
      <c r="A2709">
        <v>2363</v>
      </c>
      <c r="B2709" t="s">
        <v>37</v>
      </c>
      <c r="C2709" s="3">
        <v>38686</v>
      </c>
      <c r="D2709" s="3">
        <v>38749</v>
      </c>
      <c r="E2709" t="s">
        <v>19</v>
      </c>
      <c r="F2709">
        <v>4.2839999999999998</v>
      </c>
      <c r="G2709">
        <v>6405</v>
      </c>
      <c r="H2709">
        <v>27439</v>
      </c>
      <c r="I2709" s="4">
        <v>38686</v>
      </c>
      <c r="J2709" s="5">
        <f t="shared" si="84"/>
        <v>-63</v>
      </c>
      <c r="K2709" s="6" t="str">
        <f t="shared" si="85"/>
        <v>A~0</v>
      </c>
      <c r="L2709" t="str">
        <f>IF(J2709&lt;0,"A~0",VLOOKUP(J2709,[1]作法V!$B$1:$C$9,2,TRUE))</f>
        <v>A~0</v>
      </c>
    </row>
    <row r="2710" spans="1:12">
      <c r="A2710">
        <v>2363</v>
      </c>
      <c r="B2710" t="s">
        <v>37</v>
      </c>
      <c r="C2710" s="3">
        <v>38686</v>
      </c>
      <c r="D2710" s="3">
        <v>38749</v>
      </c>
      <c r="E2710" t="s">
        <v>19</v>
      </c>
      <c r="F2710">
        <v>4.2839999999999998</v>
      </c>
      <c r="G2710">
        <v>1900</v>
      </c>
      <c r="H2710">
        <v>8140</v>
      </c>
      <c r="I2710" s="4">
        <v>38686</v>
      </c>
      <c r="J2710" s="5">
        <f t="shared" si="84"/>
        <v>-63</v>
      </c>
      <c r="K2710" s="6" t="str">
        <f t="shared" si="85"/>
        <v>A~0</v>
      </c>
      <c r="L2710" t="str">
        <f>IF(J2710&lt;0,"A~0",VLOOKUP(J2710,[1]作法V!$B$1:$C$9,2,TRUE))</f>
        <v>A~0</v>
      </c>
    </row>
    <row r="2711" spans="1:12">
      <c r="A2711">
        <v>2406</v>
      </c>
      <c r="B2711" t="s">
        <v>89</v>
      </c>
      <c r="C2711" s="3">
        <v>38567</v>
      </c>
      <c r="D2711" s="3">
        <v>38696</v>
      </c>
      <c r="E2711" t="s">
        <v>18</v>
      </c>
      <c r="F2711">
        <v>1</v>
      </c>
      <c r="G2711">
        <v>12075</v>
      </c>
      <c r="H2711">
        <v>12075</v>
      </c>
      <c r="I2711" s="4">
        <v>38686</v>
      </c>
      <c r="J2711" s="5">
        <f t="shared" si="84"/>
        <v>-10</v>
      </c>
      <c r="K2711" s="6" t="str">
        <f t="shared" si="85"/>
        <v>A~0</v>
      </c>
      <c r="L2711" t="str">
        <f>IF(J2711&lt;0,"A~0",VLOOKUP(J2711,[1]作法V!$B$1:$C$9,2,TRUE))</f>
        <v>A~0</v>
      </c>
    </row>
    <row r="2712" spans="1:12">
      <c r="A2712">
        <v>2406</v>
      </c>
      <c r="B2712" t="s">
        <v>89</v>
      </c>
      <c r="C2712" s="3">
        <v>38567</v>
      </c>
      <c r="D2712" s="3">
        <v>38696</v>
      </c>
      <c r="E2712" t="s">
        <v>18</v>
      </c>
      <c r="F2712">
        <v>1</v>
      </c>
      <c r="G2712">
        <v>8820</v>
      </c>
      <c r="H2712">
        <v>8820</v>
      </c>
      <c r="I2712" s="4">
        <v>38686</v>
      </c>
      <c r="J2712" s="5">
        <f t="shared" si="84"/>
        <v>-10</v>
      </c>
      <c r="K2712" s="6" t="str">
        <f t="shared" si="85"/>
        <v>A~0</v>
      </c>
      <c r="L2712" t="str">
        <f>IF(J2712&lt;0,"A~0",VLOOKUP(J2712,[1]作法V!$B$1:$C$9,2,TRUE))</f>
        <v>A~0</v>
      </c>
    </row>
    <row r="2713" spans="1:12">
      <c r="A2713">
        <v>2406</v>
      </c>
      <c r="B2713" t="s">
        <v>89</v>
      </c>
      <c r="C2713" s="3">
        <v>38597</v>
      </c>
      <c r="D2713" s="3">
        <v>38727</v>
      </c>
      <c r="E2713" t="s">
        <v>18</v>
      </c>
      <c r="F2713">
        <v>1</v>
      </c>
      <c r="G2713">
        <v>9660</v>
      </c>
      <c r="H2713">
        <v>9660</v>
      </c>
      <c r="I2713" s="4">
        <v>38686</v>
      </c>
      <c r="J2713" s="5">
        <f t="shared" si="84"/>
        <v>-41</v>
      </c>
      <c r="K2713" s="6" t="str">
        <f t="shared" si="85"/>
        <v>A~0</v>
      </c>
      <c r="L2713" t="str">
        <f>IF(J2713&lt;0,"A~0",VLOOKUP(J2713,[1]作法V!$B$1:$C$9,2,TRUE))</f>
        <v>A~0</v>
      </c>
    </row>
    <row r="2714" spans="1:12">
      <c r="A2714">
        <v>2406</v>
      </c>
      <c r="B2714" t="s">
        <v>89</v>
      </c>
      <c r="C2714" s="3">
        <v>38597</v>
      </c>
      <c r="D2714" s="3">
        <v>38727</v>
      </c>
      <c r="E2714" t="s">
        <v>18</v>
      </c>
      <c r="F2714">
        <v>1</v>
      </c>
      <c r="G2714">
        <v>11025</v>
      </c>
      <c r="H2714">
        <v>11025</v>
      </c>
      <c r="I2714" s="4">
        <v>38686</v>
      </c>
      <c r="J2714" s="5">
        <f t="shared" si="84"/>
        <v>-41</v>
      </c>
      <c r="K2714" s="6" t="str">
        <f t="shared" si="85"/>
        <v>A~0</v>
      </c>
      <c r="L2714" t="str">
        <f>IF(J2714&lt;0,"A~0",VLOOKUP(J2714,[1]作法V!$B$1:$C$9,2,TRUE))</f>
        <v>A~0</v>
      </c>
    </row>
    <row r="2715" spans="1:12">
      <c r="A2715">
        <v>2406</v>
      </c>
      <c r="B2715" t="s">
        <v>89</v>
      </c>
      <c r="C2715" s="3">
        <v>38597</v>
      </c>
      <c r="D2715" s="3">
        <v>38727</v>
      </c>
      <c r="E2715" t="s">
        <v>18</v>
      </c>
      <c r="F2715">
        <v>1</v>
      </c>
      <c r="G2715">
        <v>7350</v>
      </c>
      <c r="H2715">
        <v>7350</v>
      </c>
      <c r="I2715" s="4">
        <v>38686</v>
      </c>
      <c r="J2715" s="5">
        <f t="shared" si="84"/>
        <v>-41</v>
      </c>
      <c r="K2715" s="6" t="str">
        <f t="shared" si="85"/>
        <v>A~0</v>
      </c>
      <c r="L2715" t="str">
        <f>IF(J2715&lt;0,"A~0",VLOOKUP(J2715,[1]作法V!$B$1:$C$9,2,TRUE))</f>
        <v>A~0</v>
      </c>
    </row>
    <row r="2716" spans="1:12">
      <c r="A2716">
        <v>2406</v>
      </c>
      <c r="B2716" t="s">
        <v>89</v>
      </c>
      <c r="C2716" s="3">
        <v>38625</v>
      </c>
      <c r="D2716" s="3">
        <v>38727</v>
      </c>
      <c r="E2716" t="s">
        <v>18</v>
      </c>
      <c r="F2716">
        <v>1</v>
      </c>
      <c r="G2716">
        <v>16065</v>
      </c>
      <c r="H2716">
        <v>16065</v>
      </c>
      <c r="I2716" s="4">
        <v>38686</v>
      </c>
      <c r="J2716" s="5">
        <f t="shared" si="84"/>
        <v>-41</v>
      </c>
      <c r="K2716" s="6" t="str">
        <f t="shared" si="85"/>
        <v>A~0</v>
      </c>
      <c r="L2716" t="str">
        <f>IF(J2716&lt;0,"A~0",VLOOKUP(J2716,[1]作法V!$B$1:$C$9,2,TRUE))</f>
        <v>A~0</v>
      </c>
    </row>
    <row r="2717" spans="1:12">
      <c r="A2717">
        <v>2406</v>
      </c>
      <c r="B2717" t="s">
        <v>89</v>
      </c>
      <c r="C2717" s="3">
        <v>38657</v>
      </c>
      <c r="D2717" s="3">
        <v>38786</v>
      </c>
      <c r="E2717" t="s">
        <v>18</v>
      </c>
      <c r="F2717">
        <v>1</v>
      </c>
      <c r="G2717">
        <v>13860</v>
      </c>
      <c r="H2717">
        <v>13860</v>
      </c>
      <c r="I2717" s="4">
        <v>38686</v>
      </c>
      <c r="J2717" s="5">
        <f t="shared" si="84"/>
        <v>-100</v>
      </c>
      <c r="K2717" s="6" t="str">
        <f t="shared" si="85"/>
        <v>A~0</v>
      </c>
      <c r="L2717" t="str">
        <f>IF(J2717&lt;0,"A~0",VLOOKUP(J2717,[1]作法V!$B$1:$C$9,2,TRUE))</f>
        <v>A~0</v>
      </c>
    </row>
    <row r="2718" spans="1:12">
      <c r="A2718">
        <v>2406</v>
      </c>
      <c r="B2718" t="s">
        <v>89</v>
      </c>
      <c r="C2718" s="3">
        <v>38657</v>
      </c>
      <c r="D2718" s="3">
        <v>38786</v>
      </c>
      <c r="E2718" t="s">
        <v>18</v>
      </c>
      <c r="F2718">
        <v>1</v>
      </c>
      <c r="G2718">
        <v>13860</v>
      </c>
      <c r="H2718">
        <v>13860</v>
      </c>
      <c r="I2718" s="4">
        <v>38686</v>
      </c>
      <c r="J2718" s="5">
        <f t="shared" si="84"/>
        <v>-100</v>
      </c>
      <c r="K2718" s="6" t="str">
        <f t="shared" si="85"/>
        <v>A~0</v>
      </c>
      <c r="L2718" t="str">
        <f>IF(J2718&lt;0,"A~0",VLOOKUP(J2718,[1]作法V!$B$1:$C$9,2,TRUE))</f>
        <v>A~0</v>
      </c>
    </row>
    <row r="2719" spans="1:12">
      <c r="A2719">
        <v>2406</v>
      </c>
      <c r="B2719" t="s">
        <v>89</v>
      </c>
      <c r="C2719" s="3">
        <v>38672</v>
      </c>
      <c r="D2719" s="3">
        <v>38786</v>
      </c>
      <c r="E2719" t="s">
        <v>18</v>
      </c>
      <c r="F2719">
        <v>1</v>
      </c>
      <c r="G2719">
        <v>9555</v>
      </c>
      <c r="H2719">
        <v>9555</v>
      </c>
      <c r="I2719" s="4">
        <v>38686</v>
      </c>
      <c r="J2719" s="5">
        <f t="shared" si="84"/>
        <v>-100</v>
      </c>
      <c r="K2719" s="6" t="str">
        <f t="shared" si="85"/>
        <v>A~0</v>
      </c>
      <c r="L2719" t="str">
        <f>IF(J2719&lt;0,"A~0",VLOOKUP(J2719,[1]作法V!$B$1:$C$9,2,TRUE))</f>
        <v>A~0</v>
      </c>
    </row>
    <row r="2720" spans="1:12">
      <c r="A2720">
        <v>2428</v>
      </c>
      <c r="B2720" t="s">
        <v>116</v>
      </c>
      <c r="C2720" s="3">
        <v>38672</v>
      </c>
      <c r="D2720" s="3">
        <v>38758</v>
      </c>
      <c r="E2720" t="s">
        <v>18</v>
      </c>
      <c r="F2720">
        <v>1</v>
      </c>
      <c r="G2720">
        <v>15120</v>
      </c>
      <c r="H2720">
        <v>15120</v>
      </c>
      <c r="I2720" s="4">
        <v>38686</v>
      </c>
      <c r="J2720" s="5">
        <f t="shared" si="84"/>
        <v>-72</v>
      </c>
      <c r="K2720" s="6" t="str">
        <f t="shared" si="85"/>
        <v>A~0</v>
      </c>
      <c r="L2720" t="str">
        <f>IF(J2720&lt;0,"A~0",VLOOKUP(J2720,[1]作法V!$B$1:$C$9,2,TRUE))</f>
        <v>A~0</v>
      </c>
    </row>
    <row r="2721" spans="1:12">
      <c r="A2721">
        <v>2505</v>
      </c>
      <c r="B2721" t="s">
        <v>40</v>
      </c>
      <c r="C2721" s="3">
        <v>38548</v>
      </c>
      <c r="D2721" s="3">
        <v>38650</v>
      </c>
      <c r="E2721" t="s">
        <v>17</v>
      </c>
      <c r="F2721">
        <v>31.95</v>
      </c>
      <c r="G2721">
        <v>1410</v>
      </c>
      <c r="H2721">
        <v>45050</v>
      </c>
      <c r="I2721" s="4">
        <v>38686</v>
      </c>
      <c r="J2721" s="5">
        <f t="shared" si="84"/>
        <v>36</v>
      </c>
      <c r="K2721" s="6" t="str">
        <f t="shared" si="85"/>
        <v>C31~60</v>
      </c>
      <c r="L2721" t="str">
        <f>IF(J2721&lt;0,"A~0",VLOOKUP(J2721,[1]作法V!$B$1:$C$9,2,TRUE))</f>
        <v>C31~60</v>
      </c>
    </row>
    <row r="2722" spans="1:12">
      <c r="A2722">
        <v>2505</v>
      </c>
      <c r="B2722" t="s">
        <v>40</v>
      </c>
      <c r="C2722" s="3">
        <v>38548</v>
      </c>
      <c r="D2722" s="3">
        <v>38650</v>
      </c>
      <c r="E2722" t="s">
        <v>17</v>
      </c>
      <c r="F2722">
        <v>31.95</v>
      </c>
      <c r="G2722">
        <v>940</v>
      </c>
      <c r="H2722">
        <v>30033</v>
      </c>
      <c r="I2722" s="4">
        <v>38686</v>
      </c>
      <c r="J2722" s="5">
        <f t="shared" si="84"/>
        <v>36</v>
      </c>
      <c r="K2722" s="6" t="str">
        <f t="shared" si="85"/>
        <v>C31~60</v>
      </c>
      <c r="L2722" t="str">
        <f>IF(J2722&lt;0,"A~0",VLOOKUP(J2722,[1]作法V!$B$1:$C$9,2,TRUE))</f>
        <v>C31~60</v>
      </c>
    </row>
    <row r="2723" spans="1:12">
      <c r="A2723">
        <v>2505</v>
      </c>
      <c r="B2723" t="s">
        <v>40</v>
      </c>
      <c r="C2723" s="3">
        <v>38560</v>
      </c>
      <c r="D2723" s="3">
        <v>38650</v>
      </c>
      <c r="E2723" t="s">
        <v>17</v>
      </c>
      <c r="F2723">
        <v>31.89</v>
      </c>
      <c r="G2723">
        <v>2115</v>
      </c>
      <c r="H2723">
        <v>67447</v>
      </c>
      <c r="I2723" s="4">
        <v>38686</v>
      </c>
      <c r="J2723" s="5">
        <f t="shared" si="84"/>
        <v>36</v>
      </c>
      <c r="K2723" s="6" t="str">
        <f t="shared" si="85"/>
        <v>C31~60</v>
      </c>
      <c r="L2723" t="str">
        <f>IF(J2723&lt;0,"A~0",VLOOKUP(J2723,[1]作法V!$B$1:$C$9,2,TRUE))</f>
        <v>C31~60</v>
      </c>
    </row>
    <row r="2724" spans="1:12">
      <c r="A2724">
        <v>2505</v>
      </c>
      <c r="B2724" t="s">
        <v>40</v>
      </c>
      <c r="C2724" s="3">
        <v>38560</v>
      </c>
      <c r="D2724" s="3">
        <v>38650</v>
      </c>
      <c r="E2724" t="s">
        <v>17</v>
      </c>
      <c r="F2724">
        <v>31.89</v>
      </c>
      <c r="G2724">
        <v>940</v>
      </c>
      <c r="H2724">
        <v>29977</v>
      </c>
      <c r="I2724" s="4">
        <v>38686</v>
      </c>
      <c r="J2724" s="5">
        <f t="shared" si="84"/>
        <v>36</v>
      </c>
      <c r="K2724" s="6" t="str">
        <f t="shared" si="85"/>
        <v>C31~60</v>
      </c>
      <c r="L2724" t="str">
        <f>IF(J2724&lt;0,"A~0",VLOOKUP(J2724,[1]作法V!$B$1:$C$9,2,TRUE))</f>
        <v>C31~60</v>
      </c>
    </row>
    <row r="2725" spans="1:12">
      <c r="A2725">
        <v>2505</v>
      </c>
      <c r="B2725" t="s">
        <v>40</v>
      </c>
      <c r="C2725" s="3">
        <v>38588</v>
      </c>
      <c r="D2725" s="3">
        <v>38681</v>
      </c>
      <c r="E2725" t="s">
        <v>17</v>
      </c>
      <c r="F2725">
        <v>31.905000000000001</v>
      </c>
      <c r="G2725">
        <v>13478.4</v>
      </c>
      <c r="H2725">
        <v>430028</v>
      </c>
      <c r="I2725" s="4">
        <v>38686</v>
      </c>
      <c r="J2725" s="5">
        <f t="shared" si="84"/>
        <v>5</v>
      </c>
      <c r="K2725" s="6" t="str">
        <f t="shared" si="85"/>
        <v>B1~30</v>
      </c>
      <c r="L2725" t="str">
        <f>IF(J2725&lt;0,"A~0",VLOOKUP(J2725,[1]作法V!$B$1:$C$9,2,TRUE))</f>
        <v>B1~30</v>
      </c>
    </row>
    <row r="2726" spans="1:12">
      <c r="A2726">
        <v>2505</v>
      </c>
      <c r="B2726" t="s">
        <v>40</v>
      </c>
      <c r="C2726" s="3">
        <v>38595</v>
      </c>
      <c r="D2726" s="3">
        <v>38681</v>
      </c>
      <c r="E2726" t="s">
        <v>17</v>
      </c>
      <c r="F2726">
        <v>31.905000000000001</v>
      </c>
      <c r="G2726">
        <v>13478.4</v>
      </c>
      <c r="H2726">
        <v>430028</v>
      </c>
      <c r="I2726" s="4">
        <v>38686</v>
      </c>
      <c r="J2726" s="5">
        <f t="shared" si="84"/>
        <v>5</v>
      </c>
      <c r="K2726" s="6" t="str">
        <f t="shared" si="85"/>
        <v>B1~30</v>
      </c>
      <c r="L2726" t="str">
        <f>IF(J2726&lt;0,"A~0",VLOOKUP(J2726,[1]作法V!$B$1:$C$9,2,TRUE))</f>
        <v>B1~30</v>
      </c>
    </row>
    <row r="2727" spans="1:12">
      <c r="A2727">
        <v>2505</v>
      </c>
      <c r="B2727" t="s">
        <v>40</v>
      </c>
      <c r="C2727" s="3">
        <v>38600</v>
      </c>
      <c r="D2727" s="3">
        <v>38711</v>
      </c>
      <c r="E2727" t="s">
        <v>17</v>
      </c>
      <c r="F2727">
        <v>32.195</v>
      </c>
      <c r="G2727">
        <v>5990.4</v>
      </c>
      <c r="H2727">
        <v>192861</v>
      </c>
      <c r="I2727" s="4">
        <v>38686</v>
      </c>
      <c r="J2727" s="5">
        <f t="shared" si="84"/>
        <v>-25</v>
      </c>
      <c r="K2727" s="6" t="str">
        <f t="shared" si="85"/>
        <v>A~0</v>
      </c>
      <c r="L2727" t="str">
        <f>IF(J2727&lt;0,"A~0",VLOOKUP(J2727,[1]作法V!$B$1:$C$9,2,TRUE))</f>
        <v>A~0</v>
      </c>
    </row>
    <row r="2728" spans="1:12">
      <c r="A2728">
        <v>2505</v>
      </c>
      <c r="B2728" t="s">
        <v>40</v>
      </c>
      <c r="C2728" s="3">
        <v>38602</v>
      </c>
      <c r="D2728" s="3">
        <v>38711</v>
      </c>
      <c r="E2728" t="s">
        <v>17</v>
      </c>
      <c r="F2728">
        <v>32.195</v>
      </c>
      <c r="G2728">
        <v>5624.32</v>
      </c>
      <c r="H2728">
        <v>181075</v>
      </c>
      <c r="I2728" s="4">
        <v>38686</v>
      </c>
      <c r="J2728" s="5">
        <f t="shared" si="84"/>
        <v>-25</v>
      </c>
      <c r="K2728" s="6" t="str">
        <f t="shared" si="85"/>
        <v>A~0</v>
      </c>
      <c r="L2728" t="str">
        <f>IF(J2728&lt;0,"A~0",VLOOKUP(J2728,[1]作法V!$B$1:$C$9,2,TRUE))</f>
        <v>A~0</v>
      </c>
    </row>
    <row r="2729" spans="1:12">
      <c r="A2729">
        <v>2505</v>
      </c>
      <c r="B2729" t="s">
        <v>40</v>
      </c>
      <c r="C2729" s="3">
        <v>38615</v>
      </c>
      <c r="D2729" s="3">
        <v>38711</v>
      </c>
      <c r="E2729" t="s">
        <v>17</v>
      </c>
      <c r="F2729">
        <v>32.365000000000002</v>
      </c>
      <c r="G2729">
        <v>506.48</v>
      </c>
      <c r="H2729">
        <v>16392</v>
      </c>
      <c r="I2729" s="4">
        <v>38686</v>
      </c>
      <c r="J2729" s="5">
        <f t="shared" si="84"/>
        <v>-25</v>
      </c>
      <c r="K2729" s="6" t="str">
        <f t="shared" si="85"/>
        <v>A~0</v>
      </c>
      <c r="L2729" t="str">
        <f>IF(J2729&lt;0,"A~0",VLOOKUP(J2729,[1]作法V!$B$1:$C$9,2,TRUE))</f>
        <v>A~0</v>
      </c>
    </row>
    <row r="2730" spans="1:12">
      <c r="A2730">
        <v>2505</v>
      </c>
      <c r="B2730" t="s">
        <v>40</v>
      </c>
      <c r="C2730" s="3">
        <v>38615</v>
      </c>
      <c r="D2730" s="3">
        <v>38711</v>
      </c>
      <c r="E2730" t="s">
        <v>17</v>
      </c>
      <c r="F2730">
        <v>32.365000000000002</v>
      </c>
      <c r="G2730">
        <v>2613.52</v>
      </c>
      <c r="H2730">
        <v>84587</v>
      </c>
      <c r="I2730" s="4">
        <v>38686</v>
      </c>
      <c r="J2730" s="5">
        <f t="shared" si="84"/>
        <v>-25</v>
      </c>
      <c r="K2730" s="6" t="str">
        <f t="shared" si="85"/>
        <v>A~0</v>
      </c>
      <c r="L2730" t="str">
        <f>IF(J2730&lt;0,"A~0",VLOOKUP(J2730,[1]作法V!$B$1:$C$9,2,TRUE))</f>
        <v>A~0</v>
      </c>
    </row>
    <row r="2731" spans="1:12">
      <c r="A2731">
        <v>2505</v>
      </c>
      <c r="B2731" t="s">
        <v>40</v>
      </c>
      <c r="C2731" s="3">
        <v>38615</v>
      </c>
      <c r="D2731" s="3">
        <v>38711</v>
      </c>
      <c r="E2731" t="s">
        <v>17</v>
      </c>
      <c r="F2731">
        <v>32.365000000000002</v>
      </c>
      <c r="G2731">
        <v>3120</v>
      </c>
      <c r="H2731">
        <v>100979</v>
      </c>
      <c r="I2731" s="4">
        <v>38686</v>
      </c>
      <c r="J2731" s="5">
        <f t="shared" si="84"/>
        <v>-25</v>
      </c>
      <c r="K2731" s="6" t="str">
        <f t="shared" si="85"/>
        <v>A~0</v>
      </c>
      <c r="L2731" t="str">
        <f>IF(J2731&lt;0,"A~0",VLOOKUP(J2731,[1]作法V!$B$1:$C$9,2,TRUE))</f>
        <v>A~0</v>
      </c>
    </row>
    <row r="2732" spans="1:12">
      <c r="A2732">
        <v>2505</v>
      </c>
      <c r="B2732" t="s">
        <v>40</v>
      </c>
      <c r="C2732" s="3">
        <v>38615</v>
      </c>
      <c r="D2732" s="3">
        <v>38711</v>
      </c>
      <c r="E2732" t="s">
        <v>17</v>
      </c>
      <c r="F2732">
        <v>32.365000000000002</v>
      </c>
      <c r="G2732">
        <v>3120</v>
      </c>
      <c r="H2732">
        <v>100979</v>
      </c>
      <c r="I2732" s="4">
        <v>38686</v>
      </c>
      <c r="J2732" s="5">
        <f t="shared" si="84"/>
        <v>-25</v>
      </c>
      <c r="K2732" s="6" t="str">
        <f t="shared" si="85"/>
        <v>A~0</v>
      </c>
      <c r="L2732" t="str">
        <f>IF(J2732&lt;0,"A~0",VLOOKUP(J2732,[1]作法V!$B$1:$C$9,2,TRUE))</f>
        <v>A~0</v>
      </c>
    </row>
    <row r="2733" spans="1:12">
      <c r="A2733">
        <v>2505</v>
      </c>
      <c r="B2733" t="s">
        <v>40</v>
      </c>
      <c r="C2733" s="3">
        <v>38616</v>
      </c>
      <c r="D2733" s="3">
        <v>38711</v>
      </c>
      <c r="E2733" t="s">
        <v>17</v>
      </c>
      <c r="F2733">
        <v>32.799999999999997</v>
      </c>
      <c r="G2733">
        <v>3120</v>
      </c>
      <c r="H2733">
        <v>102336</v>
      </c>
      <c r="I2733" s="4">
        <v>38686</v>
      </c>
      <c r="J2733" s="5">
        <f t="shared" si="84"/>
        <v>-25</v>
      </c>
      <c r="K2733" s="6" t="str">
        <f t="shared" si="85"/>
        <v>A~0</v>
      </c>
      <c r="L2733" t="str">
        <f>IF(J2733&lt;0,"A~0",VLOOKUP(J2733,[1]作法V!$B$1:$C$9,2,TRUE))</f>
        <v>A~0</v>
      </c>
    </row>
    <row r="2734" spans="1:12">
      <c r="A2734">
        <v>2505</v>
      </c>
      <c r="B2734" t="s">
        <v>40</v>
      </c>
      <c r="C2734" s="3">
        <v>38618</v>
      </c>
      <c r="D2734" s="3">
        <v>38711</v>
      </c>
      <c r="E2734" t="s">
        <v>17</v>
      </c>
      <c r="F2734">
        <v>32.799999999999997</v>
      </c>
      <c r="G2734">
        <v>5491.2</v>
      </c>
      <c r="H2734">
        <v>180111</v>
      </c>
      <c r="I2734" s="4">
        <v>38686</v>
      </c>
      <c r="J2734" s="5">
        <f t="shared" si="84"/>
        <v>-25</v>
      </c>
      <c r="K2734" s="6" t="str">
        <f t="shared" si="85"/>
        <v>A~0</v>
      </c>
      <c r="L2734" t="str">
        <f>IF(J2734&lt;0,"A~0",VLOOKUP(J2734,[1]作法V!$B$1:$C$9,2,TRUE))</f>
        <v>A~0</v>
      </c>
    </row>
    <row r="2735" spans="1:12">
      <c r="A2735">
        <v>2505</v>
      </c>
      <c r="B2735" t="s">
        <v>40</v>
      </c>
      <c r="C2735" s="3">
        <v>38621</v>
      </c>
      <c r="D2735" s="3">
        <v>38711</v>
      </c>
      <c r="E2735" t="s">
        <v>17</v>
      </c>
      <c r="F2735">
        <v>32.799999999999997</v>
      </c>
      <c r="G2735">
        <v>8486.4</v>
      </c>
      <c r="H2735">
        <v>278354</v>
      </c>
      <c r="I2735" s="4">
        <v>38686</v>
      </c>
      <c r="J2735" s="5">
        <f t="shared" si="84"/>
        <v>-25</v>
      </c>
      <c r="K2735" s="6" t="str">
        <f t="shared" si="85"/>
        <v>A~0</v>
      </c>
      <c r="L2735" t="str">
        <f>IF(J2735&lt;0,"A~0",VLOOKUP(J2735,[1]作法V!$B$1:$C$9,2,TRUE))</f>
        <v>A~0</v>
      </c>
    </row>
    <row r="2736" spans="1:12">
      <c r="A2736">
        <v>2505</v>
      </c>
      <c r="B2736" t="s">
        <v>40</v>
      </c>
      <c r="C2736" s="3">
        <v>38623</v>
      </c>
      <c r="D2736" s="3">
        <v>38711</v>
      </c>
      <c r="E2736" t="s">
        <v>17</v>
      </c>
      <c r="F2736">
        <v>32.799999999999997</v>
      </c>
      <c r="G2736">
        <v>5491.2</v>
      </c>
      <c r="H2736">
        <v>180111</v>
      </c>
      <c r="I2736" s="4">
        <v>38686</v>
      </c>
      <c r="J2736" s="5">
        <f t="shared" si="84"/>
        <v>-25</v>
      </c>
      <c r="K2736" s="6" t="str">
        <f t="shared" si="85"/>
        <v>A~0</v>
      </c>
      <c r="L2736" t="str">
        <f>IF(J2736&lt;0,"A~0",VLOOKUP(J2736,[1]作法V!$B$1:$C$9,2,TRUE))</f>
        <v>A~0</v>
      </c>
    </row>
    <row r="2737" spans="1:12">
      <c r="A2737">
        <v>2505</v>
      </c>
      <c r="B2737" t="s">
        <v>40</v>
      </c>
      <c r="C2737" s="3">
        <v>38624</v>
      </c>
      <c r="D2737" s="3">
        <v>38711</v>
      </c>
      <c r="E2737" t="s">
        <v>17</v>
      </c>
      <c r="F2737">
        <v>32.799999999999997</v>
      </c>
      <c r="G2737">
        <v>2995.2</v>
      </c>
      <c r="H2737">
        <v>98243</v>
      </c>
      <c r="I2737" s="4">
        <v>38686</v>
      </c>
      <c r="J2737" s="5">
        <f t="shared" si="84"/>
        <v>-25</v>
      </c>
      <c r="K2737" s="6" t="str">
        <f t="shared" si="85"/>
        <v>A~0</v>
      </c>
      <c r="L2737" t="str">
        <f>IF(J2737&lt;0,"A~0",VLOOKUP(J2737,[1]作法V!$B$1:$C$9,2,TRUE))</f>
        <v>A~0</v>
      </c>
    </row>
    <row r="2738" spans="1:12">
      <c r="A2738">
        <v>2505</v>
      </c>
      <c r="B2738" t="s">
        <v>40</v>
      </c>
      <c r="C2738" s="3">
        <v>38625</v>
      </c>
      <c r="D2738" s="3">
        <v>38711</v>
      </c>
      <c r="E2738" t="s">
        <v>17</v>
      </c>
      <c r="F2738">
        <v>32.799999999999997</v>
      </c>
      <c r="G2738">
        <v>491.92</v>
      </c>
      <c r="H2738">
        <v>16135</v>
      </c>
      <c r="I2738" s="4">
        <v>38686</v>
      </c>
      <c r="J2738" s="5">
        <f t="shared" si="84"/>
        <v>-25</v>
      </c>
      <c r="K2738" s="6" t="str">
        <f t="shared" si="85"/>
        <v>A~0</v>
      </c>
      <c r="L2738" t="str">
        <f>IF(J2738&lt;0,"A~0",VLOOKUP(J2738,[1]作法V!$B$1:$C$9,2,TRUE))</f>
        <v>A~0</v>
      </c>
    </row>
    <row r="2739" spans="1:12">
      <c r="A2739">
        <v>2505</v>
      </c>
      <c r="B2739" t="s">
        <v>40</v>
      </c>
      <c r="C2739" s="3">
        <v>38625</v>
      </c>
      <c r="D2739" s="3">
        <v>38711</v>
      </c>
      <c r="E2739" t="s">
        <v>17</v>
      </c>
      <c r="F2739">
        <v>32.799999999999997</v>
      </c>
      <c r="G2739">
        <v>3002.48</v>
      </c>
      <c r="H2739">
        <v>98481</v>
      </c>
      <c r="I2739" s="4">
        <v>38686</v>
      </c>
      <c r="J2739" s="5">
        <f t="shared" si="84"/>
        <v>-25</v>
      </c>
      <c r="K2739" s="6" t="str">
        <f t="shared" si="85"/>
        <v>A~0</v>
      </c>
      <c r="L2739" t="str">
        <f>IF(J2739&lt;0,"A~0",VLOOKUP(J2739,[1]作法V!$B$1:$C$9,2,TRUE))</f>
        <v>A~0</v>
      </c>
    </row>
    <row r="2740" spans="1:12">
      <c r="A2740">
        <v>2505</v>
      </c>
      <c r="B2740" t="s">
        <v>40</v>
      </c>
      <c r="C2740" s="3">
        <v>38625</v>
      </c>
      <c r="D2740" s="3">
        <v>38711</v>
      </c>
      <c r="E2740" t="s">
        <v>17</v>
      </c>
      <c r="F2740">
        <v>32.799999999999997</v>
      </c>
      <c r="G2740">
        <v>317.60000000000002</v>
      </c>
      <c r="H2740">
        <v>10417</v>
      </c>
      <c r="I2740" s="4">
        <v>38686</v>
      </c>
      <c r="J2740" s="5">
        <f t="shared" si="84"/>
        <v>-25</v>
      </c>
      <c r="K2740" s="6" t="str">
        <f t="shared" si="85"/>
        <v>A~0</v>
      </c>
      <c r="L2740" t="str">
        <f>IF(J2740&lt;0,"A~0",VLOOKUP(J2740,[1]作法V!$B$1:$C$9,2,TRUE))</f>
        <v>A~0</v>
      </c>
    </row>
    <row r="2741" spans="1:12">
      <c r="A2741">
        <v>2505</v>
      </c>
      <c r="B2741" t="s">
        <v>40</v>
      </c>
      <c r="C2741" s="3">
        <v>38630</v>
      </c>
      <c r="D2741" s="3">
        <v>38742</v>
      </c>
      <c r="E2741" t="s">
        <v>17</v>
      </c>
      <c r="F2741">
        <v>33.15</v>
      </c>
      <c r="G2741">
        <v>8985.6</v>
      </c>
      <c r="H2741">
        <v>297873</v>
      </c>
      <c r="I2741" s="4">
        <v>38686</v>
      </c>
      <c r="J2741" s="5">
        <f t="shared" si="84"/>
        <v>-56</v>
      </c>
      <c r="K2741" s="6" t="str">
        <f t="shared" si="85"/>
        <v>A~0</v>
      </c>
      <c r="L2741" t="str">
        <f>IF(J2741&lt;0,"A~0",VLOOKUP(J2741,[1]作法V!$B$1:$C$9,2,TRUE))</f>
        <v>A~0</v>
      </c>
    </row>
    <row r="2742" spans="1:12">
      <c r="A2742">
        <v>2505</v>
      </c>
      <c r="B2742" t="s">
        <v>40</v>
      </c>
      <c r="C2742" s="3">
        <v>38632</v>
      </c>
      <c r="D2742" s="3">
        <v>38742</v>
      </c>
      <c r="E2742" t="s">
        <v>17</v>
      </c>
      <c r="F2742">
        <v>33.15</v>
      </c>
      <c r="G2742">
        <v>5491.2</v>
      </c>
      <c r="H2742">
        <v>182033</v>
      </c>
      <c r="I2742" s="4">
        <v>38686</v>
      </c>
      <c r="J2742" s="5">
        <f t="shared" si="84"/>
        <v>-56</v>
      </c>
      <c r="K2742" s="6" t="str">
        <f t="shared" si="85"/>
        <v>A~0</v>
      </c>
      <c r="L2742" t="str">
        <f>IF(J2742&lt;0,"A~0",VLOOKUP(J2742,[1]作法V!$B$1:$C$9,2,TRUE))</f>
        <v>A~0</v>
      </c>
    </row>
    <row r="2743" spans="1:12">
      <c r="A2743">
        <v>2505</v>
      </c>
      <c r="B2743" t="s">
        <v>40</v>
      </c>
      <c r="C2743" s="3">
        <v>38636</v>
      </c>
      <c r="D2743" s="3">
        <v>38742</v>
      </c>
      <c r="E2743" t="s">
        <v>17</v>
      </c>
      <c r="F2743">
        <v>33.195</v>
      </c>
      <c r="G2743">
        <v>6489.6</v>
      </c>
      <c r="H2743">
        <v>215422</v>
      </c>
      <c r="I2743" s="4">
        <v>38686</v>
      </c>
      <c r="J2743" s="5">
        <f t="shared" si="84"/>
        <v>-56</v>
      </c>
      <c r="K2743" s="6" t="str">
        <f t="shared" si="85"/>
        <v>A~0</v>
      </c>
      <c r="L2743" t="str">
        <f>IF(J2743&lt;0,"A~0",VLOOKUP(J2743,[1]作法V!$B$1:$C$9,2,TRUE))</f>
        <v>A~0</v>
      </c>
    </row>
    <row r="2744" spans="1:12">
      <c r="A2744">
        <v>2505</v>
      </c>
      <c r="B2744" t="s">
        <v>40</v>
      </c>
      <c r="C2744" s="3">
        <v>38638</v>
      </c>
      <c r="D2744" s="3">
        <v>38742</v>
      </c>
      <c r="E2744" t="s">
        <v>17</v>
      </c>
      <c r="F2744">
        <v>33.195</v>
      </c>
      <c r="G2744">
        <v>1908.96</v>
      </c>
      <c r="H2744">
        <v>63368</v>
      </c>
      <c r="I2744" s="4">
        <v>38686</v>
      </c>
      <c r="J2744" s="5">
        <f t="shared" si="84"/>
        <v>-56</v>
      </c>
      <c r="K2744" s="6" t="str">
        <f t="shared" si="85"/>
        <v>A~0</v>
      </c>
      <c r="L2744" t="str">
        <f>IF(J2744&lt;0,"A~0",VLOOKUP(J2744,[1]作法V!$B$1:$C$9,2,TRUE))</f>
        <v>A~0</v>
      </c>
    </row>
    <row r="2745" spans="1:12">
      <c r="A2745">
        <v>2505</v>
      </c>
      <c r="B2745" t="s">
        <v>40</v>
      </c>
      <c r="C2745" s="3">
        <v>38638</v>
      </c>
      <c r="D2745" s="3">
        <v>38742</v>
      </c>
      <c r="E2745" t="s">
        <v>17</v>
      </c>
      <c r="F2745">
        <v>33.195</v>
      </c>
      <c r="G2745">
        <v>4541.68</v>
      </c>
      <c r="H2745">
        <v>150761</v>
      </c>
      <c r="I2745" s="4">
        <v>38686</v>
      </c>
      <c r="J2745" s="5">
        <f t="shared" si="84"/>
        <v>-56</v>
      </c>
      <c r="K2745" s="6" t="str">
        <f t="shared" si="85"/>
        <v>A~0</v>
      </c>
      <c r="L2745" t="str">
        <f>IF(J2745&lt;0,"A~0",VLOOKUP(J2745,[1]作法V!$B$1:$C$9,2,TRUE))</f>
        <v>A~0</v>
      </c>
    </row>
    <row r="2746" spans="1:12">
      <c r="A2746">
        <v>2505</v>
      </c>
      <c r="B2746" t="s">
        <v>40</v>
      </c>
      <c r="C2746" s="3">
        <v>38639</v>
      </c>
      <c r="D2746" s="3">
        <v>38742</v>
      </c>
      <c r="E2746" t="s">
        <v>17</v>
      </c>
      <c r="F2746">
        <v>33.195</v>
      </c>
      <c r="G2746">
        <v>2503.42</v>
      </c>
      <c r="H2746">
        <v>83101</v>
      </c>
      <c r="I2746" s="4">
        <v>38686</v>
      </c>
      <c r="J2746" s="5">
        <f t="shared" si="84"/>
        <v>-56</v>
      </c>
      <c r="K2746" s="6" t="str">
        <f t="shared" si="85"/>
        <v>A~0</v>
      </c>
      <c r="L2746" t="str">
        <f>IF(J2746&lt;0,"A~0",VLOOKUP(J2746,[1]作法V!$B$1:$C$9,2,TRUE))</f>
        <v>A~0</v>
      </c>
    </row>
    <row r="2747" spans="1:12">
      <c r="A2747">
        <v>2505</v>
      </c>
      <c r="B2747" t="s">
        <v>40</v>
      </c>
      <c r="C2747" s="3">
        <v>38639</v>
      </c>
      <c r="D2747" s="3">
        <v>38742</v>
      </c>
      <c r="E2747" t="s">
        <v>17</v>
      </c>
      <c r="F2747">
        <v>33.195</v>
      </c>
      <c r="G2747">
        <v>6359.81</v>
      </c>
      <c r="H2747">
        <v>211114</v>
      </c>
      <c r="I2747" s="4">
        <v>38686</v>
      </c>
      <c r="J2747" s="5">
        <f t="shared" si="84"/>
        <v>-56</v>
      </c>
      <c r="K2747" s="6" t="str">
        <f t="shared" si="85"/>
        <v>A~0</v>
      </c>
      <c r="L2747" t="str">
        <f>IF(J2747&lt;0,"A~0",VLOOKUP(J2747,[1]作法V!$B$1:$C$9,2,TRUE))</f>
        <v>A~0</v>
      </c>
    </row>
    <row r="2748" spans="1:12">
      <c r="A2748">
        <v>2505</v>
      </c>
      <c r="B2748" t="s">
        <v>40</v>
      </c>
      <c r="C2748" s="3">
        <v>38642</v>
      </c>
      <c r="D2748" s="3">
        <v>38742</v>
      </c>
      <c r="E2748" t="s">
        <v>17</v>
      </c>
      <c r="F2748">
        <v>33.195</v>
      </c>
      <c r="G2748">
        <v>1576.8</v>
      </c>
      <c r="H2748">
        <v>52342</v>
      </c>
      <c r="I2748" s="4">
        <v>38686</v>
      </c>
      <c r="J2748" s="5">
        <f t="shared" si="84"/>
        <v>-56</v>
      </c>
      <c r="K2748" s="6" t="str">
        <f t="shared" si="85"/>
        <v>A~0</v>
      </c>
      <c r="L2748" t="str">
        <f>IF(J2748&lt;0,"A~0",VLOOKUP(J2748,[1]作法V!$B$1:$C$9,2,TRUE))</f>
        <v>A~0</v>
      </c>
    </row>
    <row r="2749" spans="1:12">
      <c r="A2749">
        <v>2505</v>
      </c>
      <c r="B2749" t="s">
        <v>40</v>
      </c>
      <c r="C2749" s="3">
        <v>38642</v>
      </c>
      <c r="D2749" s="3">
        <v>38742</v>
      </c>
      <c r="E2749" t="s">
        <v>17</v>
      </c>
      <c r="F2749">
        <v>33.195</v>
      </c>
      <c r="G2749">
        <v>3179.9</v>
      </c>
      <c r="H2749">
        <v>105557</v>
      </c>
      <c r="I2749" s="4">
        <v>38686</v>
      </c>
      <c r="J2749" s="5">
        <f t="shared" si="84"/>
        <v>-56</v>
      </c>
      <c r="K2749" s="6" t="str">
        <f t="shared" si="85"/>
        <v>A~0</v>
      </c>
      <c r="L2749" t="str">
        <f>IF(J2749&lt;0,"A~0",VLOOKUP(J2749,[1]作法V!$B$1:$C$9,2,TRUE))</f>
        <v>A~0</v>
      </c>
    </row>
    <row r="2750" spans="1:12">
      <c r="A2750">
        <v>2505</v>
      </c>
      <c r="B2750" t="s">
        <v>40</v>
      </c>
      <c r="C2750" s="3">
        <v>38642</v>
      </c>
      <c r="D2750" s="3">
        <v>38742</v>
      </c>
      <c r="E2750" t="s">
        <v>17</v>
      </c>
      <c r="F2750">
        <v>33.195</v>
      </c>
      <c r="G2750">
        <v>9401.14</v>
      </c>
      <c r="H2750">
        <v>312071</v>
      </c>
      <c r="I2750" s="4">
        <v>38686</v>
      </c>
      <c r="J2750" s="5">
        <f t="shared" si="84"/>
        <v>-56</v>
      </c>
      <c r="K2750" s="6" t="str">
        <f t="shared" si="85"/>
        <v>A~0</v>
      </c>
      <c r="L2750" t="str">
        <f>IF(J2750&lt;0,"A~0",VLOOKUP(J2750,[1]作法V!$B$1:$C$9,2,TRUE))</f>
        <v>A~0</v>
      </c>
    </row>
    <row r="2751" spans="1:12">
      <c r="A2751">
        <v>2505</v>
      </c>
      <c r="B2751" t="s">
        <v>40</v>
      </c>
      <c r="C2751" s="3">
        <v>38643</v>
      </c>
      <c r="D2751" s="3">
        <v>38742</v>
      </c>
      <c r="E2751" t="s">
        <v>17</v>
      </c>
      <c r="F2751">
        <v>33.195</v>
      </c>
      <c r="G2751">
        <v>367.92</v>
      </c>
      <c r="H2751">
        <v>12213</v>
      </c>
      <c r="I2751" s="4">
        <v>38686</v>
      </c>
      <c r="J2751" s="5">
        <f t="shared" si="84"/>
        <v>-56</v>
      </c>
      <c r="K2751" s="6" t="str">
        <f t="shared" si="85"/>
        <v>A~0</v>
      </c>
      <c r="L2751" t="str">
        <f>IF(J2751&lt;0,"A~0",VLOOKUP(J2751,[1]作法V!$B$1:$C$9,2,TRUE))</f>
        <v>A~0</v>
      </c>
    </row>
    <row r="2752" spans="1:12">
      <c r="A2752">
        <v>2505</v>
      </c>
      <c r="B2752" t="s">
        <v>40</v>
      </c>
      <c r="C2752" s="3">
        <v>38645</v>
      </c>
      <c r="D2752" s="3">
        <v>38742</v>
      </c>
      <c r="E2752" t="s">
        <v>17</v>
      </c>
      <c r="F2752">
        <v>33.195</v>
      </c>
      <c r="G2752">
        <v>489.22</v>
      </c>
      <c r="H2752">
        <v>16240</v>
      </c>
      <c r="I2752" s="4">
        <v>38686</v>
      </c>
      <c r="J2752" s="5">
        <f t="shared" si="84"/>
        <v>-56</v>
      </c>
      <c r="K2752" s="6" t="str">
        <f t="shared" si="85"/>
        <v>A~0</v>
      </c>
      <c r="L2752" t="str">
        <f>IF(J2752&lt;0,"A~0",VLOOKUP(J2752,[1]作法V!$B$1:$C$9,2,TRUE))</f>
        <v>A~0</v>
      </c>
    </row>
    <row r="2753" spans="1:12">
      <c r="A2753">
        <v>2505</v>
      </c>
      <c r="B2753" t="s">
        <v>40</v>
      </c>
      <c r="C2753" s="3">
        <v>38645</v>
      </c>
      <c r="D2753" s="3">
        <v>38742</v>
      </c>
      <c r="E2753" t="s">
        <v>17</v>
      </c>
      <c r="F2753">
        <v>33.195</v>
      </c>
      <c r="G2753">
        <v>4380.99</v>
      </c>
      <c r="H2753">
        <v>145427</v>
      </c>
      <c r="I2753" s="4">
        <v>38686</v>
      </c>
      <c r="J2753" s="5">
        <f t="shared" si="84"/>
        <v>-56</v>
      </c>
      <c r="K2753" s="6" t="str">
        <f t="shared" si="85"/>
        <v>A~0</v>
      </c>
      <c r="L2753" t="str">
        <f>IF(J2753&lt;0,"A~0",VLOOKUP(J2753,[1]作法V!$B$1:$C$9,2,TRUE))</f>
        <v>A~0</v>
      </c>
    </row>
    <row r="2754" spans="1:12">
      <c r="A2754">
        <v>2505</v>
      </c>
      <c r="B2754" t="s">
        <v>40</v>
      </c>
      <c r="C2754" s="3">
        <v>38646</v>
      </c>
      <c r="D2754" s="3">
        <v>38742</v>
      </c>
      <c r="E2754" t="s">
        <v>17</v>
      </c>
      <c r="F2754">
        <v>33.4</v>
      </c>
      <c r="G2754">
        <v>525.6</v>
      </c>
      <c r="H2754">
        <v>17555</v>
      </c>
      <c r="I2754" s="4">
        <v>38686</v>
      </c>
      <c r="J2754" s="5">
        <f t="shared" ref="J2754:J2817" si="86">I2754-D2754</f>
        <v>-56</v>
      </c>
      <c r="K2754" s="6" t="str">
        <f t="shared" ref="K2754:K2817" si="87">IF(J2754&lt;1,"A~0",IF(J2754&lt;31,"B1~30",IF(J2754&lt;61,"C31~60",IF(J2754&lt;91,"D61~90",IF(J2754&lt;121,"E91~120",IF(J2754&lt;181,"F121~180",IF(J2754&lt;361,"G181~360","H361~")))))))</f>
        <v>A~0</v>
      </c>
      <c r="L2754" t="str">
        <f>IF(J2754&lt;0,"A~0",VLOOKUP(J2754,[1]作法V!$B$1:$C$9,2,TRUE))</f>
        <v>A~0</v>
      </c>
    </row>
    <row r="2755" spans="1:12">
      <c r="A2755">
        <v>2505</v>
      </c>
      <c r="B2755" t="s">
        <v>40</v>
      </c>
      <c r="C2755" s="3">
        <v>38646</v>
      </c>
      <c r="D2755" s="3">
        <v>38742</v>
      </c>
      <c r="E2755" t="s">
        <v>17</v>
      </c>
      <c r="F2755">
        <v>33.4</v>
      </c>
      <c r="G2755">
        <v>7305.85</v>
      </c>
      <c r="H2755">
        <v>244015</v>
      </c>
      <c r="I2755" s="4">
        <v>38686</v>
      </c>
      <c r="J2755" s="5">
        <f t="shared" si="86"/>
        <v>-56</v>
      </c>
      <c r="K2755" s="6" t="str">
        <f t="shared" si="87"/>
        <v>A~0</v>
      </c>
      <c r="L2755" t="str">
        <f>IF(J2755&lt;0,"A~0",VLOOKUP(J2755,[1]作法V!$B$1:$C$9,2,TRUE))</f>
        <v>A~0</v>
      </c>
    </row>
    <row r="2756" spans="1:12">
      <c r="A2756">
        <v>2505</v>
      </c>
      <c r="B2756" t="s">
        <v>40</v>
      </c>
      <c r="C2756" s="3">
        <v>38646</v>
      </c>
      <c r="D2756" s="3">
        <v>38742</v>
      </c>
      <c r="E2756" t="s">
        <v>17</v>
      </c>
      <c r="F2756">
        <v>33.4</v>
      </c>
      <c r="G2756">
        <v>3913.73</v>
      </c>
      <c r="H2756">
        <v>130719</v>
      </c>
      <c r="I2756" s="4">
        <v>38686</v>
      </c>
      <c r="J2756" s="5">
        <f t="shared" si="86"/>
        <v>-56</v>
      </c>
      <c r="K2756" s="6" t="str">
        <f t="shared" si="87"/>
        <v>A~0</v>
      </c>
      <c r="L2756" t="str">
        <f>IF(J2756&lt;0,"A~0",VLOOKUP(J2756,[1]作法V!$B$1:$C$9,2,TRUE))</f>
        <v>A~0</v>
      </c>
    </row>
    <row r="2757" spans="1:12">
      <c r="A2757">
        <v>2505</v>
      </c>
      <c r="B2757" t="s">
        <v>40</v>
      </c>
      <c r="C2757" s="3">
        <v>38649</v>
      </c>
      <c r="D2757" s="3">
        <v>38742</v>
      </c>
      <c r="E2757" t="s">
        <v>17</v>
      </c>
      <c r="F2757">
        <v>33.4</v>
      </c>
      <c r="G2757">
        <v>1576.8</v>
      </c>
      <c r="H2757">
        <v>52665</v>
      </c>
      <c r="I2757" s="4">
        <v>38686</v>
      </c>
      <c r="J2757" s="5">
        <f t="shared" si="86"/>
        <v>-56</v>
      </c>
      <c r="K2757" s="6" t="str">
        <f t="shared" si="87"/>
        <v>A~0</v>
      </c>
      <c r="L2757" t="str">
        <f>IF(J2757&lt;0,"A~0",VLOOKUP(J2757,[1]作法V!$B$1:$C$9,2,TRUE))</f>
        <v>A~0</v>
      </c>
    </row>
    <row r="2758" spans="1:12">
      <c r="A2758">
        <v>2505</v>
      </c>
      <c r="B2758" t="s">
        <v>40</v>
      </c>
      <c r="C2758" s="3">
        <v>38649</v>
      </c>
      <c r="D2758" s="3">
        <v>38742</v>
      </c>
      <c r="E2758" t="s">
        <v>17</v>
      </c>
      <c r="F2758">
        <v>33.4</v>
      </c>
      <c r="G2758">
        <v>6359.81</v>
      </c>
      <c r="H2758">
        <v>212418</v>
      </c>
      <c r="I2758" s="4">
        <v>38686</v>
      </c>
      <c r="J2758" s="5">
        <f t="shared" si="86"/>
        <v>-56</v>
      </c>
      <c r="K2758" s="6" t="str">
        <f t="shared" si="87"/>
        <v>A~0</v>
      </c>
      <c r="L2758" t="str">
        <f>IF(J2758&lt;0,"A~0",VLOOKUP(J2758,[1]作法V!$B$1:$C$9,2,TRUE))</f>
        <v>A~0</v>
      </c>
    </row>
    <row r="2759" spans="1:12">
      <c r="A2759">
        <v>2505</v>
      </c>
      <c r="B2759" t="s">
        <v>40</v>
      </c>
      <c r="C2759" s="3">
        <v>38649</v>
      </c>
      <c r="D2759" s="3">
        <v>38742</v>
      </c>
      <c r="E2759" t="s">
        <v>17</v>
      </c>
      <c r="F2759">
        <v>33.4</v>
      </c>
      <c r="G2759">
        <v>2446.08</v>
      </c>
      <c r="H2759">
        <v>81699</v>
      </c>
      <c r="I2759" s="4">
        <v>38686</v>
      </c>
      <c r="J2759" s="5">
        <f t="shared" si="86"/>
        <v>-56</v>
      </c>
      <c r="K2759" s="6" t="str">
        <f t="shared" si="87"/>
        <v>A~0</v>
      </c>
      <c r="L2759" t="str">
        <f>IF(J2759&lt;0,"A~0",VLOOKUP(J2759,[1]作法V!$B$1:$C$9,2,TRUE))</f>
        <v>A~0</v>
      </c>
    </row>
    <row r="2760" spans="1:12">
      <c r="A2760">
        <v>2505</v>
      </c>
      <c r="B2760" t="s">
        <v>40</v>
      </c>
      <c r="C2760" s="3">
        <v>38651</v>
      </c>
      <c r="D2760" s="3">
        <v>38742</v>
      </c>
      <c r="E2760" t="s">
        <v>17</v>
      </c>
      <c r="F2760">
        <v>33.4</v>
      </c>
      <c r="G2760">
        <v>6359.81</v>
      </c>
      <c r="H2760">
        <v>212418</v>
      </c>
      <c r="I2760" s="4">
        <v>38686</v>
      </c>
      <c r="J2760" s="5">
        <f t="shared" si="86"/>
        <v>-56</v>
      </c>
      <c r="K2760" s="6" t="str">
        <f t="shared" si="87"/>
        <v>A~0</v>
      </c>
      <c r="L2760" t="str">
        <f>IF(J2760&lt;0,"A~0",VLOOKUP(J2760,[1]作法V!$B$1:$C$9,2,TRUE))</f>
        <v>A~0</v>
      </c>
    </row>
    <row r="2761" spans="1:12">
      <c r="A2761">
        <v>2505</v>
      </c>
      <c r="B2761" t="s">
        <v>40</v>
      </c>
      <c r="C2761" s="3">
        <v>38651</v>
      </c>
      <c r="D2761" s="3">
        <v>38742</v>
      </c>
      <c r="E2761" t="s">
        <v>17</v>
      </c>
      <c r="F2761">
        <v>33.4</v>
      </c>
      <c r="G2761">
        <v>5519.81</v>
      </c>
      <c r="H2761">
        <v>184362</v>
      </c>
      <c r="I2761" s="4">
        <v>38686</v>
      </c>
      <c r="J2761" s="5">
        <f t="shared" si="86"/>
        <v>-56</v>
      </c>
      <c r="K2761" s="6" t="str">
        <f t="shared" si="87"/>
        <v>A~0</v>
      </c>
      <c r="L2761" t="str">
        <f>IF(J2761&lt;0,"A~0",VLOOKUP(J2761,[1]作法V!$B$1:$C$9,2,TRUE))</f>
        <v>A~0</v>
      </c>
    </row>
    <row r="2762" spans="1:12">
      <c r="A2762">
        <v>2505</v>
      </c>
      <c r="B2762" t="s">
        <v>40</v>
      </c>
      <c r="C2762" s="3">
        <v>38653</v>
      </c>
      <c r="D2762" s="3">
        <v>38742</v>
      </c>
      <c r="E2762" t="s">
        <v>17</v>
      </c>
      <c r="F2762">
        <v>33.4</v>
      </c>
      <c r="G2762">
        <v>1467.65</v>
      </c>
      <c r="H2762">
        <v>49020</v>
      </c>
      <c r="I2762" s="4">
        <v>38686</v>
      </c>
      <c r="J2762" s="5">
        <f t="shared" si="86"/>
        <v>-56</v>
      </c>
      <c r="K2762" s="6" t="str">
        <f t="shared" si="87"/>
        <v>A~0</v>
      </c>
      <c r="L2762" t="str">
        <f>IF(J2762&lt;0,"A~0",VLOOKUP(J2762,[1]作法V!$B$1:$C$9,2,TRUE))</f>
        <v>A~0</v>
      </c>
    </row>
    <row r="2763" spans="1:12">
      <c r="A2763">
        <v>2505</v>
      </c>
      <c r="B2763" t="s">
        <v>40</v>
      </c>
      <c r="C2763" s="3">
        <v>38653</v>
      </c>
      <c r="D2763" s="3">
        <v>38742</v>
      </c>
      <c r="E2763" t="s">
        <v>17</v>
      </c>
      <c r="F2763">
        <v>33.4</v>
      </c>
      <c r="G2763">
        <v>2102.4</v>
      </c>
      <c r="H2763">
        <v>70220</v>
      </c>
      <c r="I2763" s="4">
        <v>38686</v>
      </c>
      <c r="J2763" s="5">
        <f t="shared" si="86"/>
        <v>-56</v>
      </c>
      <c r="K2763" s="6" t="str">
        <f t="shared" si="87"/>
        <v>A~0</v>
      </c>
      <c r="L2763" t="str">
        <f>IF(J2763&lt;0,"A~0",VLOOKUP(J2763,[1]作法V!$B$1:$C$9,2,TRUE))</f>
        <v>A~0</v>
      </c>
    </row>
    <row r="2764" spans="1:12">
      <c r="A2764">
        <v>2505</v>
      </c>
      <c r="B2764" t="s">
        <v>40</v>
      </c>
      <c r="C2764" s="3">
        <v>38656</v>
      </c>
      <c r="D2764" s="3">
        <v>38742</v>
      </c>
      <c r="E2764" t="s">
        <v>17</v>
      </c>
      <c r="F2764">
        <v>33.4</v>
      </c>
      <c r="G2764">
        <v>6359.81</v>
      </c>
      <c r="H2764">
        <v>212418</v>
      </c>
      <c r="I2764" s="4">
        <v>38686</v>
      </c>
      <c r="J2764" s="5">
        <f t="shared" si="86"/>
        <v>-56</v>
      </c>
      <c r="K2764" s="6" t="str">
        <f t="shared" si="87"/>
        <v>A~0</v>
      </c>
      <c r="L2764" t="str">
        <f>IF(J2764&lt;0,"A~0",VLOOKUP(J2764,[1]作法V!$B$1:$C$9,2,TRUE))</f>
        <v>A~0</v>
      </c>
    </row>
    <row r="2765" spans="1:12">
      <c r="A2765">
        <v>2505</v>
      </c>
      <c r="B2765" t="s">
        <v>40</v>
      </c>
      <c r="C2765" s="3">
        <v>38656</v>
      </c>
      <c r="D2765" s="3">
        <v>38742</v>
      </c>
      <c r="E2765" t="s">
        <v>17</v>
      </c>
      <c r="F2765">
        <v>33.4</v>
      </c>
      <c r="G2765">
        <v>5533</v>
      </c>
      <c r="H2765">
        <v>184802</v>
      </c>
      <c r="I2765" s="4">
        <v>38686</v>
      </c>
      <c r="J2765" s="5">
        <f t="shared" si="86"/>
        <v>-56</v>
      </c>
      <c r="K2765" s="6" t="str">
        <f t="shared" si="87"/>
        <v>A~0</v>
      </c>
      <c r="L2765" t="str">
        <f>IF(J2765&lt;0,"A~0",VLOOKUP(J2765,[1]作法V!$B$1:$C$9,2,TRUE))</f>
        <v>A~0</v>
      </c>
    </row>
    <row r="2766" spans="1:12">
      <c r="A2766">
        <v>2505</v>
      </c>
      <c r="B2766" t="s">
        <v>40</v>
      </c>
      <c r="C2766" s="3">
        <v>38656</v>
      </c>
      <c r="D2766" s="3">
        <v>38742</v>
      </c>
      <c r="E2766" t="s">
        <v>17</v>
      </c>
      <c r="F2766">
        <v>33.4</v>
      </c>
      <c r="G2766">
        <v>4204.8</v>
      </c>
      <c r="H2766">
        <v>140440</v>
      </c>
      <c r="I2766" s="4">
        <v>38686</v>
      </c>
      <c r="J2766" s="5">
        <f t="shared" si="86"/>
        <v>-56</v>
      </c>
      <c r="K2766" s="6" t="str">
        <f t="shared" si="87"/>
        <v>A~0</v>
      </c>
      <c r="L2766" t="str">
        <f>IF(J2766&lt;0,"A~0",VLOOKUP(J2766,[1]作法V!$B$1:$C$9,2,TRUE))</f>
        <v>A~0</v>
      </c>
    </row>
    <row r="2767" spans="1:12">
      <c r="A2767">
        <v>2505</v>
      </c>
      <c r="B2767" t="s">
        <v>40</v>
      </c>
      <c r="C2767" s="3">
        <v>38658</v>
      </c>
      <c r="D2767" s="3">
        <v>38773</v>
      </c>
      <c r="E2767" t="s">
        <v>17</v>
      </c>
      <c r="F2767">
        <v>33.715000000000003</v>
      </c>
      <c r="G2767">
        <v>4293.18</v>
      </c>
      <c r="H2767">
        <v>144745</v>
      </c>
      <c r="I2767" s="4">
        <v>38686</v>
      </c>
      <c r="J2767" s="5">
        <f t="shared" si="86"/>
        <v>-87</v>
      </c>
      <c r="K2767" s="6" t="str">
        <f t="shared" si="87"/>
        <v>A~0</v>
      </c>
      <c r="L2767" t="str">
        <f>IF(J2767&lt;0,"A~0",VLOOKUP(J2767,[1]作法V!$B$1:$C$9,2,TRUE))</f>
        <v>A~0</v>
      </c>
    </row>
    <row r="2768" spans="1:12">
      <c r="A2768">
        <v>2505</v>
      </c>
      <c r="B2768" t="s">
        <v>40</v>
      </c>
      <c r="C2768" s="3">
        <v>38658</v>
      </c>
      <c r="D2768" s="3">
        <v>38773</v>
      </c>
      <c r="E2768" t="s">
        <v>17</v>
      </c>
      <c r="F2768">
        <v>33.715000000000003</v>
      </c>
      <c r="G2768">
        <v>2935.3</v>
      </c>
      <c r="H2768">
        <v>98964</v>
      </c>
      <c r="I2768" s="4">
        <v>38686</v>
      </c>
      <c r="J2768" s="5">
        <f t="shared" si="86"/>
        <v>-87</v>
      </c>
      <c r="K2768" s="6" t="str">
        <f t="shared" si="87"/>
        <v>A~0</v>
      </c>
      <c r="L2768" t="str">
        <f>IF(J2768&lt;0,"A~0",VLOOKUP(J2768,[1]作法V!$B$1:$C$9,2,TRUE))</f>
        <v>A~0</v>
      </c>
    </row>
    <row r="2769" spans="1:12">
      <c r="A2769">
        <v>2505</v>
      </c>
      <c r="B2769" t="s">
        <v>40</v>
      </c>
      <c r="C2769" s="3">
        <v>38658</v>
      </c>
      <c r="D2769" s="3">
        <v>38773</v>
      </c>
      <c r="E2769" t="s">
        <v>17</v>
      </c>
      <c r="F2769">
        <v>33.715000000000003</v>
      </c>
      <c r="G2769">
        <v>2102.4</v>
      </c>
      <c r="H2769">
        <v>70882</v>
      </c>
      <c r="I2769" s="4">
        <v>38686</v>
      </c>
      <c r="J2769" s="5">
        <f t="shared" si="86"/>
        <v>-87</v>
      </c>
      <c r="K2769" s="6" t="str">
        <f t="shared" si="87"/>
        <v>A~0</v>
      </c>
      <c r="L2769" t="str">
        <f>IF(J2769&lt;0,"A~0",VLOOKUP(J2769,[1]作法V!$B$1:$C$9,2,TRUE))</f>
        <v>A~0</v>
      </c>
    </row>
    <row r="2770" spans="1:12">
      <c r="A2770">
        <v>2505</v>
      </c>
      <c r="B2770" t="s">
        <v>40</v>
      </c>
      <c r="C2770" s="3">
        <v>38660</v>
      </c>
      <c r="D2770" s="3">
        <v>38773</v>
      </c>
      <c r="E2770" t="s">
        <v>17</v>
      </c>
      <c r="F2770">
        <v>33.715000000000003</v>
      </c>
      <c r="G2770">
        <v>2102.4</v>
      </c>
      <c r="H2770">
        <v>70882</v>
      </c>
      <c r="I2770" s="4">
        <v>38686</v>
      </c>
      <c r="J2770" s="5">
        <f t="shared" si="86"/>
        <v>-87</v>
      </c>
      <c r="K2770" s="6" t="str">
        <f t="shared" si="87"/>
        <v>A~0</v>
      </c>
      <c r="L2770" t="str">
        <f>IF(J2770&lt;0,"A~0",VLOOKUP(J2770,[1]作法V!$B$1:$C$9,2,TRUE))</f>
        <v>A~0</v>
      </c>
    </row>
    <row r="2771" spans="1:12">
      <c r="A2771">
        <v>2505</v>
      </c>
      <c r="B2771" t="s">
        <v>40</v>
      </c>
      <c r="C2771" s="3">
        <v>38660</v>
      </c>
      <c r="D2771" s="3">
        <v>38773</v>
      </c>
      <c r="E2771" t="s">
        <v>17</v>
      </c>
      <c r="F2771">
        <v>33.715000000000003</v>
      </c>
      <c r="G2771">
        <v>3179.9</v>
      </c>
      <c r="H2771">
        <v>107210</v>
      </c>
      <c r="I2771" s="4">
        <v>38686</v>
      </c>
      <c r="J2771" s="5">
        <f t="shared" si="86"/>
        <v>-87</v>
      </c>
      <c r="K2771" s="6" t="str">
        <f t="shared" si="87"/>
        <v>A~0</v>
      </c>
      <c r="L2771" t="str">
        <f>IF(J2771&lt;0,"A~0",VLOOKUP(J2771,[1]作法V!$B$1:$C$9,2,TRUE))</f>
        <v>A~0</v>
      </c>
    </row>
    <row r="2772" spans="1:12">
      <c r="A2772">
        <v>2505</v>
      </c>
      <c r="B2772" t="s">
        <v>40</v>
      </c>
      <c r="C2772" s="3">
        <v>38660</v>
      </c>
      <c r="D2772" s="3">
        <v>38773</v>
      </c>
      <c r="E2772" t="s">
        <v>17</v>
      </c>
      <c r="F2772">
        <v>33.715000000000003</v>
      </c>
      <c r="G2772">
        <v>865.21</v>
      </c>
      <c r="H2772">
        <v>29171</v>
      </c>
      <c r="I2772" s="4">
        <v>38686</v>
      </c>
      <c r="J2772" s="5">
        <f t="shared" si="86"/>
        <v>-87</v>
      </c>
      <c r="K2772" s="6" t="str">
        <f t="shared" si="87"/>
        <v>A~0</v>
      </c>
      <c r="L2772" t="str">
        <f>IF(J2772&lt;0,"A~0",VLOOKUP(J2772,[1]作法V!$B$1:$C$9,2,TRUE))</f>
        <v>A~0</v>
      </c>
    </row>
    <row r="2773" spans="1:12">
      <c r="A2773">
        <v>2505</v>
      </c>
      <c r="B2773" t="s">
        <v>40</v>
      </c>
      <c r="C2773" s="3">
        <v>38663</v>
      </c>
      <c r="D2773" s="3">
        <v>38773</v>
      </c>
      <c r="E2773" t="s">
        <v>17</v>
      </c>
      <c r="F2773">
        <v>33.715000000000003</v>
      </c>
      <c r="G2773">
        <v>6359.8</v>
      </c>
      <c r="H2773">
        <v>214421</v>
      </c>
      <c r="I2773" s="4">
        <v>38686</v>
      </c>
      <c r="J2773" s="5">
        <f t="shared" si="86"/>
        <v>-87</v>
      </c>
      <c r="K2773" s="6" t="str">
        <f t="shared" si="87"/>
        <v>A~0</v>
      </c>
      <c r="L2773" t="str">
        <f>IF(J2773&lt;0,"A~0",VLOOKUP(J2773,[1]作法V!$B$1:$C$9,2,TRUE))</f>
        <v>A~0</v>
      </c>
    </row>
    <row r="2774" spans="1:12">
      <c r="A2774">
        <v>2505</v>
      </c>
      <c r="B2774" t="s">
        <v>40</v>
      </c>
      <c r="C2774" s="3">
        <v>38663</v>
      </c>
      <c r="D2774" s="3">
        <v>38773</v>
      </c>
      <c r="E2774" t="s">
        <v>17</v>
      </c>
      <c r="F2774">
        <v>33.715000000000003</v>
      </c>
      <c r="G2774">
        <v>1331.52</v>
      </c>
      <c r="H2774">
        <v>44892</v>
      </c>
      <c r="I2774" s="4">
        <v>38686</v>
      </c>
      <c r="J2774" s="5">
        <f t="shared" si="86"/>
        <v>-87</v>
      </c>
      <c r="K2774" s="6" t="str">
        <f t="shared" si="87"/>
        <v>A~0</v>
      </c>
      <c r="L2774" t="str">
        <f>IF(J2774&lt;0,"A~0",VLOOKUP(J2774,[1]作法V!$B$1:$C$9,2,TRUE))</f>
        <v>A~0</v>
      </c>
    </row>
    <row r="2775" spans="1:12">
      <c r="A2775">
        <v>2505</v>
      </c>
      <c r="B2775" t="s">
        <v>40</v>
      </c>
      <c r="C2775" s="3">
        <v>38663</v>
      </c>
      <c r="D2775" s="3">
        <v>38773</v>
      </c>
      <c r="E2775" t="s">
        <v>17</v>
      </c>
      <c r="F2775">
        <v>33.715000000000003</v>
      </c>
      <c r="G2775">
        <v>770.88</v>
      </c>
      <c r="H2775">
        <v>25990</v>
      </c>
      <c r="I2775" s="4">
        <v>38686</v>
      </c>
      <c r="J2775" s="5">
        <f t="shared" si="86"/>
        <v>-87</v>
      </c>
      <c r="K2775" s="6" t="str">
        <f t="shared" si="87"/>
        <v>A~0</v>
      </c>
      <c r="L2775" t="str">
        <f>IF(J2775&lt;0,"A~0",VLOOKUP(J2775,[1]作法V!$B$1:$C$9,2,TRUE))</f>
        <v>A~0</v>
      </c>
    </row>
    <row r="2776" spans="1:12">
      <c r="A2776">
        <v>2505</v>
      </c>
      <c r="B2776" t="s">
        <v>40</v>
      </c>
      <c r="C2776" s="3">
        <v>38664</v>
      </c>
      <c r="D2776" s="3">
        <v>38773</v>
      </c>
      <c r="E2776" t="s">
        <v>17</v>
      </c>
      <c r="F2776">
        <v>33.715000000000003</v>
      </c>
      <c r="G2776">
        <v>3153.6</v>
      </c>
      <c r="H2776">
        <v>106324</v>
      </c>
      <c r="I2776" s="4">
        <v>38686</v>
      </c>
      <c r="J2776" s="5">
        <f t="shared" si="86"/>
        <v>-87</v>
      </c>
      <c r="K2776" s="6" t="str">
        <f t="shared" si="87"/>
        <v>A~0</v>
      </c>
      <c r="L2776" t="str">
        <f>IF(J2776&lt;0,"A~0",VLOOKUP(J2776,[1]作法V!$B$1:$C$9,2,TRUE))</f>
        <v>A~0</v>
      </c>
    </row>
    <row r="2777" spans="1:12">
      <c r="A2777">
        <v>2505</v>
      </c>
      <c r="B2777" t="s">
        <v>40</v>
      </c>
      <c r="C2777" s="3">
        <v>38665</v>
      </c>
      <c r="D2777" s="3">
        <v>38773</v>
      </c>
      <c r="E2777" t="s">
        <v>17</v>
      </c>
      <c r="F2777">
        <v>33.715000000000003</v>
      </c>
      <c r="G2777">
        <v>6359.81</v>
      </c>
      <c r="H2777">
        <v>214421</v>
      </c>
      <c r="I2777" s="4">
        <v>38686</v>
      </c>
      <c r="J2777" s="5">
        <f t="shared" si="86"/>
        <v>-87</v>
      </c>
      <c r="K2777" s="6" t="str">
        <f t="shared" si="87"/>
        <v>A~0</v>
      </c>
      <c r="L2777" t="str">
        <f>IF(J2777&lt;0,"A~0",VLOOKUP(J2777,[1]作法V!$B$1:$C$9,2,TRUE))</f>
        <v>A~0</v>
      </c>
    </row>
    <row r="2778" spans="1:12">
      <c r="A2778">
        <v>2505</v>
      </c>
      <c r="B2778" t="s">
        <v>40</v>
      </c>
      <c r="C2778" s="3">
        <v>38670</v>
      </c>
      <c r="D2778" s="3">
        <v>38773</v>
      </c>
      <c r="E2778" t="s">
        <v>17</v>
      </c>
      <c r="F2778">
        <v>33.634999999999998</v>
      </c>
      <c r="G2778">
        <v>6359.81</v>
      </c>
      <c r="H2778">
        <v>213912</v>
      </c>
      <c r="I2778" s="4">
        <v>38686</v>
      </c>
      <c r="J2778" s="5">
        <f t="shared" si="86"/>
        <v>-87</v>
      </c>
      <c r="K2778" s="6" t="str">
        <f t="shared" si="87"/>
        <v>A~0</v>
      </c>
      <c r="L2778" t="str">
        <f>IF(J2778&lt;0,"A~0",VLOOKUP(J2778,[1]作法V!$B$1:$C$9,2,TRUE))</f>
        <v>A~0</v>
      </c>
    </row>
    <row r="2779" spans="1:12">
      <c r="A2779">
        <v>2505</v>
      </c>
      <c r="B2779" t="s">
        <v>40</v>
      </c>
      <c r="C2779" s="3">
        <v>38670</v>
      </c>
      <c r="D2779" s="3">
        <v>38773</v>
      </c>
      <c r="E2779" t="s">
        <v>17</v>
      </c>
      <c r="F2779">
        <v>33.634999999999998</v>
      </c>
      <c r="G2779">
        <v>4426.3999999999996</v>
      </c>
      <c r="H2779">
        <v>148882</v>
      </c>
      <c r="I2779" s="4">
        <v>38686</v>
      </c>
      <c r="J2779" s="5">
        <f t="shared" si="86"/>
        <v>-87</v>
      </c>
      <c r="K2779" s="6" t="str">
        <f t="shared" si="87"/>
        <v>A~0</v>
      </c>
      <c r="L2779" t="str">
        <f>IF(J2779&lt;0,"A~0",VLOOKUP(J2779,[1]作法V!$B$1:$C$9,2,TRUE))</f>
        <v>A~0</v>
      </c>
    </row>
    <row r="2780" spans="1:12">
      <c r="A2780">
        <v>2505</v>
      </c>
      <c r="B2780" t="s">
        <v>40</v>
      </c>
      <c r="C2780" s="3">
        <v>38672</v>
      </c>
      <c r="D2780" s="3">
        <v>38773</v>
      </c>
      <c r="E2780" t="s">
        <v>17</v>
      </c>
      <c r="F2780">
        <v>33.634999999999998</v>
      </c>
      <c r="G2780">
        <v>2935.3</v>
      </c>
      <c r="H2780">
        <v>98729</v>
      </c>
      <c r="I2780" s="4">
        <v>38686</v>
      </c>
      <c r="J2780" s="5">
        <f t="shared" si="86"/>
        <v>-87</v>
      </c>
      <c r="K2780" s="6" t="str">
        <f t="shared" si="87"/>
        <v>A~0</v>
      </c>
      <c r="L2780" t="str">
        <f>IF(J2780&lt;0,"A~0",VLOOKUP(J2780,[1]作法V!$B$1:$C$9,2,TRUE))</f>
        <v>A~0</v>
      </c>
    </row>
    <row r="2781" spans="1:12">
      <c r="A2781">
        <v>2505</v>
      </c>
      <c r="B2781" t="s">
        <v>40</v>
      </c>
      <c r="C2781" s="3">
        <v>38674</v>
      </c>
      <c r="D2781" s="3">
        <v>38773</v>
      </c>
      <c r="E2781" t="s">
        <v>17</v>
      </c>
      <c r="F2781">
        <v>33.634999999999998</v>
      </c>
      <c r="G2781">
        <v>6359.81</v>
      </c>
      <c r="H2781">
        <v>213912</v>
      </c>
      <c r="I2781" s="4">
        <v>38686</v>
      </c>
      <c r="J2781" s="5">
        <f t="shared" si="86"/>
        <v>-87</v>
      </c>
      <c r="K2781" s="6" t="str">
        <f t="shared" si="87"/>
        <v>A~0</v>
      </c>
      <c r="L2781" t="str">
        <f>IF(J2781&lt;0,"A~0",VLOOKUP(J2781,[1]作法V!$B$1:$C$9,2,TRUE))</f>
        <v>A~0</v>
      </c>
    </row>
    <row r="2782" spans="1:12">
      <c r="A2782">
        <v>2505</v>
      </c>
      <c r="B2782" t="s">
        <v>40</v>
      </c>
      <c r="C2782" s="3">
        <v>38677</v>
      </c>
      <c r="D2782" s="3">
        <v>38773</v>
      </c>
      <c r="E2782" t="s">
        <v>17</v>
      </c>
      <c r="F2782">
        <v>33.409999999999997</v>
      </c>
      <c r="G2782">
        <v>6311.91</v>
      </c>
      <c r="H2782">
        <v>210881</v>
      </c>
      <c r="I2782" s="4">
        <v>38686</v>
      </c>
      <c r="J2782" s="5">
        <f t="shared" si="86"/>
        <v>-87</v>
      </c>
      <c r="K2782" s="6" t="str">
        <f t="shared" si="87"/>
        <v>A~0</v>
      </c>
      <c r="L2782" t="str">
        <f>IF(J2782&lt;0,"A~0",VLOOKUP(J2782,[1]作法V!$B$1:$C$9,2,TRUE))</f>
        <v>A~0</v>
      </c>
    </row>
    <row r="2783" spans="1:12">
      <c r="A2783">
        <v>2505</v>
      </c>
      <c r="B2783" t="s">
        <v>40</v>
      </c>
      <c r="C2783" s="3">
        <v>38677</v>
      </c>
      <c r="D2783" s="3">
        <v>38773</v>
      </c>
      <c r="E2783" t="s">
        <v>17</v>
      </c>
      <c r="F2783">
        <v>33.409999999999997</v>
      </c>
      <c r="G2783">
        <v>47.9</v>
      </c>
      <c r="H2783">
        <v>1600</v>
      </c>
      <c r="I2783" s="4">
        <v>38686</v>
      </c>
      <c r="J2783" s="5">
        <f t="shared" si="86"/>
        <v>-87</v>
      </c>
      <c r="K2783" s="6" t="str">
        <f t="shared" si="87"/>
        <v>A~0</v>
      </c>
      <c r="L2783" t="str">
        <f>IF(J2783&lt;0,"A~0",VLOOKUP(J2783,[1]作法V!$B$1:$C$9,2,TRUE))</f>
        <v>A~0</v>
      </c>
    </row>
    <row r="2784" spans="1:12">
      <c r="A2784">
        <v>2505</v>
      </c>
      <c r="B2784" t="s">
        <v>40</v>
      </c>
      <c r="C2784" s="3">
        <v>38679</v>
      </c>
      <c r="D2784" s="3">
        <v>38773</v>
      </c>
      <c r="E2784" t="s">
        <v>17</v>
      </c>
      <c r="F2784">
        <v>33.409999999999997</v>
      </c>
      <c r="G2784">
        <v>6359.81</v>
      </c>
      <c r="H2784">
        <v>212481</v>
      </c>
      <c r="I2784" s="4">
        <v>38686</v>
      </c>
      <c r="J2784" s="5">
        <f t="shared" si="86"/>
        <v>-87</v>
      </c>
      <c r="K2784" s="6" t="str">
        <f t="shared" si="87"/>
        <v>A~0</v>
      </c>
      <c r="L2784" t="str">
        <f>IF(J2784&lt;0,"A~0",VLOOKUP(J2784,[1]作法V!$B$1:$C$9,2,TRUE))</f>
        <v>A~0</v>
      </c>
    </row>
    <row r="2785" spans="1:12">
      <c r="A2785">
        <v>2505</v>
      </c>
      <c r="B2785" t="s">
        <v>40</v>
      </c>
      <c r="C2785" s="3">
        <v>38681</v>
      </c>
      <c r="D2785" s="3">
        <v>38773</v>
      </c>
      <c r="E2785" t="s">
        <v>17</v>
      </c>
      <c r="F2785">
        <v>33.409999999999997</v>
      </c>
      <c r="G2785">
        <v>6359.81</v>
      </c>
      <c r="H2785">
        <v>212481</v>
      </c>
      <c r="I2785" s="4">
        <v>38686</v>
      </c>
      <c r="J2785" s="5">
        <f t="shared" si="86"/>
        <v>-87</v>
      </c>
      <c r="K2785" s="6" t="str">
        <f t="shared" si="87"/>
        <v>A~0</v>
      </c>
      <c r="L2785" t="str">
        <f>IF(J2785&lt;0,"A~0",VLOOKUP(J2785,[1]作法V!$B$1:$C$9,2,TRUE))</f>
        <v>A~0</v>
      </c>
    </row>
    <row r="2786" spans="1:12">
      <c r="A2786">
        <v>2505</v>
      </c>
      <c r="B2786" t="s">
        <v>40</v>
      </c>
      <c r="C2786" s="3">
        <v>38686</v>
      </c>
      <c r="D2786" s="3">
        <v>38773</v>
      </c>
      <c r="E2786" t="s">
        <v>17</v>
      </c>
      <c r="F2786">
        <v>33.409999999999997</v>
      </c>
      <c r="G2786">
        <v>4892.16</v>
      </c>
      <c r="H2786">
        <v>163447</v>
      </c>
      <c r="I2786" s="4">
        <v>38686</v>
      </c>
      <c r="J2786" s="5">
        <f t="shared" si="86"/>
        <v>-87</v>
      </c>
      <c r="K2786" s="6" t="str">
        <f t="shared" si="87"/>
        <v>A~0</v>
      </c>
      <c r="L2786" t="str">
        <f>IF(J2786&lt;0,"A~0",VLOOKUP(J2786,[1]作法V!$B$1:$C$9,2,TRUE))</f>
        <v>A~0</v>
      </c>
    </row>
    <row r="2787" spans="1:12">
      <c r="A2787">
        <v>2606</v>
      </c>
      <c r="B2787" t="s">
        <v>31</v>
      </c>
      <c r="C2787" s="3">
        <v>38509</v>
      </c>
      <c r="D2787" s="3">
        <v>38600</v>
      </c>
      <c r="E2787" t="s">
        <v>18</v>
      </c>
      <c r="F2787">
        <v>1</v>
      </c>
      <c r="G2787">
        <v>5093</v>
      </c>
      <c r="H2787">
        <v>5093</v>
      </c>
      <c r="I2787" s="4">
        <v>38686</v>
      </c>
      <c r="J2787" s="5">
        <f t="shared" si="86"/>
        <v>86</v>
      </c>
      <c r="K2787" s="6" t="str">
        <f t="shared" si="87"/>
        <v>D61~90</v>
      </c>
      <c r="L2787" t="str">
        <f>IF(J2787&lt;0,"A~0",VLOOKUP(J2787,[1]作法V!$B$1:$C$9,2,TRUE))</f>
        <v>D61-90</v>
      </c>
    </row>
    <row r="2788" spans="1:12">
      <c r="A2788">
        <v>2606</v>
      </c>
      <c r="B2788" t="s">
        <v>31</v>
      </c>
      <c r="C2788" s="3">
        <v>38625</v>
      </c>
      <c r="D2788" s="3">
        <v>38691</v>
      </c>
      <c r="E2788" t="s">
        <v>18</v>
      </c>
      <c r="F2788">
        <v>1</v>
      </c>
      <c r="G2788">
        <v>4032</v>
      </c>
      <c r="H2788">
        <v>4032</v>
      </c>
      <c r="I2788" s="4">
        <v>38686</v>
      </c>
      <c r="J2788" s="5">
        <f t="shared" si="86"/>
        <v>-5</v>
      </c>
      <c r="K2788" s="6" t="str">
        <f t="shared" si="87"/>
        <v>A~0</v>
      </c>
      <c r="L2788" t="str">
        <f>IF(J2788&lt;0,"A~0",VLOOKUP(J2788,[1]作法V!$B$1:$C$9,2,TRUE))</f>
        <v>A~0</v>
      </c>
    </row>
    <row r="2789" spans="1:12">
      <c r="A2789">
        <v>2609</v>
      </c>
      <c r="B2789" t="s">
        <v>39</v>
      </c>
      <c r="C2789" s="3">
        <v>38562</v>
      </c>
      <c r="D2789" s="3">
        <v>38717</v>
      </c>
      <c r="E2789" t="s">
        <v>18</v>
      </c>
      <c r="F2789">
        <v>1</v>
      </c>
      <c r="G2789">
        <v>165900</v>
      </c>
      <c r="H2789">
        <v>165900</v>
      </c>
      <c r="I2789" s="4">
        <v>38686</v>
      </c>
      <c r="J2789" s="5">
        <f t="shared" si="86"/>
        <v>-31</v>
      </c>
      <c r="K2789" s="6" t="str">
        <f t="shared" si="87"/>
        <v>A~0</v>
      </c>
      <c r="L2789" t="str">
        <f>IF(J2789&lt;0,"A~0",VLOOKUP(J2789,[1]作法V!$B$1:$C$9,2,TRUE))</f>
        <v>A~0</v>
      </c>
    </row>
    <row r="2790" spans="1:12">
      <c r="A2790">
        <v>2609</v>
      </c>
      <c r="B2790" t="s">
        <v>39</v>
      </c>
      <c r="C2790" s="3">
        <v>38587</v>
      </c>
      <c r="D2790" s="3">
        <v>38717</v>
      </c>
      <c r="E2790" t="s">
        <v>18</v>
      </c>
      <c r="F2790">
        <v>1</v>
      </c>
      <c r="G2790">
        <v>199080</v>
      </c>
      <c r="H2790">
        <v>199080</v>
      </c>
      <c r="I2790" s="4">
        <v>38686</v>
      </c>
      <c r="J2790" s="5">
        <f t="shared" si="86"/>
        <v>-31</v>
      </c>
      <c r="K2790" s="6" t="str">
        <f t="shared" si="87"/>
        <v>A~0</v>
      </c>
      <c r="L2790" t="str">
        <f>IF(J2790&lt;0,"A~0",VLOOKUP(J2790,[1]作法V!$B$1:$C$9,2,TRUE))</f>
        <v>A~0</v>
      </c>
    </row>
    <row r="2791" spans="1:12">
      <c r="A2791">
        <v>2609</v>
      </c>
      <c r="B2791" t="s">
        <v>39</v>
      </c>
      <c r="C2791" s="3">
        <v>38587</v>
      </c>
      <c r="D2791" s="3">
        <v>38717</v>
      </c>
      <c r="E2791" t="s">
        <v>18</v>
      </c>
      <c r="F2791">
        <v>1</v>
      </c>
      <c r="G2791">
        <v>9954</v>
      </c>
      <c r="H2791">
        <v>9954</v>
      </c>
      <c r="I2791" s="4">
        <v>38686</v>
      </c>
      <c r="J2791" s="5">
        <f t="shared" si="86"/>
        <v>-31</v>
      </c>
      <c r="K2791" s="6" t="str">
        <f t="shared" si="87"/>
        <v>A~0</v>
      </c>
      <c r="L2791" t="str">
        <f>IF(J2791&lt;0,"A~0",VLOOKUP(J2791,[1]作法V!$B$1:$C$9,2,TRUE))</f>
        <v>A~0</v>
      </c>
    </row>
    <row r="2792" spans="1:12">
      <c r="A2792">
        <v>2609</v>
      </c>
      <c r="B2792" t="s">
        <v>39</v>
      </c>
      <c r="C2792" s="3">
        <v>38590</v>
      </c>
      <c r="D2792" s="3">
        <v>38748</v>
      </c>
      <c r="E2792" t="s">
        <v>18</v>
      </c>
      <c r="F2792">
        <v>1</v>
      </c>
      <c r="G2792">
        <v>16349</v>
      </c>
      <c r="H2792">
        <v>16349</v>
      </c>
      <c r="I2792" s="4">
        <v>38686</v>
      </c>
      <c r="J2792" s="5">
        <f t="shared" si="86"/>
        <v>-62</v>
      </c>
      <c r="K2792" s="6" t="str">
        <f t="shared" si="87"/>
        <v>A~0</v>
      </c>
      <c r="L2792" t="str">
        <f>IF(J2792&lt;0,"A~0",VLOOKUP(J2792,[1]作法V!$B$1:$C$9,2,TRUE))</f>
        <v>A~0</v>
      </c>
    </row>
    <row r="2793" spans="1:12">
      <c r="A2793">
        <v>2609</v>
      </c>
      <c r="B2793" t="s">
        <v>39</v>
      </c>
      <c r="C2793" s="3">
        <v>38609</v>
      </c>
      <c r="D2793" s="3">
        <v>38748</v>
      </c>
      <c r="E2793" t="s">
        <v>18</v>
      </c>
      <c r="F2793">
        <v>1</v>
      </c>
      <c r="G2793">
        <v>2552</v>
      </c>
      <c r="H2793">
        <v>2552</v>
      </c>
      <c r="I2793" s="4">
        <v>38686</v>
      </c>
      <c r="J2793" s="5">
        <f t="shared" si="86"/>
        <v>-62</v>
      </c>
      <c r="K2793" s="6" t="str">
        <f t="shared" si="87"/>
        <v>A~0</v>
      </c>
      <c r="L2793" t="str">
        <f>IF(J2793&lt;0,"A~0",VLOOKUP(J2793,[1]作法V!$B$1:$C$9,2,TRUE))</f>
        <v>A~0</v>
      </c>
    </row>
    <row r="2794" spans="1:12">
      <c r="A2794">
        <v>2609</v>
      </c>
      <c r="B2794" t="s">
        <v>39</v>
      </c>
      <c r="C2794" s="3">
        <v>38615</v>
      </c>
      <c r="D2794" s="3">
        <v>38748</v>
      </c>
      <c r="E2794" t="s">
        <v>18</v>
      </c>
      <c r="F2794">
        <v>1</v>
      </c>
      <c r="G2794">
        <v>147420</v>
      </c>
      <c r="H2794">
        <v>147420</v>
      </c>
      <c r="I2794" s="4">
        <v>38686</v>
      </c>
      <c r="J2794" s="5">
        <f t="shared" si="86"/>
        <v>-62</v>
      </c>
      <c r="K2794" s="6" t="str">
        <f t="shared" si="87"/>
        <v>A~0</v>
      </c>
      <c r="L2794" t="str">
        <f>IF(J2794&lt;0,"A~0",VLOOKUP(J2794,[1]作法V!$B$1:$C$9,2,TRUE))</f>
        <v>A~0</v>
      </c>
    </row>
    <row r="2795" spans="1:12">
      <c r="A2795">
        <v>2609</v>
      </c>
      <c r="B2795" t="s">
        <v>39</v>
      </c>
      <c r="C2795" s="3">
        <v>38618</v>
      </c>
      <c r="D2795" s="3">
        <v>38748</v>
      </c>
      <c r="E2795" t="s">
        <v>18</v>
      </c>
      <c r="F2795">
        <v>1</v>
      </c>
      <c r="G2795">
        <v>76403</v>
      </c>
      <c r="H2795">
        <v>76403</v>
      </c>
      <c r="I2795" s="4">
        <v>38686</v>
      </c>
      <c r="J2795" s="5">
        <f t="shared" si="86"/>
        <v>-62</v>
      </c>
      <c r="K2795" s="6" t="str">
        <f t="shared" si="87"/>
        <v>A~0</v>
      </c>
      <c r="L2795" t="str">
        <f>IF(J2795&lt;0,"A~0",VLOOKUP(J2795,[1]作法V!$B$1:$C$9,2,TRUE))</f>
        <v>A~0</v>
      </c>
    </row>
    <row r="2796" spans="1:12">
      <c r="A2796">
        <v>2609</v>
      </c>
      <c r="B2796" t="s">
        <v>39</v>
      </c>
      <c r="C2796" s="3">
        <v>38618</v>
      </c>
      <c r="D2796" s="3">
        <v>38748</v>
      </c>
      <c r="E2796" t="s">
        <v>18</v>
      </c>
      <c r="F2796">
        <v>1</v>
      </c>
      <c r="G2796">
        <v>816407</v>
      </c>
      <c r="H2796">
        <v>816407</v>
      </c>
      <c r="I2796" s="4">
        <v>38686</v>
      </c>
      <c r="J2796" s="5">
        <f t="shared" si="86"/>
        <v>-62</v>
      </c>
      <c r="K2796" s="6" t="str">
        <f t="shared" si="87"/>
        <v>A~0</v>
      </c>
      <c r="L2796" t="str">
        <f>IF(J2796&lt;0,"A~0",VLOOKUP(J2796,[1]作法V!$B$1:$C$9,2,TRUE))</f>
        <v>A~0</v>
      </c>
    </row>
    <row r="2797" spans="1:12">
      <c r="A2797">
        <v>2609</v>
      </c>
      <c r="B2797" t="s">
        <v>39</v>
      </c>
      <c r="C2797" s="3">
        <v>38621</v>
      </c>
      <c r="D2797" s="3">
        <v>38776</v>
      </c>
      <c r="E2797" t="s">
        <v>18</v>
      </c>
      <c r="F2797">
        <v>1</v>
      </c>
      <c r="G2797">
        <v>139860</v>
      </c>
      <c r="H2797">
        <v>139860</v>
      </c>
      <c r="I2797" s="4">
        <v>38686</v>
      </c>
      <c r="J2797" s="5">
        <f t="shared" si="86"/>
        <v>-90</v>
      </c>
      <c r="K2797" s="6" t="str">
        <f t="shared" si="87"/>
        <v>A~0</v>
      </c>
      <c r="L2797" t="str">
        <f>IF(J2797&lt;0,"A~0",VLOOKUP(J2797,[1]作法V!$B$1:$C$9,2,TRUE))</f>
        <v>A~0</v>
      </c>
    </row>
    <row r="2798" spans="1:12">
      <c r="A2798">
        <v>2609</v>
      </c>
      <c r="B2798" t="s">
        <v>39</v>
      </c>
      <c r="C2798" s="3">
        <v>38623</v>
      </c>
      <c r="D2798" s="3">
        <v>38776</v>
      </c>
      <c r="E2798" t="s">
        <v>18</v>
      </c>
      <c r="F2798">
        <v>1</v>
      </c>
      <c r="G2798">
        <v>105840</v>
      </c>
      <c r="H2798">
        <v>105840</v>
      </c>
      <c r="I2798" s="4">
        <v>38686</v>
      </c>
      <c r="J2798" s="5">
        <f t="shared" si="86"/>
        <v>-90</v>
      </c>
      <c r="K2798" s="6" t="str">
        <f t="shared" si="87"/>
        <v>A~0</v>
      </c>
      <c r="L2798" t="str">
        <f>IF(J2798&lt;0,"A~0",VLOOKUP(J2798,[1]作法V!$B$1:$C$9,2,TRUE))</f>
        <v>A~0</v>
      </c>
    </row>
    <row r="2799" spans="1:12">
      <c r="A2799">
        <v>2609</v>
      </c>
      <c r="B2799" t="s">
        <v>39</v>
      </c>
      <c r="C2799" s="3">
        <v>38632</v>
      </c>
      <c r="D2799" s="3">
        <v>38776</v>
      </c>
      <c r="E2799" t="s">
        <v>18</v>
      </c>
      <c r="F2799">
        <v>1</v>
      </c>
      <c r="G2799">
        <v>82950</v>
      </c>
      <c r="H2799">
        <v>82950</v>
      </c>
      <c r="I2799" s="4">
        <v>38686</v>
      </c>
      <c r="J2799" s="5">
        <f t="shared" si="86"/>
        <v>-90</v>
      </c>
      <c r="K2799" s="6" t="str">
        <f t="shared" si="87"/>
        <v>A~0</v>
      </c>
      <c r="L2799" t="str">
        <f>IF(J2799&lt;0,"A~0",VLOOKUP(J2799,[1]作法V!$B$1:$C$9,2,TRUE))</f>
        <v>A~0</v>
      </c>
    </row>
    <row r="2800" spans="1:12">
      <c r="A2800">
        <v>2609</v>
      </c>
      <c r="B2800" t="s">
        <v>39</v>
      </c>
      <c r="C2800" s="3">
        <v>38632</v>
      </c>
      <c r="D2800" s="3">
        <v>38776</v>
      </c>
      <c r="E2800" t="s">
        <v>18</v>
      </c>
      <c r="F2800">
        <v>1</v>
      </c>
      <c r="G2800">
        <v>438480</v>
      </c>
      <c r="H2800">
        <v>438480</v>
      </c>
      <c r="I2800" s="4">
        <v>38686</v>
      </c>
      <c r="J2800" s="5">
        <f t="shared" si="86"/>
        <v>-90</v>
      </c>
      <c r="K2800" s="6" t="str">
        <f t="shared" si="87"/>
        <v>A~0</v>
      </c>
      <c r="L2800" t="str">
        <f>IF(J2800&lt;0,"A~0",VLOOKUP(J2800,[1]作法V!$B$1:$C$9,2,TRUE))</f>
        <v>A~0</v>
      </c>
    </row>
    <row r="2801" spans="1:12">
      <c r="A2801">
        <v>2609</v>
      </c>
      <c r="B2801" t="s">
        <v>39</v>
      </c>
      <c r="C2801" s="3">
        <v>38658</v>
      </c>
      <c r="D2801" s="3">
        <v>38807</v>
      </c>
      <c r="E2801" t="s">
        <v>18</v>
      </c>
      <c r="F2801">
        <v>1</v>
      </c>
      <c r="G2801">
        <v>108000</v>
      </c>
      <c r="H2801">
        <v>108000</v>
      </c>
      <c r="I2801" s="4">
        <v>38686</v>
      </c>
      <c r="J2801" s="5">
        <f t="shared" si="86"/>
        <v>-121</v>
      </c>
      <c r="K2801" s="6" t="str">
        <f t="shared" si="87"/>
        <v>A~0</v>
      </c>
      <c r="L2801" t="str">
        <f>IF(J2801&lt;0,"A~0",VLOOKUP(J2801,[1]作法V!$B$1:$C$9,2,TRUE))</f>
        <v>A~0</v>
      </c>
    </row>
    <row r="2802" spans="1:12">
      <c r="A2802">
        <v>2609</v>
      </c>
      <c r="B2802" t="s">
        <v>39</v>
      </c>
      <c r="C2802" s="3">
        <v>38660</v>
      </c>
      <c r="D2802" s="3">
        <v>38807</v>
      </c>
      <c r="E2802" t="s">
        <v>18</v>
      </c>
      <c r="F2802">
        <v>1</v>
      </c>
      <c r="G2802">
        <v>207900</v>
      </c>
      <c r="H2802">
        <v>207900</v>
      </c>
      <c r="I2802" s="4">
        <v>38686</v>
      </c>
      <c r="J2802" s="5">
        <f t="shared" si="86"/>
        <v>-121</v>
      </c>
      <c r="K2802" s="6" t="str">
        <f t="shared" si="87"/>
        <v>A~0</v>
      </c>
      <c r="L2802" t="str">
        <f>IF(J2802&lt;0,"A~0",VLOOKUP(J2802,[1]作法V!$B$1:$C$9,2,TRUE))</f>
        <v>A~0</v>
      </c>
    </row>
    <row r="2803" spans="1:12">
      <c r="A2803">
        <v>2609</v>
      </c>
      <c r="B2803" t="s">
        <v>39</v>
      </c>
      <c r="C2803" s="3">
        <v>38679</v>
      </c>
      <c r="D2803" s="3">
        <v>38807</v>
      </c>
      <c r="E2803" t="s">
        <v>18</v>
      </c>
      <c r="F2803">
        <v>1</v>
      </c>
      <c r="G2803">
        <v>1208</v>
      </c>
      <c r="H2803">
        <v>1208</v>
      </c>
      <c r="I2803" s="4">
        <v>38686</v>
      </c>
      <c r="J2803" s="5">
        <f t="shared" si="86"/>
        <v>-121</v>
      </c>
      <c r="K2803" s="6" t="str">
        <f t="shared" si="87"/>
        <v>A~0</v>
      </c>
      <c r="L2803" t="str">
        <f>IF(J2803&lt;0,"A~0",VLOOKUP(J2803,[1]作法V!$B$1:$C$9,2,TRUE))</f>
        <v>A~0</v>
      </c>
    </row>
    <row r="2804" spans="1:12">
      <c r="A2804">
        <v>2775</v>
      </c>
      <c r="B2804" t="s">
        <v>38</v>
      </c>
      <c r="C2804" s="3">
        <v>38576</v>
      </c>
      <c r="D2804" s="3">
        <v>38655</v>
      </c>
      <c r="E2804" t="s">
        <v>18</v>
      </c>
      <c r="F2804">
        <v>1</v>
      </c>
      <c r="G2804">
        <v>27090</v>
      </c>
      <c r="H2804">
        <v>27090</v>
      </c>
      <c r="I2804" s="4">
        <v>38686</v>
      </c>
      <c r="J2804" s="5">
        <f t="shared" si="86"/>
        <v>31</v>
      </c>
      <c r="K2804" s="6" t="str">
        <f t="shared" si="87"/>
        <v>C31~60</v>
      </c>
      <c r="L2804" t="str">
        <f>IF(J2804&lt;0,"A~0",VLOOKUP(J2804,[1]作法V!$B$1:$C$9,2,TRUE))</f>
        <v>C31~60</v>
      </c>
    </row>
    <row r="2805" spans="1:12">
      <c r="A2805">
        <v>2775</v>
      </c>
      <c r="B2805" t="s">
        <v>38</v>
      </c>
      <c r="C2805" s="3">
        <v>38651</v>
      </c>
      <c r="D2805" s="3">
        <v>38747</v>
      </c>
      <c r="E2805" t="s">
        <v>18</v>
      </c>
      <c r="F2805">
        <v>1</v>
      </c>
      <c r="G2805">
        <v>20786</v>
      </c>
      <c r="H2805">
        <v>20786</v>
      </c>
      <c r="I2805" s="4">
        <v>38686</v>
      </c>
      <c r="J2805" s="5">
        <f t="shared" si="86"/>
        <v>-61</v>
      </c>
      <c r="K2805" s="6" t="str">
        <f t="shared" si="87"/>
        <v>A~0</v>
      </c>
      <c r="L2805" t="str">
        <f>IF(J2805&lt;0,"A~0",VLOOKUP(J2805,[1]作法V!$B$1:$C$9,2,TRUE))</f>
        <v>A~0</v>
      </c>
    </row>
    <row r="2806" spans="1:12">
      <c r="A2806">
        <v>2775</v>
      </c>
      <c r="B2806" t="s">
        <v>38</v>
      </c>
      <c r="C2806" s="3">
        <v>38671</v>
      </c>
      <c r="D2806" s="3">
        <v>38747</v>
      </c>
      <c r="E2806" t="s">
        <v>18</v>
      </c>
      <c r="F2806">
        <v>1</v>
      </c>
      <c r="G2806">
        <v>20580</v>
      </c>
      <c r="H2806">
        <v>20580</v>
      </c>
      <c r="I2806" s="4">
        <v>38686</v>
      </c>
      <c r="J2806" s="5">
        <f t="shared" si="86"/>
        <v>-61</v>
      </c>
      <c r="K2806" s="6" t="str">
        <f t="shared" si="87"/>
        <v>A~0</v>
      </c>
      <c r="L2806" t="str">
        <f>IF(J2806&lt;0,"A~0",VLOOKUP(J2806,[1]作法V!$B$1:$C$9,2,TRUE))</f>
        <v>A~0</v>
      </c>
    </row>
    <row r="2807" spans="1:12">
      <c r="A2807">
        <v>2793</v>
      </c>
      <c r="B2807" t="s">
        <v>41</v>
      </c>
      <c r="C2807" s="3">
        <v>38548</v>
      </c>
      <c r="D2807" s="3">
        <v>38717</v>
      </c>
      <c r="E2807" t="s">
        <v>17</v>
      </c>
      <c r="F2807">
        <v>31.95</v>
      </c>
      <c r="G2807">
        <v>378</v>
      </c>
      <c r="H2807">
        <v>12077</v>
      </c>
      <c r="I2807" s="4">
        <v>38686</v>
      </c>
      <c r="J2807" s="5">
        <f t="shared" si="86"/>
        <v>-31</v>
      </c>
      <c r="K2807" s="6" t="str">
        <f t="shared" si="87"/>
        <v>A~0</v>
      </c>
      <c r="L2807" t="str">
        <f>IF(J2807&lt;0,"A~0",VLOOKUP(J2807,[1]作法V!$B$1:$C$9,2,TRUE))</f>
        <v>A~0</v>
      </c>
    </row>
    <row r="2808" spans="1:12">
      <c r="A2808">
        <v>2793</v>
      </c>
      <c r="B2808" t="s">
        <v>41</v>
      </c>
      <c r="C2808" s="3">
        <v>38573</v>
      </c>
      <c r="D2808" s="3">
        <v>38748</v>
      </c>
      <c r="E2808" t="s">
        <v>17</v>
      </c>
      <c r="F2808">
        <v>31.684999999999999</v>
      </c>
      <c r="G2808">
        <v>567</v>
      </c>
      <c r="H2808">
        <v>17965</v>
      </c>
      <c r="I2808" s="4">
        <v>38686</v>
      </c>
      <c r="J2808" s="5">
        <f t="shared" si="86"/>
        <v>-62</v>
      </c>
      <c r="K2808" s="6" t="str">
        <f t="shared" si="87"/>
        <v>A~0</v>
      </c>
      <c r="L2808" t="str">
        <f>IF(J2808&lt;0,"A~0",VLOOKUP(J2808,[1]作法V!$B$1:$C$9,2,TRUE))</f>
        <v>A~0</v>
      </c>
    </row>
    <row r="2809" spans="1:12">
      <c r="A2809">
        <v>3235</v>
      </c>
      <c r="B2809" t="s">
        <v>43</v>
      </c>
      <c r="C2809" s="3">
        <v>38643</v>
      </c>
      <c r="D2809" s="3">
        <v>38711</v>
      </c>
      <c r="E2809" t="s">
        <v>18</v>
      </c>
      <c r="F2809">
        <v>1</v>
      </c>
      <c r="G2809">
        <v>3800</v>
      </c>
      <c r="H2809">
        <v>3800</v>
      </c>
      <c r="I2809" s="4">
        <v>38686</v>
      </c>
      <c r="J2809" s="5">
        <f t="shared" si="86"/>
        <v>-25</v>
      </c>
      <c r="K2809" s="6" t="str">
        <f t="shared" si="87"/>
        <v>A~0</v>
      </c>
      <c r="L2809" t="str">
        <f>IF(J2809&lt;0,"A~0",VLOOKUP(J2809,[1]作法V!$B$1:$C$9,2,TRUE))</f>
        <v>A~0</v>
      </c>
    </row>
    <row r="2810" spans="1:12">
      <c r="A2810">
        <v>3235</v>
      </c>
      <c r="B2810" t="s">
        <v>43</v>
      </c>
      <c r="C2810" s="3">
        <v>38646</v>
      </c>
      <c r="D2810" s="3">
        <v>38711</v>
      </c>
      <c r="E2810" t="s">
        <v>18</v>
      </c>
      <c r="F2810">
        <v>1</v>
      </c>
      <c r="G2810">
        <v>56700</v>
      </c>
      <c r="H2810">
        <v>56700</v>
      </c>
      <c r="I2810" s="4">
        <v>38686</v>
      </c>
      <c r="J2810" s="5">
        <f t="shared" si="86"/>
        <v>-25</v>
      </c>
      <c r="K2810" s="6" t="str">
        <f t="shared" si="87"/>
        <v>A~0</v>
      </c>
      <c r="L2810" t="str">
        <f>IF(J2810&lt;0,"A~0",VLOOKUP(J2810,[1]作法V!$B$1:$C$9,2,TRUE))</f>
        <v>A~0</v>
      </c>
    </row>
    <row r="2811" spans="1:12">
      <c r="A2811">
        <v>3458</v>
      </c>
      <c r="B2811" t="s">
        <v>71</v>
      </c>
      <c r="C2811" s="3">
        <v>38254</v>
      </c>
      <c r="D2811" s="3">
        <v>38254</v>
      </c>
      <c r="E2811" t="s">
        <v>18</v>
      </c>
      <c r="F2811">
        <v>1</v>
      </c>
      <c r="G2811">
        <v>12183</v>
      </c>
      <c r="H2811">
        <v>12183</v>
      </c>
      <c r="I2811" s="4">
        <v>38686</v>
      </c>
      <c r="J2811" s="5">
        <f t="shared" si="86"/>
        <v>432</v>
      </c>
      <c r="K2811" s="6" t="str">
        <f t="shared" si="87"/>
        <v>H361~</v>
      </c>
      <c r="L2811" t="str">
        <f>IF(J2811&lt;0,"A~0",VLOOKUP(J2811,[1]作法V!$B$1:$C$9,2,TRUE))</f>
        <v>H361~</v>
      </c>
    </row>
    <row r="2812" spans="1:12">
      <c r="A2812">
        <v>3479</v>
      </c>
      <c r="B2812" t="s">
        <v>97</v>
      </c>
      <c r="C2812" s="3">
        <v>38681</v>
      </c>
      <c r="D2812" s="3">
        <v>38786</v>
      </c>
      <c r="E2812" t="s">
        <v>18</v>
      </c>
      <c r="F2812">
        <v>1</v>
      </c>
      <c r="G2812">
        <v>17738</v>
      </c>
      <c r="H2812">
        <v>17738</v>
      </c>
      <c r="I2812" s="4">
        <v>38686</v>
      </c>
      <c r="J2812" s="5">
        <f t="shared" si="86"/>
        <v>-100</v>
      </c>
      <c r="K2812" s="6" t="str">
        <f t="shared" si="87"/>
        <v>A~0</v>
      </c>
      <c r="L2812" t="str">
        <f>IF(J2812&lt;0,"A~0",VLOOKUP(J2812,[1]作法V!$B$1:$C$9,2,TRUE))</f>
        <v>A~0</v>
      </c>
    </row>
    <row r="2813" spans="1:12">
      <c r="A2813">
        <v>3501</v>
      </c>
      <c r="B2813" t="s">
        <v>96</v>
      </c>
      <c r="C2813" s="3">
        <v>38566</v>
      </c>
      <c r="D2813" s="3">
        <v>38696</v>
      </c>
      <c r="E2813" t="s">
        <v>18</v>
      </c>
      <c r="F2813">
        <v>1</v>
      </c>
      <c r="G2813">
        <v>3413</v>
      </c>
      <c r="H2813">
        <v>3413</v>
      </c>
      <c r="I2813" s="4">
        <v>38686</v>
      </c>
      <c r="J2813" s="5">
        <f t="shared" si="86"/>
        <v>-10</v>
      </c>
      <c r="K2813" s="6" t="str">
        <f t="shared" si="87"/>
        <v>A~0</v>
      </c>
      <c r="L2813" t="str">
        <f>IF(J2813&lt;0,"A~0",VLOOKUP(J2813,[1]作法V!$B$1:$C$9,2,TRUE))</f>
        <v>A~0</v>
      </c>
    </row>
    <row r="2814" spans="1:12">
      <c r="A2814">
        <v>3501</v>
      </c>
      <c r="B2814" t="s">
        <v>96</v>
      </c>
      <c r="C2814" s="3">
        <v>38574</v>
      </c>
      <c r="D2814" s="3">
        <v>38696</v>
      </c>
      <c r="E2814" t="s">
        <v>18</v>
      </c>
      <c r="F2814">
        <v>1</v>
      </c>
      <c r="G2814">
        <v>23688</v>
      </c>
      <c r="H2814">
        <v>23688</v>
      </c>
      <c r="I2814" s="4">
        <v>38686</v>
      </c>
      <c r="J2814" s="5">
        <f t="shared" si="86"/>
        <v>-10</v>
      </c>
      <c r="K2814" s="6" t="str">
        <f t="shared" si="87"/>
        <v>A~0</v>
      </c>
      <c r="L2814" t="str">
        <f>IF(J2814&lt;0,"A~0",VLOOKUP(J2814,[1]作法V!$B$1:$C$9,2,TRUE))</f>
        <v>A~0</v>
      </c>
    </row>
    <row r="2815" spans="1:12">
      <c r="A2815">
        <v>3501</v>
      </c>
      <c r="B2815" t="s">
        <v>96</v>
      </c>
      <c r="C2815" s="3">
        <v>38597</v>
      </c>
      <c r="D2815" s="3">
        <v>38727</v>
      </c>
      <c r="E2815" t="s">
        <v>18</v>
      </c>
      <c r="F2815">
        <v>1</v>
      </c>
      <c r="G2815">
        <v>3885</v>
      </c>
      <c r="H2815">
        <v>2000</v>
      </c>
      <c r="I2815" s="4">
        <v>38686</v>
      </c>
      <c r="J2815" s="5">
        <f t="shared" si="86"/>
        <v>-41</v>
      </c>
      <c r="K2815" s="6" t="str">
        <f t="shared" si="87"/>
        <v>A~0</v>
      </c>
      <c r="L2815" t="str">
        <f>IF(J2815&lt;0,"A~0",VLOOKUP(J2815,[1]作法V!$B$1:$C$9,2,TRUE))</f>
        <v>A~0</v>
      </c>
    </row>
    <row r="2816" spans="1:12">
      <c r="A2816">
        <v>3501</v>
      </c>
      <c r="B2816" t="s">
        <v>96</v>
      </c>
      <c r="C2816" s="3">
        <v>38597</v>
      </c>
      <c r="D2816" s="3">
        <v>38727</v>
      </c>
      <c r="E2816" t="s">
        <v>18</v>
      </c>
      <c r="F2816">
        <v>1</v>
      </c>
      <c r="G2816">
        <v>17766</v>
      </c>
      <c r="H2816">
        <v>17766</v>
      </c>
      <c r="I2816" s="4">
        <v>38686</v>
      </c>
      <c r="J2816" s="5">
        <f t="shared" si="86"/>
        <v>-41</v>
      </c>
      <c r="K2816" s="6" t="str">
        <f t="shared" si="87"/>
        <v>A~0</v>
      </c>
      <c r="L2816" t="str">
        <f>IF(J2816&lt;0,"A~0",VLOOKUP(J2816,[1]作法V!$B$1:$C$9,2,TRUE))</f>
        <v>A~0</v>
      </c>
    </row>
    <row r="2817" spans="1:12">
      <c r="A2817">
        <v>3501</v>
      </c>
      <c r="B2817" t="s">
        <v>96</v>
      </c>
      <c r="C2817" s="3">
        <v>38628</v>
      </c>
      <c r="D2817" s="3">
        <v>38758</v>
      </c>
      <c r="E2817" t="s">
        <v>18</v>
      </c>
      <c r="F2817">
        <v>1</v>
      </c>
      <c r="G2817">
        <v>23688</v>
      </c>
      <c r="H2817">
        <v>23688</v>
      </c>
      <c r="I2817" s="4">
        <v>38686</v>
      </c>
      <c r="J2817" s="5">
        <f t="shared" si="86"/>
        <v>-72</v>
      </c>
      <c r="K2817" s="6" t="str">
        <f t="shared" si="87"/>
        <v>A~0</v>
      </c>
      <c r="L2817" t="str">
        <f>IF(J2817&lt;0,"A~0",VLOOKUP(J2817,[1]作法V!$B$1:$C$9,2,TRUE))</f>
        <v>A~0</v>
      </c>
    </row>
    <row r="2818" spans="1:12">
      <c r="A2818">
        <v>3501</v>
      </c>
      <c r="B2818" t="s">
        <v>96</v>
      </c>
      <c r="C2818" s="3">
        <v>38628</v>
      </c>
      <c r="D2818" s="3">
        <v>38758</v>
      </c>
      <c r="E2818" t="s">
        <v>18</v>
      </c>
      <c r="F2818">
        <v>1</v>
      </c>
      <c r="G2818">
        <v>5460</v>
      </c>
      <c r="H2818">
        <v>5460</v>
      </c>
      <c r="I2818" s="4">
        <v>38686</v>
      </c>
      <c r="J2818" s="5">
        <f t="shared" ref="J2818:J2881" si="88">I2818-D2818</f>
        <v>-72</v>
      </c>
      <c r="K2818" s="6" t="str">
        <f t="shared" ref="K2818:K2881" si="89">IF(J2818&lt;1,"A~0",IF(J2818&lt;31,"B1~30",IF(J2818&lt;61,"C31~60",IF(J2818&lt;91,"D61~90",IF(J2818&lt;121,"E91~120",IF(J2818&lt;181,"F121~180",IF(J2818&lt;361,"G181~360","H361~")))))))</f>
        <v>A~0</v>
      </c>
      <c r="L2818" t="str">
        <f>IF(J2818&lt;0,"A~0",VLOOKUP(J2818,[1]作法V!$B$1:$C$9,2,TRUE))</f>
        <v>A~0</v>
      </c>
    </row>
    <row r="2819" spans="1:12">
      <c r="A2819">
        <v>3501</v>
      </c>
      <c r="B2819" t="s">
        <v>96</v>
      </c>
      <c r="C2819" s="3">
        <v>38628</v>
      </c>
      <c r="D2819" s="3">
        <v>38758</v>
      </c>
      <c r="E2819" t="s">
        <v>18</v>
      </c>
      <c r="F2819">
        <v>1</v>
      </c>
      <c r="G2819">
        <v>8085</v>
      </c>
      <c r="H2819">
        <v>8085</v>
      </c>
      <c r="I2819" s="4">
        <v>38686</v>
      </c>
      <c r="J2819" s="5">
        <f t="shared" si="88"/>
        <v>-72</v>
      </c>
      <c r="K2819" s="6" t="str">
        <f t="shared" si="89"/>
        <v>A~0</v>
      </c>
      <c r="L2819" t="str">
        <f>IF(J2819&lt;0,"A~0",VLOOKUP(J2819,[1]作法V!$B$1:$C$9,2,TRUE))</f>
        <v>A~0</v>
      </c>
    </row>
    <row r="2820" spans="1:12">
      <c r="A2820">
        <v>3544</v>
      </c>
      <c r="B2820" t="s">
        <v>103</v>
      </c>
      <c r="C2820" s="3">
        <v>38657</v>
      </c>
      <c r="D2820" s="3">
        <v>38801</v>
      </c>
      <c r="E2820" t="s">
        <v>18</v>
      </c>
      <c r="F2820">
        <v>1</v>
      </c>
      <c r="G2820">
        <v>25725</v>
      </c>
      <c r="H2820">
        <v>25725</v>
      </c>
      <c r="I2820" s="4">
        <v>38686</v>
      </c>
      <c r="J2820" s="5">
        <f t="shared" si="88"/>
        <v>-115</v>
      </c>
      <c r="K2820" s="6" t="str">
        <f t="shared" si="89"/>
        <v>A~0</v>
      </c>
      <c r="L2820" t="str">
        <f>IF(J2820&lt;0,"A~0",VLOOKUP(J2820,[1]作法V!$B$1:$C$9,2,TRUE))</f>
        <v>A~0</v>
      </c>
    </row>
    <row r="2821" spans="1:12">
      <c r="A2821">
        <v>3544</v>
      </c>
      <c r="B2821" t="s">
        <v>103</v>
      </c>
      <c r="C2821" s="3">
        <v>38671</v>
      </c>
      <c r="D2821" s="3">
        <v>38801</v>
      </c>
      <c r="E2821" t="s">
        <v>18</v>
      </c>
      <c r="F2821">
        <v>1</v>
      </c>
      <c r="G2821">
        <v>7350</v>
      </c>
      <c r="H2821">
        <v>7350</v>
      </c>
      <c r="I2821" s="4">
        <v>38686</v>
      </c>
      <c r="J2821" s="5">
        <f t="shared" si="88"/>
        <v>-115</v>
      </c>
      <c r="K2821" s="6" t="str">
        <f t="shared" si="89"/>
        <v>A~0</v>
      </c>
      <c r="L2821" t="str">
        <f>IF(J2821&lt;0,"A~0",VLOOKUP(J2821,[1]作法V!$B$1:$C$9,2,TRUE))</f>
        <v>A~0</v>
      </c>
    </row>
    <row r="2822" spans="1:12">
      <c r="A2822">
        <v>3544</v>
      </c>
      <c r="B2822" t="s">
        <v>103</v>
      </c>
      <c r="C2822" s="3">
        <v>38678</v>
      </c>
      <c r="D2822" s="3">
        <v>38801</v>
      </c>
      <c r="E2822" t="s">
        <v>18</v>
      </c>
      <c r="F2822">
        <v>1</v>
      </c>
      <c r="G2822">
        <v>5119</v>
      </c>
      <c r="H2822">
        <v>5119</v>
      </c>
      <c r="I2822" s="4">
        <v>38686</v>
      </c>
      <c r="J2822" s="5">
        <f t="shared" si="88"/>
        <v>-115</v>
      </c>
      <c r="K2822" s="6" t="str">
        <f t="shared" si="89"/>
        <v>A~0</v>
      </c>
      <c r="L2822" t="str">
        <f>IF(J2822&lt;0,"A~0",VLOOKUP(J2822,[1]作法V!$B$1:$C$9,2,TRUE))</f>
        <v>A~0</v>
      </c>
    </row>
    <row r="2823" spans="1:12">
      <c r="A2823">
        <v>3544</v>
      </c>
      <c r="B2823" t="s">
        <v>103</v>
      </c>
      <c r="C2823" s="3">
        <v>38680</v>
      </c>
      <c r="D2823" s="3">
        <v>38801</v>
      </c>
      <c r="E2823" t="s">
        <v>18</v>
      </c>
      <c r="F2823">
        <v>1</v>
      </c>
      <c r="G2823">
        <v>5355</v>
      </c>
      <c r="H2823">
        <v>5355</v>
      </c>
      <c r="I2823" s="4">
        <v>38686</v>
      </c>
      <c r="J2823" s="5">
        <f t="shared" si="88"/>
        <v>-115</v>
      </c>
      <c r="K2823" s="6" t="str">
        <f t="shared" si="89"/>
        <v>A~0</v>
      </c>
      <c r="L2823" t="str">
        <f>IF(J2823&lt;0,"A~0",VLOOKUP(J2823,[1]作法V!$B$1:$C$9,2,TRUE))</f>
        <v>A~0</v>
      </c>
    </row>
    <row r="2824" spans="1:12">
      <c r="A2824">
        <v>3544</v>
      </c>
      <c r="B2824" t="s">
        <v>103</v>
      </c>
      <c r="C2824" s="3">
        <v>38684</v>
      </c>
      <c r="D2824" s="3">
        <v>38832</v>
      </c>
      <c r="E2824" t="s">
        <v>18</v>
      </c>
      <c r="F2824">
        <v>1</v>
      </c>
      <c r="G2824">
        <v>2205</v>
      </c>
      <c r="H2824">
        <v>2205</v>
      </c>
      <c r="I2824" s="4">
        <v>38686</v>
      </c>
      <c r="J2824" s="5">
        <f t="shared" si="88"/>
        <v>-146</v>
      </c>
      <c r="K2824" s="6" t="str">
        <f t="shared" si="89"/>
        <v>A~0</v>
      </c>
      <c r="L2824" t="str">
        <f>IF(J2824&lt;0,"A~0",VLOOKUP(J2824,[1]作法V!$B$1:$C$9,2,TRUE))</f>
        <v>A~0</v>
      </c>
    </row>
    <row r="2825" spans="1:12">
      <c r="A2825">
        <v>3544</v>
      </c>
      <c r="B2825" t="s">
        <v>103</v>
      </c>
      <c r="C2825" s="3">
        <v>38684</v>
      </c>
      <c r="D2825" s="3">
        <v>38832</v>
      </c>
      <c r="E2825" t="s">
        <v>18</v>
      </c>
      <c r="F2825">
        <v>1</v>
      </c>
      <c r="G2825">
        <v>5119</v>
      </c>
      <c r="H2825">
        <v>5119</v>
      </c>
      <c r="I2825" s="4">
        <v>38686</v>
      </c>
      <c r="J2825" s="5">
        <f t="shared" si="88"/>
        <v>-146</v>
      </c>
      <c r="K2825" s="6" t="str">
        <f t="shared" si="89"/>
        <v>A~0</v>
      </c>
      <c r="L2825" t="str">
        <f>IF(J2825&lt;0,"A~0",VLOOKUP(J2825,[1]作法V!$B$1:$C$9,2,TRUE))</f>
        <v>A~0</v>
      </c>
    </row>
    <row r="2826" spans="1:12">
      <c r="A2826">
        <v>3544</v>
      </c>
      <c r="B2826" t="s">
        <v>103</v>
      </c>
      <c r="C2826" s="3">
        <v>38686</v>
      </c>
      <c r="D2826" s="3">
        <v>38832</v>
      </c>
      <c r="E2826" t="s">
        <v>18</v>
      </c>
      <c r="F2826">
        <v>1</v>
      </c>
      <c r="G2826">
        <v>4410</v>
      </c>
      <c r="H2826">
        <v>4410</v>
      </c>
      <c r="I2826" s="4">
        <v>38686</v>
      </c>
      <c r="J2826" s="5">
        <f t="shared" si="88"/>
        <v>-146</v>
      </c>
      <c r="K2826" s="6" t="str">
        <f t="shared" si="89"/>
        <v>A~0</v>
      </c>
      <c r="L2826" t="str">
        <f>IF(J2826&lt;0,"A~0",VLOOKUP(J2826,[1]作法V!$B$1:$C$9,2,TRUE))</f>
        <v>A~0</v>
      </c>
    </row>
    <row r="2827" spans="1:12">
      <c r="A2827">
        <v>3545</v>
      </c>
      <c r="B2827" t="s">
        <v>8</v>
      </c>
      <c r="C2827" s="3">
        <v>38636</v>
      </c>
      <c r="D2827" s="3">
        <v>38711</v>
      </c>
      <c r="E2827" t="s">
        <v>18</v>
      </c>
      <c r="F2827">
        <v>1</v>
      </c>
      <c r="G2827">
        <v>1350</v>
      </c>
      <c r="H2827">
        <v>1350</v>
      </c>
      <c r="I2827" s="4">
        <v>38686</v>
      </c>
      <c r="J2827" s="5">
        <f t="shared" si="88"/>
        <v>-25</v>
      </c>
      <c r="K2827" s="6" t="str">
        <f t="shared" si="89"/>
        <v>A~0</v>
      </c>
      <c r="L2827" t="str">
        <f>IF(J2827&lt;0,"A~0",VLOOKUP(J2827,[1]作法V!$B$1:$C$9,2,TRUE))</f>
        <v>A~0</v>
      </c>
    </row>
    <row r="2828" spans="1:12">
      <c r="A2828">
        <v>3545</v>
      </c>
      <c r="B2828" t="s">
        <v>8</v>
      </c>
      <c r="C2828" s="3">
        <v>38678</v>
      </c>
      <c r="D2828" s="3">
        <v>38742</v>
      </c>
      <c r="E2828" t="s">
        <v>18</v>
      </c>
      <c r="F2828">
        <v>1</v>
      </c>
      <c r="G2828">
        <v>8550</v>
      </c>
      <c r="H2828">
        <v>8550</v>
      </c>
      <c r="I2828" s="4">
        <v>38686</v>
      </c>
      <c r="J2828" s="5">
        <f t="shared" si="88"/>
        <v>-56</v>
      </c>
      <c r="K2828" s="6" t="str">
        <f t="shared" si="89"/>
        <v>A~0</v>
      </c>
      <c r="L2828" t="str">
        <f>IF(J2828&lt;0,"A~0",VLOOKUP(J2828,[1]作法V!$B$1:$C$9,2,TRUE))</f>
        <v>A~0</v>
      </c>
    </row>
    <row r="2829" spans="1:12">
      <c r="A2829">
        <v>3567</v>
      </c>
      <c r="B2829" t="s">
        <v>45</v>
      </c>
      <c r="C2829" s="3">
        <v>38530</v>
      </c>
      <c r="D2829" s="3">
        <v>38650</v>
      </c>
      <c r="E2829" t="s">
        <v>19</v>
      </c>
      <c r="F2829">
        <v>4.01</v>
      </c>
      <c r="G2829">
        <v>70380</v>
      </c>
      <c r="H2829">
        <v>282224</v>
      </c>
      <c r="I2829" s="4">
        <v>38686</v>
      </c>
      <c r="J2829" s="5">
        <f t="shared" si="88"/>
        <v>36</v>
      </c>
      <c r="K2829" s="6" t="str">
        <f t="shared" si="89"/>
        <v>C31~60</v>
      </c>
      <c r="L2829" t="str">
        <f>IF(J2829&lt;0,"A~0",VLOOKUP(J2829,[1]作法V!$B$1:$C$9,2,TRUE))</f>
        <v>C31~60</v>
      </c>
    </row>
    <row r="2830" spans="1:12">
      <c r="A2830">
        <v>3567</v>
      </c>
      <c r="B2830" t="s">
        <v>45</v>
      </c>
      <c r="C2830" s="3">
        <v>38562</v>
      </c>
      <c r="D2830" s="3">
        <v>38681</v>
      </c>
      <c r="E2830" t="s">
        <v>19</v>
      </c>
      <c r="F2830">
        <v>4.077</v>
      </c>
      <c r="G2830">
        <v>2760</v>
      </c>
      <c r="H2830">
        <v>11253</v>
      </c>
      <c r="I2830" s="4">
        <v>38686</v>
      </c>
      <c r="J2830" s="5">
        <f t="shared" si="88"/>
        <v>5</v>
      </c>
      <c r="K2830" s="6" t="str">
        <f t="shared" si="89"/>
        <v>B1~30</v>
      </c>
      <c r="L2830" t="str">
        <f>IF(J2830&lt;0,"A~0",VLOOKUP(J2830,[1]作法V!$B$1:$C$9,2,TRUE))</f>
        <v>B1~30</v>
      </c>
    </row>
    <row r="2831" spans="1:12">
      <c r="A2831">
        <v>3567</v>
      </c>
      <c r="B2831" t="s">
        <v>45</v>
      </c>
      <c r="C2831" s="3">
        <v>38586</v>
      </c>
      <c r="D2831" s="3">
        <v>38711</v>
      </c>
      <c r="E2831" t="s">
        <v>19</v>
      </c>
      <c r="F2831">
        <v>4.0839999999999996</v>
      </c>
      <c r="G2831">
        <v>69000</v>
      </c>
      <c r="H2831">
        <v>281796</v>
      </c>
      <c r="I2831" s="4">
        <v>38686</v>
      </c>
      <c r="J2831" s="5">
        <f t="shared" si="88"/>
        <v>-25</v>
      </c>
      <c r="K2831" s="6" t="str">
        <f t="shared" si="89"/>
        <v>A~0</v>
      </c>
      <c r="L2831" t="str">
        <f>IF(J2831&lt;0,"A~0",VLOOKUP(J2831,[1]作法V!$B$1:$C$9,2,TRUE))</f>
        <v>A~0</v>
      </c>
    </row>
    <row r="2832" spans="1:12">
      <c r="A2832">
        <v>3587</v>
      </c>
      <c r="B2832" t="s">
        <v>44</v>
      </c>
      <c r="C2832" s="3">
        <v>38657</v>
      </c>
      <c r="D2832" s="3">
        <v>38753</v>
      </c>
      <c r="E2832" t="s">
        <v>18</v>
      </c>
      <c r="F2832">
        <v>1</v>
      </c>
      <c r="G2832">
        <v>86625</v>
      </c>
      <c r="H2832">
        <v>86625</v>
      </c>
      <c r="I2832" s="4">
        <v>38686</v>
      </c>
      <c r="J2832" s="5">
        <f t="shared" si="88"/>
        <v>-67</v>
      </c>
      <c r="K2832" s="6" t="str">
        <f t="shared" si="89"/>
        <v>A~0</v>
      </c>
      <c r="L2832" t="str">
        <f>IF(J2832&lt;0,"A~0",VLOOKUP(J2832,[1]作法V!$B$1:$C$9,2,TRUE))</f>
        <v>A~0</v>
      </c>
    </row>
    <row r="2833" spans="1:12">
      <c r="A2833">
        <v>3728</v>
      </c>
      <c r="B2833" t="s">
        <v>46</v>
      </c>
      <c r="C2833" s="3">
        <v>38651</v>
      </c>
      <c r="D2833" s="3">
        <v>38737</v>
      </c>
      <c r="E2833" t="s">
        <v>17</v>
      </c>
      <c r="F2833">
        <v>33.4</v>
      </c>
      <c r="G2833">
        <v>119.92</v>
      </c>
      <c r="H2833">
        <v>4005</v>
      </c>
      <c r="I2833" s="4">
        <v>38686</v>
      </c>
      <c r="J2833" s="5">
        <f t="shared" si="88"/>
        <v>-51</v>
      </c>
      <c r="K2833" s="6" t="str">
        <f t="shared" si="89"/>
        <v>A~0</v>
      </c>
      <c r="L2833" t="str">
        <f>IF(J2833&lt;0,"A~0",VLOOKUP(J2833,[1]作法V!$B$1:$C$9,2,TRUE))</f>
        <v>A~0</v>
      </c>
    </row>
    <row r="2834" spans="1:12">
      <c r="A2834">
        <v>3768</v>
      </c>
      <c r="B2834" t="s">
        <v>48</v>
      </c>
      <c r="C2834" s="3">
        <v>38359</v>
      </c>
      <c r="D2834" s="3">
        <v>38482</v>
      </c>
      <c r="E2834" t="s">
        <v>17</v>
      </c>
      <c r="F2834">
        <v>32.14</v>
      </c>
      <c r="G2834">
        <v>369.2</v>
      </c>
      <c r="H2834">
        <v>11866</v>
      </c>
      <c r="I2834" s="4">
        <v>38686</v>
      </c>
      <c r="J2834" s="5">
        <f t="shared" si="88"/>
        <v>204</v>
      </c>
      <c r="K2834" s="6" t="str">
        <f t="shared" si="89"/>
        <v>G181~360</v>
      </c>
      <c r="L2834" t="str">
        <f>IF(J2834&lt;0,"A~0",VLOOKUP(J2834,[1]作法V!$B$1:$C$9,2,TRUE))</f>
        <v>G181~360</v>
      </c>
    </row>
    <row r="2835" spans="1:12">
      <c r="A2835">
        <v>3788</v>
      </c>
      <c r="B2835" t="s">
        <v>49</v>
      </c>
      <c r="C2835" s="3">
        <v>38349</v>
      </c>
      <c r="D2835" s="3">
        <v>38426</v>
      </c>
      <c r="E2835" t="s">
        <v>17</v>
      </c>
      <c r="F2835">
        <v>32.375</v>
      </c>
      <c r="G2835">
        <v>498.36</v>
      </c>
      <c r="H2835">
        <v>16134</v>
      </c>
      <c r="I2835" s="4">
        <v>38686</v>
      </c>
      <c r="J2835" s="5">
        <f t="shared" si="88"/>
        <v>260</v>
      </c>
      <c r="K2835" s="6" t="str">
        <f t="shared" si="89"/>
        <v>G181~360</v>
      </c>
      <c r="L2835" t="str">
        <f>IF(J2835&lt;0,"A~0",VLOOKUP(J2835,[1]作法V!$B$1:$C$9,2,TRUE))</f>
        <v>G181~360</v>
      </c>
    </row>
    <row r="2836" spans="1:12">
      <c r="A2836">
        <v>3788</v>
      </c>
      <c r="B2836" t="s">
        <v>49</v>
      </c>
      <c r="C2836" s="3">
        <v>38349</v>
      </c>
      <c r="D2836" s="3">
        <v>38426</v>
      </c>
      <c r="E2836" t="s">
        <v>17</v>
      </c>
      <c r="F2836">
        <v>32.375</v>
      </c>
      <c r="G2836">
        <v>693.93</v>
      </c>
      <c r="H2836">
        <v>22466</v>
      </c>
      <c r="I2836" s="4">
        <v>38686</v>
      </c>
      <c r="J2836" s="5">
        <f t="shared" si="88"/>
        <v>260</v>
      </c>
      <c r="K2836" s="6" t="str">
        <f t="shared" si="89"/>
        <v>G181~360</v>
      </c>
      <c r="L2836" t="str">
        <f>IF(J2836&lt;0,"A~0",VLOOKUP(J2836,[1]作法V!$B$1:$C$9,2,TRUE))</f>
        <v>G181~360</v>
      </c>
    </row>
    <row r="2837" spans="1:12">
      <c r="A2837">
        <v>3788</v>
      </c>
      <c r="B2837" t="s">
        <v>49</v>
      </c>
      <c r="C2837" s="3">
        <v>38349</v>
      </c>
      <c r="D2837" s="3">
        <v>38426</v>
      </c>
      <c r="E2837" t="s">
        <v>17</v>
      </c>
      <c r="F2837">
        <v>32.375</v>
      </c>
      <c r="G2837">
        <v>958.79</v>
      </c>
      <c r="H2837">
        <v>31041</v>
      </c>
      <c r="I2837" s="4">
        <v>38686</v>
      </c>
      <c r="J2837" s="5">
        <f t="shared" si="88"/>
        <v>260</v>
      </c>
      <c r="K2837" s="6" t="str">
        <f t="shared" si="89"/>
        <v>G181~360</v>
      </c>
      <c r="L2837" t="str">
        <f>IF(J2837&lt;0,"A~0",VLOOKUP(J2837,[1]作法V!$B$1:$C$9,2,TRUE))</f>
        <v>G181~360</v>
      </c>
    </row>
    <row r="2838" spans="1:12">
      <c r="A2838">
        <v>3788</v>
      </c>
      <c r="B2838" t="s">
        <v>49</v>
      </c>
      <c r="C2838" s="3">
        <v>38349</v>
      </c>
      <c r="D2838" s="3">
        <v>38426</v>
      </c>
      <c r="E2838" t="s">
        <v>17</v>
      </c>
      <c r="F2838">
        <v>32.375</v>
      </c>
      <c r="G2838">
        <v>63.14</v>
      </c>
      <c r="H2838">
        <v>2044</v>
      </c>
      <c r="I2838" s="4">
        <v>38686</v>
      </c>
      <c r="J2838" s="5">
        <f t="shared" si="88"/>
        <v>260</v>
      </c>
      <c r="K2838" s="6" t="str">
        <f t="shared" si="89"/>
        <v>G181~360</v>
      </c>
      <c r="L2838" t="str">
        <f>IF(J2838&lt;0,"A~0",VLOOKUP(J2838,[1]作法V!$B$1:$C$9,2,TRUE))</f>
        <v>G181~360</v>
      </c>
    </row>
    <row r="2839" spans="1:12">
      <c r="A2839">
        <v>3788</v>
      </c>
      <c r="B2839" t="s">
        <v>49</v>
      </c>
      <c r="C2839" s="3">
        <v>38349</v>
      </c>
      <c r="D2839" s="3">
        <v>38426</v>
      </c>
      <c r="E2839" t="s">
        <v>17</v>
      </c>
      <c r="F2839">
        <v>32.375</v>
      </c>
      <c r="G2839">
        <v>47.36</v>
      </c>
      <c r="H2839">
        <v>1533</v>
      </c>
      <c r="I2839" s="4">
        <v>38686</v>
      </c>
      <c r="J2839" s="5">
        <f t="shared" si="88"/>
        <v>260</v>
      </c>
      <c r="K2839" s="6" t="str">
        <f t="shared" si="89"/>
        <v>G181~360</v>
      </c>
      <c r="L2839" t="str">
        <f>IF(J2839&lt;0,"A~0",VLOOKUP(J2839,[1]作法V!$B$1:$C$9,2,TRUE))</f>
        <v>G181~360</v>
      </c>
    </row>
    <row r="2840" spans="1:12">
      <c r="A2840">
        <v>3788</v>
      </c>
      <c r="B2840" t="s">
        <v>49</v>
      </c>
      <c r="C2840" s="3">
        <v>38349</v>
      </c>
      <c r="D2840" s="3">
        <v>38426</v>
      </c>
      <c r="E2840" t="s">
        <v>17</v>
      </c>
      <c r="F2840">
        <v>32.375</v>
      </c>
      <c r="G2840">
        <v>227.14</v>
      </c>
      <c r="H2840">
        <v>7354</v>
      </c>
      <c r="I2840" s="4">
        <v>38686</v>
      </c>
      <c r="J2840" s="5">
        <f t="shared" si="88"/>
        <v>260</v>
      </c>
      <c r="K2840" s="6" t="str">
        <f t="shared" si="89"/>
        <v>G181~360</v>
      </c>
      <c r="L2840" t="str">
        <f>IF(J2840&lt;0,"A~0",VLOOKUP(J2840,[1]作法V!$B$1:$C$9,2,TRUE))</f>
        <v>G181~360</v>
      </c>
    </row>
    <row r="2841" spans="1:12">
      <c r="A2841">
        <v>3788</v>
      </c>
      <c r="B2841" t="s">
        <v>49</v>
      </c>
      <c r="C2841" s="3">
        <v>38349</v>
      </c>
      <c r="D2841" s="3">
        <v>38426</v>
      </c>
      <c r="E2841" t="s">
        <v>17</v>
      </c>
      <c r="F2841">
        <v>32.375</v>
      </c>
      <c r="G2841">
        <v>37.93</v>
      </c>
      <c r="H2841">
        <v>1228</v>
      </c>
      <c r="I2841" s="4">
        <v>38686</v>
      </c>
      <c r="J2841" s="5">
        <f t="shared" si="88"/>
        <v>260</v>
      </c>
      <c r="K2841" s="6" t="str">
        <f t="shared" si="89"/>
        <v>G181~360</v>
      </c>
      <c r="L2841" t="str">
        <f>IF(J2841&lt;0,"A~0",VLOOKUP(J2841,[1]作法V!$B$1:$C$9,2,TRUE))</f>
        <v>G181~360</v>
      </c>
    </row>
    <row r="2842" spans="1:12">
      <c r="A2842">
        <v>3788</v>
      </c>
      <c r="B2842" t="s">
        <v>49</v>
      </c>
      <c r="C2842" s="3">
        <v>38349</v>
      </c>
      <c r="D2842" s="3">
        <v>38426</v>
      </c>
      <c r="E2842" t="s">
        <v>17</v>
      </c>
      <c r="F2842">
        <v>32.375</v>
      </c>
      <c r="G2842">
        <v>452.2</v>
      </c>
      <c r="H2842">
        <v>14640</v>
      </c>
      <c r="I2842" s="4">
        <v>38686</v>
      </c>
      <c r="J2842" s="5">
        <f t="shared" si="88"/>
        <v>260</v>
      </c>
      <c r="K2842" s="6" t="str">
        <f t="shared" si="89"/>
        <v>G181~360</v>
      </c>
      <c r="L2842" t="str">
        <f>IF(J2842&lt;0,"A~0",VLOOKUP(J2842,[1]作法V!$B$1:$C$9,2,TRUE))</f>
        <v>G181~360</v>
      </c>
    </row>
    <row r="2843" spans="1:12">
      <c r="A2843">
        <v>3788</v>
      </c>
      <c r="B2843" t="s">
        <v>49</v>
      </c>
      <c r="C2843" s="3">
        <v>38349</v>
      </c>
      <c r="D2843" s="3">
        <v>38426</v>
      </c>
      <c r="E2843" t="s">
        <v>17</v>
      </c>
      <c r="F2843">
        <v>32.375</v>
      </c>
      <c r="G2843">
        <v>419.43</v>
      </c>
      <c r="H2843">
        <v>13579</v>
      </c>
      <c r="I2843" s="4">
        <v>38686</v>
      </c>
      <c r="J2843" s="5">
        <f t="shared" si="88"/>
        <v>260</v>
      </c>
      <c r="K2843" s="6" t="str">
        <f t="shared" si="89"/>
        <v>G181~360</v>
      </c>
      <c r="L2843" t="str">
        <f>IF(J2843&lt;0,"A~0",VLOOKUP(J2843,[1]作法V!$B$1:$C$9,2,TRUE))</f>
        <v>G181~360</v>
      </c>
    </row>
    <row r="2844" spans="1:12">
      <c r="A2844">
        <v>3788</v>
      </c>
      <c r="B2844" t="s">
        <v>49</v>
      </c>
      <c r="C2844" s="3">
        <v>38349</v>
      </c>
      <c r="D2844" s="3">
        <v>38426</v>
      </c>
      <c r="E2844" t="s">
        <v>17</v>
      </c>
      <c r="F2844">
        <v>32.375</v>
      </c>
      <c r="G2844">
        <v>18.86</v>
      </c>
      <c r="H2844">
        <v>611</v>
      </c>
      <c r="I2844" s="4">
        <v>38686</v>
      </c>
      <c r="J2844" s="5">
        <f t="shared" si="88"/>
        <v>260</v>
      </c>
      <c r="K2844" s="6" t="str">
        <f t="shared" si="89"/>
        <v>G181~360</v>
      </c>
      <c r="L2844" t="str">
        <f>IF(J2844&lt;0,"A~0",VLOOKUP(J2844,[1]作法V!$B$1:$C$9,2,TRUE))</f>
        <v>G181~360</v>
      </c>
    </row>
    <row r="2845" spans="1:12">
      <c r="A2845">
        <v>3788</v>
      </c>
      <c r="B2845" t="s">
        <v>49</v>
      </c>
      <c r="C2845" s="3">
        <v>38349</v>
      </c>
      <c r="D2845" s="3">
        <v>38426</v>
      </c>
      <c r="E2845" t="s">
        <v>17</v>
      </c>
      <c r="F2845">
        <v>32.375</v>
      </c>
      <c r="G2845">
        <v>914.71</v>
      </c>
      <c r="H2845">
        <v>29614</v>
      </c>
      <c r="I2845" s="4">
        <v>38686</v>
      </c>
      <c r="J2845" s="5">
        <f t="shared" si="88"/>
        <v>260</v>
      </c>
      <c r="K2845" s="6" t="str">
        <f t="shared" si="89"/>
        <v>G181~360</v>
      </c>
      <c r="L2845" t="str">
        <f>IF(J2845&lt;0,"A~0",VLOOKUP(J2845,[1]作法V!$B$1:$C$9,2,TRUE))</f>
        <v>G181~360</v>
      </c>
    </row>
    <row r="2846" spans="1:12">
      <c r="A2846">
        <v>3788</v>
      </c>
      <c r="B2846" t="s">
        <v>49</v>
      </c>
      <c r="C2846" s="3">
        <v>38349</v>
      </c>
      <c r="D2846" s="3">
        <v>38426</v>
      </c>
      <c r="E2846" t="s">
        <v>17</v>
      </c>
      <c r="F2846">
        <v>32.375</v>
      </c>
      <c r="G2846">
        <v>252.36</v>
      </c>
      <c r="H2846">
        <v>8170</v>
      </c>
      <c r="I2846" s="4">
        <v>38686</v>
      </c>
      <c r="J2846" s="5">
        <f t="shared" si="88"/>
        <v>260</v>
      </c>
      <c r="K2846" s="6" t="str">
        <f t="shared" si="89"/>
        <v>G181~360</v>
      </c>
      <c r="L2846" t="str">
        <f>IF(J2846&lt;0,"A~0",VLOOKUP(J2846,[1]作法V!$B$1:$C$9,2,TRUE))</f>
        <v>G181~360</v>
      </c>
    </row>
    <row r="2847" spans="1:12">
      <c r="A2847">
        <v>3788</v>
      </c>
      <c r="B2847" t="s">
        <v>49</v>
      </c>
      <c r="C2847" s="3">
        <v>38355</v>
      </c>
      <c r="D2847" s="3">
        <v>38426</v>
      </c>
      <c r="E2847" t="s">
        <v>17</v>
      </c>
      <c r="F2847">
        <v>32.14</v>
      </c>
      <c r="G2847">
        <v>473.14</v>
      </c>
      <c r="H2847">
        <v>15207</v>
      </c>
      <c r="I2847" s="4">
        <v>38686</v>
      </c>
      <c r="J2847" s="5">
        <f t="shared" si="88"/>
        <v>260</v>
      </c>
      <c r="K2847" s="6" t="str">
        <f t="shared" si="89"/>
        <v>G181~360</v>
      </c>
      <c r="L2847" t="str">
        <f>IF(J2847&lt;0,"A~0",VLOOKUP(J2847,[1]作法V!$B$1:$C$9,2,TRUE))</f>
        <v>G181~360</v>
      </c>
    </row>
    <row r="2848" spans="1:12">
      <c r="A2848">
        <v>3788</v>
      </c>
      <c r="B2848" t="s">
        <v>49</v>
      </c>
      <c r="C2848" s="3">
        <v>38365</v>
      </c>
      <c r="D2848" s="3">
        <v>38426</v>
      </c>
      <c r="E2848" t="s">
        <v>17</v>
      </c>
      <c r="F2848">
        <v>31.97</v>
      </c>
      <c r="G2848">
        <v>77.52</v>
      </c>
      <c r="H2848">
        <v>2478</v>
      </c>
      <c r="I2848" s="4">
        <v>38686</v>
      </c>
      <c r="J2848" s="5">
        <f t="shared" si="88"/>
        <v>260</v>
      </c>
      <c r="K2848" s="6" t="str">
        <f t="shared" si="89"/>
        <v>G181~360</v>
      </c>
      <c r="L2848" t="str">
        <f>IF(J2848&lt;0,"A~0",VLOOKUP(J2848,[1]作法V!$B$1:$C$9,2,TRUE))</f>
        <v>G181~360</v>
      </c>
    </row>
    <row r="2849" spans="1:12">
      <c r="A2849">
        <v>3788</v>
      </c>
      <c r="B2849" t="s">
        <v>49</v>
      </c>
      <c r="C2849" s="3">
        <v>38366</v>
      </c>
      <c r="D2849" s="3">
        <v>38426</v>
      </c>
      <c r="E2849" t="s">
        <v>17</v>
      </c>
      <c r="F2849">
        <v>31.97</v>
      </c>
      <c r="G2849">
        <v>1047.1400000000001</v>
      </c>
      <c r="H2849">
        <v>33477</v>
      </c>
      <c r="I2849" s="4">
        <v>38686</v>
      </c>
      <c r="J2849" s="5">
        <f t="shared" si="88"/>
        <v>260</v>
      </c>
      <c r="K2849" s="6" t="str">
        <f t="shared" si="89"/>
        <v>G181~360</v>
      </c>
      <c r="L2849" t="str">
        <f>IF(J2849&lt;0,"A~0",VLOOKUP(J2849,[1]作法V!$B$1:$C$9,2,TRUE))</f>
        <v>G181~360</v>
      </c>
    </row>
    <row r="2850" spans="1:12">
      <c r="A2850">
        <v>3809</v>
      </c>
      <c r="B2850" t="s">
        <v>50</v>
      </c>
      <c r="C2850" s="3">
        <v>38679</v>
      </c>
      <c r="D2850" s="3">
        <v>38679</v>
      </c>
      <c r="E2850" t="s">
        <v>17</v>
      </c>
      <c r="F2850">
        <v>33.409999999999997</v>
      </c>
      <c r="G2850">
        <v>26000</v>
      </c>
      <c r="H2850">
        <v>868660</v>
      </c>
      <c r="I2850" s="4">
        <v>38686</v>
      </c>
      <c r="J2850" s="5">
        <f t="shared" si="88"/>
        <v>7</v>
      </c>
      <c r="K2850" s="6" t="str">
        <f t="shared" si="89"/>
        <v>B1~30</v>
      </c>
      <c r="L2850" t="str">
        <f>IF(J2850&lt;0,"A~0",VLOOKUP(J2850,[1]作法V!$B$1:$C$9,2,TRUE))</f>
        <v>B1~30</v>
      </c>
    </row>
    <row r="2851" spans="1:12">
      <c r="A2851">
        <v>3809</v>
      </c>
      <c r="B2851" t="s">
        <v>50</v>
      </c>
      <c r="C2851" s="3">
        <v>38684</v>
      </c>
      <c r="D2851" s="3">
        <v>38684</v>
      </c>
      <c r="E2851" t="s">
        <v>17</v>
      </c>
      <c r="F2851">
        <v>33.409999999999997</v>
      </c>
      <c r="G2851">
        <v>7000</v>
      </c>
      <c r="H2851">
        <v>233870</v>
      </c>
      <c r="I2851" s="4">
        <v>38686</v>
      </c>
      <c r="J2851" s="5">
        <f t="shared" si="88"/>
        <v>2</v>
      </c>
      <c r="K2851" s="6" t="str">
        <f t="shared" si="89"/>
        <v>B1~30</v>
      </c>
      <c r="L2851" t="str">
        <f>IF(J2851&lt;0,"A~0",VLOOKUP(J2851,[1]作法V!$B$1:$C$9,2,TRUE))</f>
        <v>B1~30</v>
      </c>
    </row>
    <row r="2852" spans="1:12">
      <c r="A2852">
        <v>3809</v>
      </c>
      <c r="B2852" t="s">
        <v>50</v>
      </c>
      <c r="C2852" s="3">
        <v>38684</v>
      </c>
      <c r="D2852" s="3">
        <v>38684</v>
      </c>
      <c r="E2852" t="s">
        <v>17</v>
      </c>
      <c r="F2852">
        <v>33.409999999999997</v>
      </c>
      <c r="G2852">
        <v>500</v>
      </c>
      <c r="H2852">
        <v>16705</v>
      </c>
      <c r="I2852" s="4">
        <v>38686</v>
      </c>
      <c r="J2852" s="5">
        <f t="shared" si="88"/>
        <v>2</v>
      </c>
      <c r="K2852" s="6" t="str">
        <f t="shared" si="89"/>
        <v>B1~30</v>
      </c>
      <c r="L2852" t="str">
        <f>IF(J2852&lt;0,"A~0",VLOOKUP(J2852,[1]作法V!$B$1:$C$9,2,TRUE))</f>
        <v>B1~30</v>
      </c>
    </row>
    <row r="2853" spans="1:12">
      <c r="A2853">
        <v>4248</v>
      </c>
      <c r="B2853" t="s">
        <v>51</v>
      </c>
      <c r="C2853" s="3">
        <v>38597</v>
      </c>
      <c r="D2853" s="3">
        <v>38722</v>
      </c>
      <c r="E2853" t="s">
        <v>18</v>
      </c>
      <c r="F2853">
        <v>1</v>
      </c>
      <c r="G2853">
        <v>82026</v>
      </c>
      <c r="H2853">
        <v>82026</v>
      </c>
      <c r="I2853" s="4">
        <v>38686</v>
      </c>
      <c r="J2853" s="5">
        <f t="shared" si="88"/>
        <v>-36</v>
      </c>
      <c r="K2853" s="6" t="str">
        <f t="shared" si="89"/>
        <v>A~0</v>
      </c>
      <c r="L2853" t="str">
        <f>IF(J2853&lt;0,"A~0",VLOOKUP(J2853,[1]作法V!$B$1:$C$9,2,TRUE))</f>
        <v>A~0</v>
      </c>
    </row>
    <row r="2854" spans="1:12">
      <c r="A2854">
        <v>4248</v>
      </c>
      <c r="B2854" t="s">
        <v>51</v>
      </c>
      <c r="C2854" s="3">
        <v>38607</v>
      </c>
      <c r="D2854" s="3">
        <v>38722</v>
      </c>
      <c r="E2854" t="s">
        <v>18</v>
      </c>
      <c r="F2854">
        <v>1</v>
      </c>
      <c r="G2854">
        <v>58590</v>
      </c>
      <c r="H2854">
        <v>58590</v>
      </c>
      <c r="I2854" s="4">
        <v>38686</v>
      </c>
      <c r="J2854" s="5">
        <f t="shared" si="88"/>
        <v>-36</v>
      </c>
      <c r="K2854" s="6" t="str">
        <f t="shared" si="89"/>
        <v>A~0</v>
      </c>
      <c r="L2854" t="str">
        <f>IF(J2854&lt;0,"A~0",VLOOKUP(J2854,[1]作法V!$B$1:$C$9,2,TRUE))</f>
        <v>A~0</v>
      </c>
    </row>
    <row r="2855" spans="1:12">
      <c r="A2855">
        <v>4248</v>
      </c>
      <c r="B2855" t="s">
        <v>51</v>
      </c>
      <c r="C2855" s="3">
        <v>38608</v>
      </c>
      <c r="D2855" s="3">
        <v>38722</v>
      </c>
      <c r="E2855" t="s">
        <v>18</v>
      </c>
      <c r="F2855">
        <v>1</v>
      </c>
      <c r="G2855">
        <v>52731</v>
      </c>
      <c r="H2855">
        <v>52731</v>
      </c>
      <c r="I2855" s="4">
        <v>38686</v>
      </c>
      <c r="J2855" s="5">
        <f t="shared" si="88"/>
        <v>-36</v>
      </c>
      <c r="K2855" s="6" t="str">
        <f t="shared" si="89"/>
        <v>A~0</v>
      </c>
      <c r="L2855" t="str">
        <f>IF(J2855&lt;0,"A~0",VLOOKUP(J2855,[1]作法V!$B$1:$C$9,2,TRUE))</f>
        <v>A~0</v>
      </c>
    </row>
    <row r="2856" spans="1:12">
      <c r="A2856">
        <v>4248</v>
      </c>
      <c r="B2856" t="s">
        <v>51</v>
      </c>
      <c r="C2856" s="3">
        <v>38618</v>
      </c>
      <c r="D2856" s="3">
        <v>38722</v>
      </c>
      <c r="E2856" t="s">
        <v>18</v>
      </c>
      <c r="F2856">
        <v>1</v>
      </c>
      <c r="G2856">
        <v>101947</v>
      </c>
      <c r="H2856">
        <v>101947</v>
      </c>
      <c r="I2856" s="4">
        <v>38686</v>
      </c>
      <c r="J2856" s="5">
        <f t="shared" si="88"/>
        <v>-36</v>
      </c>
      <c r="K2856" s="6" t="str">
        <f t="shared" si="89"/>
        <v>A~0</v>
      </c>
      <c r="L2856" t="str">
        <f>IF(J2856&lt;0,"A~0",VLOOKUP(J2856,[1]作法V!$B$1:$C$9,2,TRUE))</f>
        <v>A~0</v>
      </c>
    </row>
    <row r="2857" spans="1:12">
      <c r="A2857">
        <v>4248</v>
      </c>
      <c r="B2857" t="s">
        <v>51</v>
      </c>
      <c r="C2857" s="3">
        <v>38622</v>
      </c>
      <c r="D2857" s="3">
        <v>38753</v>
      </c>
      <c r="E2857" t="s">
        <v>18</v>
      </c>
      <c r="F2857">
        <v>1</v>
      </c>
      <c r="G2857">
        <v>79682</v>
      </c>
      <c r="H2857">
        <v>79682</v>
      </c>
      <c r="I2857" s="4">
        <v>38686</v>
      </c>
      <c r="J2857" s="5">
        <f t="shared" si="88"/>
        <v>-67</v>
      </c>
      <c r="K2857" s="6" t="str">
        <f t="shared" si="89"/>
        <v>A~0</v>
      </c>
      <c r="L2857" t="str">
        <f>IF(J2857&lt;0,"A~0",VLOOKUP(J2857,[1]作法V!$B$1:$C$9,2,TRUE))</f>
        <v>A~0</v>
      </c>
    </row>
    <row r="2858" spans="1:12">
      <c r="A2858">
        <v>4248</v>
      </c>
      <c r="B2858" t="s">
        <v>51</v>
      </c>
      <c r="C2858" s="3">
        <v>38644</v>
      </c>
      <c r="D2858" s="3">
        <v>38753</v>
      </c>
      <c r="E2858" t="s">
        <v>18</v>
      </c>
      <c r="F2858">
        <v>1</v>
      </c>
      <c r="G2858">
        <v>52731</v>
      </c>
      <c r="H2858">
        <v>52731</v>
      </c>
      <c r="I2858" s="4">
        <v>38686</v>
      </c>
      <c r="J2858" s="5">
        <f t="shared" si="88"/>
        <v>-67</v>
      </c>
      <c r="K2858" s="6" t="str">
        <f t="shared" si="89"/>
        <v>A~0</v>
      </c>
      <c r="L2858" t="str">
        <f>IF(J2858&lt;0,"A~0",VLOOKUP(J2858,[1]作法V!$B$1:$C$9,2,TRUE))</f>
        <v>A~0</v>
      </c>
    </row>
    <row r="2859" spans="1:12">
      <c r="A2859">
        <v>4248</v>
      </c>
      <c r="B2859" t="s">
        <v>51</v>
      </c>
      <c r="C2859" s="3">
        <v>38646</v>
      </c>
      <c r="D2859" s="3">
        <v>38753</v>
      </c>
      <c r="E2859" t="s">
        <v>18</v>
      </c>
      <c r="F2859">
        <v>1</v>
      </c>
      <c r="G2859">
        <v>79975</v>
      </c>
      <c r="H2859">
        <v>79975</v>
      </c>
      <c r="I2859" s="4">
        <v>38686</v>
      </c>
      <c r="J2859" s="5">
        <f t="shared" si="88"/>
        <v>-67</v>
      </c>
      <c r="K2859" s="6" t="str">
        <f t="shared" si="89"/>
        <v>A~0</v>
      </c>
      <c r="L2859" t="str">
        <f>IF(J2859&lt;0,"A~0",VLOOKUP(J2859,[1]作法V!$B$1:$C$9,2,TRUE))</f>
        <v>A~0</v>
      </c>
    </row>
    <row r="2860" spans="1:12">
      <c r="A2860">
        <v>4248</v>
      </c>
      <c r="B2860" t="s">
        <v>51</v>
      </c>
      <c r="C2860" s="3">
        <v>38646</v>
      </c>
      <c r="D2860" s="3">
        <v>38753</v>
      </c>
      <c r="E2860" t="s">
        <v>18</v>
      </c>
      <c r="F2860">
        <v>1</v>
      </c>
      <c r="G2860">
        <v>8789</v>
      </c>
      <c r="H2860">
        <v>8789</v>
      </c>
      <c r="I2860" s="4">
        <v>38686</v>
      </c>
      <c r="J2860" s="5">
        <f t="shared" si="88"/>
        <v>-67</v>
      </c>
      <c r="K2860" s="6" t="str">
        <f t="shared" si="89"/>
        <v>A~0</v>
      </c>
      <c r="L2860" t="str">
        <f>IF(J2860&lt;0,"A~0",VLOOKUP(J2860,[1]作法V!$B$1:$C$9,2,TRUE))</f>
        <v>A~0</v>
      </c>
    </row>
    <row r="2861" spans="1:12">
      <c r="A2861">
        <v>4248</v>
      </c>
      <c r="B2861" t="s">
        <v>51</v>
      </c>
      <c r="C2861" s="3">
        <v>38653</v>
      </c>
      <c r="D2861" s="3">
        <v>38781</v>
      </c>
      <c r="E2861" t="s">
        <v>18</v>
      </c>
      <c r="F2861">
        <v>1</v>
      </c>
      <c r="G2861">
        <v>122160</v>
      </c>
      <c r="H2861">
        <v>122160</v>
      </c>
      <c r="I2861" s="4">
        <v>38686</v>
      </c>
      <c r="J2861" s="5">
        <f t="shared" si="88"/>
        <v>-95</v>
      </c>
      <c r="K2861" s="6" t="str">
        <f t="shared" si="89"/>
        <v>A~0</v>
      </c>
      <c r="L2861" t="str">
        <f>IF(J2861&lt;0,"A~0",VLOOKUP(J2861,[1]作法V!$B$1:$C$9,2,TRUE))</f>
        <v>A~0</v>
      </c>
    </row>
    <row r="2862" spans="1:12">
      <c r="A2862">
        <v>4248</v>
      </c>
      <c r="B2862" t="s">
        <v>51</v>
      </c>
      <c r="C2862" s="3">
        <v>38665</v>
      </c>
      <c r="D2862" s="3">
        <v>38781</v>
      </c>
      <c r="E2862" t="s">
        <v>18</v>
      </c>
      <c r="F2862">
        <v>1</v>
      </c>
      <c r="G2862">
        <v>83491</v>
      </c>
      <c r="H2862">
        <v>83491</v>
      </c>
      <c r="I2862" s="4">
        <v>38686</v>
      </c>
      <c r="J2862" s="5">
        <f t="shared" si="88"/>
        <v>-95</v>
      </c>
      <c r="K2862" s="6" t="str">
        <f t="shared" si="89"/>
        <v>A~0</v>
      </c>
      <c r="L2862" t="str">
        <f>IF(J2862&lt;0,"A~0",VLOOKUP(J2862,[1]作法V!$B$1:$C$9,2,TRUE))</f>
        <v>A~0</v>
      </c>
    </row>
    <row r="2863" spans="1:12">
      <c r="A2863">
        <v>4308</v>
      </c>
      <c r="B2863" t="s">
        <v>52</v>
      </c>
      <c r="C2863" s="3">
        <v>38623</v>
      </c>
      <c r="D2863" s="3">
        <v>38732</v>
      </c>
      <c r="E2863" t="s">
        <v>17</v>
      </c>
      <c r="F2863">
        <v>32.799999999999997</v>
      </c>
      <c r="G2863">
        <v>1470</v>
      </c>
      <c r="H2863">
        <v>48216</v>
      </c>
      <c r="I2863" s="4">
        <v>38686</v>
      </c>
      <c r="J2863" s="5">
        <f t="shared" si="88"/>
        <v>-46</v>
      </c>
      <c r="K2863" s="6" t="str">
        <f t="shared" si="89"/>
        <v>A~0</v>
      </c>
      <c r="L2863" t="str">
        <f>IF(J2863&lt;0,"A~0",VLOOKUP(J2863,[1]作法V!$B$1:$C$9,2,TRUE))</f>
        <v>A~0</v>
      </c>
    </row>
    <row r="2864" spans="1:12">
      <c r="A2864">
        <v>4308</v>
      </c>
      <c r="B2864" t="s">
        <v>52</v>
      </c>
      <c r="C2864" s="3">
        <v>38625</v>
      </c>
      <c r="D2864" s="3">
        <v>38732</v>
      </c>
      <c r="E2864" t="s">
        <v>17</v>
      </c>
      <c r="F2864">
        <v>32.799999999999997</v>
      </c>
      <c r="G2864">
        <v>490</v>
      </c>
      <c r="H2864">
        <v>16072</v>
      </c>
      <c r="I2864" s="4">
        <v>38686</v>
      </c>
      <c r="J2864" s="5">
        <f t="shared" si="88"/>
        <v>-46</v>
      </c>
      <c r="K2864" s="6" t="str">
        <f t="shared" si="89"/>
        <v>A~0</v>
      </c>
      <c r="L2864" t="str">
        <f>IF(J2864&lt;0,"A~0",VLOOKUP(J2864,[1]作法V!$B$1:$C$9,2,TRUE))</f>
        <v>A~0</v>
      </c>
    </row>
    <row r="2865" spans="1:12">
      <c r="A2865">
        <v>4308</v>
      </c>
      <c r="B2865" t="s">
        <v>52</v>
      </c>
      <c r="C2865" s="3">
        <v>38625</v>
      </c>
      <c r="D2865" s="3">
        <v>38732</v>
      </c>
      <c r="E2865" t="s">
        <v>17</v>
      </c>
      <c r="F2865">
        <v>32.799999999999997</v>
      </c>
      <c r="G2865">
        <v>9800</v>
      </c>
      <c r="H2865">
        <v>321440</v>
      </c>
      <c r="I2865" s="4">
        <v>38686</v>
      </c>
      <c r="J2865" s="5">
        <f t="shared" si="88"/>
        <v>-46</v>
      </c>
      <c r="K2865" s="6" t="str">
        <f t="shared" si="89"/>
        <v>A~0</v>
      </c>
      <c r="L2865" t="str">
        <f>IF(J2865&lt;0,"A~0",VLOOKUP(J2865,[1]作法V!$B$1:$C$9,2,TRUE))</f>
        <v>A~0</v>
      </c>
    </row>
    <row r="2866" spans="1:12">
      <c r="A2866">
        <v>4308</v>
      </c>
      <c r="B2866" t="s">
        <v>52</v>
      </c>
      <c r="C2866" s="3">
        <v>38667</v>
      </c>
      <c r="D2866" s="3">
        <v>38763</v>
      </c>
      <c r="E2866" t="s">
        <v>17</v>
      </c>
      <c r="F2866">
        <v>33.634999999999998</v>
      </c>
      <c r="G2866">
        <v>4410</v>
      </c>
      <c r="H2866">
        <v>148330</v>
      </c>
      <c r="I2866" s="4">
        <v>38686</v>
      </c>
      <c r="J2866" s="5">
        <f t="shared" si="88"/>
        <v>-77</v>
      </c>
      <c r="K2866" s="6" t="str">
        <f t="shared" si="89"/>
        <v>A~0</v>
      </c>
      <c r="L2866" t="str">
        <f>IF(J2866&lt;0,"A~0",VLOOKUP(J2866,[1]作法V!$B$1:$C$9,2,TRUE))</f>
        <v>A~0</v>
      </c>
    </row>
    <row r="2867" spans="1:12">
      <c r="A2867">
        <v>4308</v>
      </c>
      <c r="B2867" t="s">
        <v>52</v>
      </c>
      <c r="C2867" s="3">
        <v>38674</v>
      </c>
      <c r="D2867" s="3">
        <v>38791</v>
      </c>
      <c r="E2867" t="s">
        <v>17</v>
      </c>
      <c r="F2867">
        <v>33.634999999999998</v>
      </c>
      <c r="G2867">
        <v>980</v>
      </c>
      <c r="H2867">
        <v>32962</v>
      </c>
      <c r="I2867" s="4">
        <v>38686</v>
      </c>
      <c r="J2867" s="5">
        <f t="shared" si="88"/>
        <v>-105</v>
      </c>
      <c r="K2867" s="6" t="str">
        <f t="shared" si="89"/>
        <v>A~0</v>
      </c>
      <c r="L2867" t="str">
        <f>IF(J2867&lt;0,"A~0",VLOOKUP(J2867,[1]作法V!$B$1:$C$9,2,TRUE))</f>
        <v>A~0</v>
      </c>
    </row>
    <row r="2868" spans="1:12">
      <c r="A2868">
        <v>4508</v>
      </c>
      <c r="B2868" t="s">
        <v>53</v>
      </c>
      <c r="C2868" s="3">
        <v>38579</v>
      </c>
      <c r="D2868" s="3">
        <v>38666</v>
      </c>
      <c r="E2868" t="s">
        <v>18</v>
      </c>
      <c r="F2868">
        <v>1</v>
      </c>
      <c r="G2868">
        <v>1978</v>
      </c>
      <c r="H2868">
        <v>1978</v>
      </c>
      <c r="I2868" s="4">
        <v>38686</v>
      </c>
      <c r="J2868" s="5">
        <f t="shared" si="88"/>
        <v>20</v>
      </c>
      <c r="K2868" s="6" t="str">
        <f t="shared" si="89"/>
        <v>B1~30</v>
      </c>
      <c r="L2868" t="str">
        <f>IF(J2868&lt;0,"A~0",VLOOKUP(J2868,[1]作法V!$B$1:$C$9,2,TRUE))</f>
        <v>B1~30</v>
      </c>
    </row>
    <row r="2869" spans="1:12">
      <c r="A2869">
        <v>4508</v>
      </c>
      <c r="B2869" t="s">
        <v>53</v>
      </c>
      <c r="C2869" s="3">
        <v>38625</v>
      </c>
      <c r="D2869" s="3">
        <v>38696</v>
      </c>
      <c r="E2869" t="s">
        <v>18</v>
      </c>
      <c r="F2869">
        <v>1</v>
      </c>
      <c r="G2869">
        <v>495</v>
      </c>
      <c r="H2869">
        <v>495</v>
      </c>
      <c r="I2869" s="4">
        <v>38686</v>
      </c>
      <c r="J2869" s="5">
        <f t="shared" si="88"/>
        <v>-10</v>
      </c>
      <c r="K2869" s="6" t="str">
        <f t="shared" si="89"/>
        <v>A~0</v>
      </c>
      <c r="L2869" t="str">
        <f>IF(J2869&lt;0,"A~0",VLOOKUP(J2869,[1]作法V!$B$1:$C$9,2,TRUE))</f>
        <v>A~0</v>
      </c>
    </row>
    <row r="2870" spans="1:12">
      <c r="A2870">
        <v>4508</v>
      </c>
      <c r="B2870" t="s">
        <v>53</v>
      </c>
      <c r="C2870" s="3">
        <v>38625</v>
      </c>
      <c r="D2870" s="3">
        <v>38696</v>
      </c>
      <c r="E2870" t="s">
        <v>18</v>
      </c>
      <c r="F2870">
        <v>1</v>
      </c>
      <c r="G2870">
        <v>114750</v>
      </c>
      <c r="H2870">
        <v>114750</v>
      </c>
      <c r="I2870" s="4">
        <v>38686</v>
      </c>
      <c r="J2870" s="5">
        <f t="shared" si="88"/>
        <v>-10</v>
      </c>
      <c r="K2870" s="6" t="str">
        <f t="shared" si="89"/>
        <v>A~0</v>
      </c>
      <c r="L2870" t="str">
        <f>IF(J2870&lt;0,"A~0",VLOOKUP(J2870,[1]作法V!$B$1:$C$9,2,TRUE))</f>
        <v>A~0</v>
      </c>
    </row>
    <row r="2871" spans="1:12">
      <c r="A2871">
        <v>4508</v>
      </c>
      <c r="B2871" t="s">
        <v>53</v>
      </c>
      <c r="C2871" s="3">
        <v>38652</v>
      </c>
      <c r="D2871" s="3">
        <v>38727</v>
      </c>
      <c r="E2871" t="s">
        <v>18</v>
      </c>
      <c r="F2871">
        <v>1</v>
      </c>
      <c r="G2871">
        <v>1257</v>
      </c>
      <c r="H2871">
        <v>1257</v>
      </c>
      <c r="I2871" s="4">
        <v>38686</v>
      </c>
      <c r="J2871" s="5">
        <f t="shared" si="88"/>
        <v>-41</v>
      </c>
      <c r="K2871" s="6" t="str">
        <f t="shared" si="89"/>
        <v>A~0</v>
      </c>
      <c r="L2871" t="str">
        <f>IF(J2871&lt;0,"A~0",VLOOKUP(J2871,[1]作法V!$B$1:$C$9,2,TRUE))</f>
        <v>A~0</v>
      </c>
    </row>
    <row r="2872" spans="1:12">
      <c r="A2872">
        <v>4508</v>
      </c>
      <c r="B2872" t="s">
        <v>53</v>
      </c>
      <c r="C2872" s="3">
        <v>38652</v>
      </c>
      <c r="D2872" s="3">
        <v>38727</v>
      </c>
      <c r="E2872" t="s">
        <v>18</v>
      </c>
      <c r="F2872">
        <v>1</v>
      </c>
      <c r="G2872">
        <v>113103</v>
      </c>
      <c r="H2872">
        <v>113103</v>
      </c>
      <c r="I2872" s="4">
        <v>38686</v>
      </c>
      <c r="J2872" s="5">
        <f t="shared" si="88"/>
        <v>-41</v>
      </c>
      <c r="K2872" s="6" t="str">
        <f t="shared" si="89"/>
        <v>A~0</v>
      </c>
      <c r="L2872" t="str">
        <f>IF(J2872&lt;0,"A~0",VLOOKUP(J2872,[1]作法V!$B$1:$C$9,2,TRUE))</f>
        <v>A~0</v>
      </c>
    </row>
    <row r="2873" spans="1:12">
      <c r="A2873">
        <v>4508</v>
      </c>
      <c r="B2873" t="s">
        <v>53</v>
      </c>
      <c r="C2873" s="3">
        <v>38652</v>
      </c>
      <c r="D2873" s="3">
        <v>38727</v>
      </c>
      <c r="E2873" t="s">
        <v>18</v>
      </c>
      <c r="F2873">
        <v>1</v>
      </c>
      <c r="G2873">
        <v>10879</v>
      </c>
      <c r="H2873">
        <v>10879</v>
      </c>
      <c r="I2873" s="4">
        <v>38686</v>
      </c>
      <c r="J2873" s="5">
        <f t="shared" si="88"/>
        <v>-41</v>
      </c>
      <c r="K2873" s="6" t="str">
        <f t="shared" si="89"/>
        <v>A~0</v>
      </c>
      <c r="L2873" t="str">
        <f>IF(J2873&lt;0,"A~0",VLOOKUP(J2873,[1]作法V!$B$1:$C$9,2,TRUE))</f>
        <v>A~0</v>
      </c>
    </row>
    <row r="2874" spans="1:12">
      <c r="A2874">
        <v>4508</v>
      </c>
      <c r="B2874" t="s">
        <v>53</v>
      </c>
      <c r="C2874" s="3">
        <v>38652</v>
      </c>
      <c r="D2874" s="3">
        <v>38727</v>
      </c>
      <c r="E2874" t="s">
        <v>18</v>
      </c>
      <c r="F2874">
        <v>1</v>
      </c>
      <c r="G2874">
        <v>35200</v>
      </c>
      <c r="H2874">
        <v>35200</v>
      </c>
      <c r="I2874" s="4">
        <v>38686</v>
      </c>
      <c r="J2874" s="5">
        <f t="shared" si="88"/>
        <v>-41</v>
      </c>
      <c r="K2874" s="6" t="str">
        <f t="shared" si="89"/>
        <v>A~0</v>
      </c>
      <c r="L2874" t="str">
        <f>IF(J2874&lt;0,"A~0",VLOOKUP(J2874,[1]作法V!$B$1:$C$9,2,TRUE))</f>
        <v>A~0</v>
      </c>
    </row>
    <row r="2875" spans="1:12">
      <c r="A2875">
        <v>4508</v>
      </c>
      <c r="B2875" t="s">
        <v>53</v>
      </c>
      <c r="C2875" s="3">
        <v>38652</v>
      </c>
      <c r="D2875" s="3">
        <v>38727</v>
      </c>
      <c r="E2875" t="s">
        <v>18</v>
      </c>
      <c r="F2875">
        <v>1</v>
      </c>
      <c r="G2875">
        <v>2250</v>
      </c>
      <c r="H2875">
        <v>2250</v>
      </c>
      <c r="I2875" s="4">
        <v>38686</v>
      </c>
      <c r="J2875" s="5">
        <f t="shared" si="88"/>
        <v>-41</v>
      </c>
      <c r="K2875" s="6" t="str">
        <f t="shared" si="89"/>
        <v>A~0</v>
      </c>
      <c r="L2875" t="str">
        <f>IF(J2875&lt;0,"A~0",VLOOKUP(J2875,[1]作法V!$B$1:$C$9,2,TRUE))</f>
        <v>A~0</v>
      </c>
    </row>
    <row r="2876" spans="1:12">
      <c r="A2876">
        <v>4508</v>
      </c>
      <c r="B2876" t="s">
        <v>53</v>
      </c>
      <c r="C2876" s="3">
        <v>38664</v>
      </c>
      <c r="D2876" s="3">
        <v>38758</v>
      </c>
      <c r="E2876" t="s">
        <v>18</v>
      </c>
      <c r="F2876">
        <v>1</v>
      </c>
      <c r="G2876">
        <v>20250</v>
      </c>
      <c r="H2876">
        <v>20250</v>
      </c>
      <c r="I2876" s="4">
        <v>38686</v>
      </c>
      <c r="J2876" s="5">
        <f t="shared" si="88"/>
        <v>-72</v>
      </c>
      <c r="K2876" s="6" t="str">
        <f t="shared" si="89"/>
        <v>A~0</v>
      </c>
      <c r="L2876" t="str">
        <f>IF(J2876&lt;0,"A~0",VLOOKUP(J2876,[1]作法V!$B$1:$C$9,2,TRUE))</f>
        <v>A~0</v>
      </c>
    </row>
    <row r="2877" spans="1:12">
      <c r="A2877">
        <v>4508</v>
      </c>
      <c r="B2877" t="s">
        <v>53</v>
      </c>
      <c r="C2877" s="3">
        <v>38681</v>
      </c>
      <c r="D2877" s="3">
        <v>38758</v>
      </c>
      <c r="E2877" t="s">
        <v>18</v>
      </c>
      <c r="F2877">
        <v>1</v>
      </c>
      <c r="G2877">
        <v>54821</v>
      </c>
      <c r="H2877">
        <v>54821</v>
      </c>
      <c r="I2877" s="4">
        <v>38686</v>
      </c>
      <c r="J2877" s="5">
        <f t="shared" si="88"/>
        <v>-72</v>
      </c>
      <c r="K2877" s="6" t="str">
        <f t="shared" si="89"/>
        <v>A~0</v>
      </c>
      <c r="L2877" t="str">
        <f>IF(J2877&lt;0,"A~0",VLOOKUP(J2877,[1]作法V!$B$1:$C$9,2,TRUE))</f>
        <v>A~0</v>
      </c>
    </row>
    <row r="2878" spans="1:12">
      <c r="A2878">
        <v>4508</v>
      </c>
      <c r="B2878" t="s">
        <v>53</v>
      </c>
      <c r="C2878" s="3">
        <v>38681</v>
      </c>
      <c r="D2878" s="3">
        <v>38758</v>
      </c>
      <c r="E2878" t="s">
        <v>18</v>
      </c>
      <c r="F2878">
        <v>1</v>
      </c>
      <c r="G2878">
        <v>45000</v>
      </c>
      <c r="H2878">
        <v>45000</v>
      </c>
      <c r="I2878" s="4">
        <v>38686</v>
      </c>
      <c r="J2878" s="5">
        <f t="shared" si="88"/>
        <v>-72</v>
      </c>
      <c r="K2878" s="6" t="str">
        <f t="shared" si="89"/>
        <v>A~0</v>
      </c>
      <c r="L2878" t="str">
        <f>IF(J2878&lt;0,"A~0",VLOOKUP(J2878,[1]作法V!$B$1:$C$9,2,TRUE))</f>
        <v>A~0</v>
      </c>
    </row>
    <row r="2879" spans="1:12">
      <c r="A2879">
        <v>4508</v>
      </c>
      <c r="B2879" t="s">
        <v>53</v>
      </c>
      <c r="C2879" s="3">
        <v>38686</v>
      </c>
      <c r="D2879" s="3">
        <v>38758</v>
      </c>
      <c r="E2879" t="s">
        <v>18</v>
      </c>
      <c r="F2879">
        <v>1</v>
      </c>
      <c r="G2879">
        <v>32043</v>
      </c>
      <c r="H2879">
        <v>32043</v>
      </c>
      <c r="I2879" s="4">
        <v>38686</v>
      </c>
      <c r="J2879" s="5">
        <f t="shared" si="88"/>
        <v>-72</v>
      </c>
      <c r="K2879" s="6" t="str">
        <f t="shared" si="89"/>
        <v>A~0</v>
      </c>
      <c r="L2879" t="str">
        <f>IF(J2879&lt;0,"A~0",VLOOKUP(J2879,[1]作法V!$B$1:$C$9,2,TRUE))</f>
        <v>A~0</v>
      </c>
    </row>
    <row r="2880" spans="1:12">
      <c r="A2880">
        <v>4508</v>
      </c>
      <c r="B2880" t="s">
        <v>53</v>
      </c>
      <c r="C2880" s="3">
        <v>38686</v>
      </c>
      <c r="D2880" s="3">
        <v>38758</v>
      </c>
      <c r="E2880" t="s">
        <v>18</v>
      </c>
      <c r="F2880">
        <v>1</v>
      </c>
      <c r="G2880">
        <v>1920</v>
      </c>
      <c r="H2880">
        <v>1920</v>
      </c>
      <c r="I2880" s="4">
        <v>38686</v>
      </c>
      <c r="J2880" s="5">
        <f t="shared" si="88"/>
        <v>-72</v>
      </c>
      <c r="K2880" s="6" t="str">
        <f t="shared" si="89"/>
        <v>A~0</v>
      </c>
      <c r="L2880" t="str">
        <f>IF(J2880&lt;0,"A~0",VLOOKUP(J2880,[1]作法V!$B$1:$C$9,2,TRUE))</f>
        <v>A~0</v>
      </c>
    </row>
    <row r="2881" spans="1:12">
      <c r="A2881">
        <v>4628</v>
      </c>
      <c r="B2881" t="s">
        <v>54</v>
      </c>
      <c r="C2881" s="3">
        <v>38621</v>
      </c>
      <c r="D2881" s="3">
        <v>38722</v>
      </c>
      <c r="E2881" t="s">
        <v>18</v>
      </c>
      <c r="F2881">
        <v>1</v>
      </c>
      <c r="G2881">
        <v>56889</v>
      </c>
      <c r="H2881">
        <v>56889</v>
      </c>
      <c r="I2881" s="4">
        <v>38686</v>
      </c>
      <c r="J2881" s="5">
        <f t="shared" si="88"/>
        <v>-36</v>
      </c>
      <c r="K2881" s="6" t="str">
        <f t="shared" si="89"/>
        <v>A~0</v>
      </c>
      <c r="L2881" t="str">
        <f>IF(J2881&lt;0,"A~0",VLOOKUP(J2881,[1]作法V!$B$1:$C$9,2,TRUE))</f>
        <v>A~0</v>
      </c>
    </row>
    <row r="2882" spans="1:12">
      <c r="A2882">
        <v>4628</v>
      </c>
      <c r="B2882" t="s">
        <v>54</v>
      </c>
      <c r="C2882" s="3">
        <v>38628</v>
      </c>
      <c r="D2882" s="3">
        <v>38722</v>
      </c>
      <c r="E2882" t="s">
        <v>18</v>
      </c>
      <c r="F2882">
        <v>1</v>
      </c>
      <c r="G2882">
        <v>113778</v>
      </c>
      <c r="H2882">
        <v>113778</v>
      </c>
      <c r="I2882" s="4">
        <v>38686</v>
      </c>
      <c r="J2882" s="5">
        <f t="shared" ref="J2882:J2894" si="90">I2882-D2882</f>
        <v>-36</v>
      </c>
      <c r="K2882" s="6" t="str">
        <f t="shared" ref="K2882:K2894" si="91">IF(J2882&lt;1,"A~0",IF(J2882&lt;31,"B1~30",IF(J2882&lt;61,"C31~60",IF(J2882&lt;91,"D61~90",IF(J2882&lt;121,"E91~120",IF(J2882&lt;181,"F121~180",IF(J2882&lt;361,"G181~360","H361~")))))))</f>
        <v>A~0</v>
      </c>
      <c r="L2882" t="str">
        <f>IF(J2882&lt;0,"A~0",VLOOKUP(J2882,[1]作法V!$B$1:$C$9,2,TRUE))</f>
        <v>A~0</v>
      </c>
    </row>
    <row r="2883" spans="1:12">
      <c r="A2883">
        <v>4628</v>
      </c>
      <c r="B2883" t="s">
        <v>54</v>
      </c>
      <c r="C2883" s="3">
        <v>38674</v>
      </c>
      <c r="D2883" s="3">
        <v>38753</v>
      </c>
      <c r="E2883" t="s">
        <v>18</v>
      </c>
      <c r="F2883">
        <v>1</v>
      </c>
      <c r="G2883">
        <v>42667</v>
      </c>
      <c r="H2883">
        <v>42667</v>
      </c>
      <c r="I2883" s="4">
        <v>38686</v>
      </c>
      <c r="J2883" s="5">
        <f t="shared" si="90"/>
        <v>-67</v>
      </c>
      <c r="K2883" s="6" t="str">
        <f t="shared" si="91"/>
        <v>A~0</v>
      </c>
      <c r="L2883" t="str">
        <f>IF(J2883&lt;0,"A~0",VLOOKUP(J2883,[1]作法V!$B$1:$C$9,2,TRUE))</f>
        <v>A~0</v>
      </c>
    </row>
    <row r="2884" spans="1:12">
      <c r="A2884">
        <v>4668</v>
      </c>
      <c r="B2884" t="s">
        <v>55</v>
      </c>
      <c r="C2884" s="3">
        <v>38603</v>
      </c>
      <c r="D2884" s="3">
        <v>38666</v>
      </c>
      <c r="E2884" t="s">
        <v>17</v>
      </c>
      <c r="F2884">
        <v>32.195</v>
      </c>
      <c r="G2884">
        <v>516.6</v>
      </c>
      <c r="H2884">
        <v>16632</v>
      </c>
      <c r="I2884" s="4">
        <v>38686</v>
      </c>
      <c r="J2884" s="5">
        <f t="shared" si="90"/>
        <v>20</v>
      </c>
      <c r="K2884" s="6" t="str">
        <f t="shared" si="91"/>
        <v>B1~30</v>
      </c>
      <c r="L2884" t="str">
        <f>IF(J2884&lt;0,"A~0",VLOOKUP(J2884,[1]作法V!$B$1:$C$9,2,TRUE))</f>
        <v>B1~30</v>
      </c>
    </row>
    <row r="2885" spans="1:12">
      <c r="A2885">
        <v>4668</v>
      </c>
      <c r="B2885" t="s">
        <v>55</v>
      </c>
      <c r="C2885" s="3">
        <v>38639</v>
      </c>
      <c r="D2885" s="3">
        <v>38696</v>
      </c>
      <c r="E2885" t="s">
        <v>17</v>
      </c>
      <c r="F2885">
        <v>33.195</v>
      </c>
      <c r="G2885">
        <v>516.6</v>
      </c>
      <c r="H2885">
        <v>17149</v>
      </c>
      <c r="I2885" s="4">
        <v>38686</v>
      </c>
      <c r="J2885" s="5">
        <f t="shared" si="90"/>
        <v>-10</v>
      </c>
      <c r="K2885" s="6" t="str">
        <f t="shared" si="91"/>
        <v>A~0</v>
      </c>
      <c r="L2885" t="str">
        <f>IF(J2885&lt;0,"A~0",VLOOKUP(J2885,[1]作法V!$B$1:$C$9,2,TRUE))</f>
        <v>A~0</v>
      </c>
    </row>
    <row r="2886" spans="1:12">
      <c r="A2886">
        <v>4973</v>
      </c>
      <c r="B2886" t="s">
        <v>57</v>
      </c>
      <c r="C2886" s="3">
        <v>38638</v>
      </c>
      <c r="D2886" s="3">
        <v>38732</v>
      </c>
      <c r="E2886" t="s">
        <v>17</v>
      </c>
      <c r="F2886">
        <v>33.195</v>
      </c>
      <c r="G2886">
        <v>51600</v>
      </c>
      <c r="H2886">
        <v>1712862</v>
      </c>
      <c r="I2886" s="4">
        <v>38686</v>
      </c>
      <c r="J2886" s="5">
        <f t="shared" si="90"/>
        <v>-46</v>
      </c>
      <c r="K2886" s="6" t="str">
        <f t="shared" si="91"/>
        <v>A~0</v>
      </c>
      <c r="L2886" t="str">
        <f>IF(J2886&lt;0,"A~0",VLOOKUP(J2886,[1]作法V!$B$1:$C$9,2,TRUE))</f>
        <v>A~0</v>
      </c>
    </row>
    <row r="2887" spans="1:12">
      <c r="A2887">
        <v>4973</v>
      </c>
      <c r="B2887" t="s">
        <v>57</v>
      </c>
      <c r="C2887" s="3">
        <v>38665</v>
      </c>
      <c r="D2887" s="3">
        <v>38763</v>
      </c>
      <c r="E2887" t="s">
        <v>17</v>
      </c>
      <c r="F2887">
        <v>33.715000000000003</v>
      </c>
      <c r="G2887">
        <v>42500</v>
      </c>
      <c r="H2887">
        <v>1432888</v>
      </c>
      <c r="I2887" s="4">
        <v>38686</v>
      </c>
      <c r="J2887" s="5">
        <f t="shared" si="90"/>
        <v>-77</v>
      </c>
      <c r="K2887" s="6" t="str">
        <f t="shared" si="91"/>
        <v>A~0</v>
      </c>
      <c r="L2887" t="str">
        <f>IF(J2887&lt;0,"A~0",VLOOKUP(J2887,[1]作法V!$B$1:$C$9,2,TRUE))</f>
        <v>A~0</v>
      </c>
    </row>
    <row r="2888" spans="1:12">
      <c r="A2888">
        <v>4973</v>
      </c>
      <c r="B2888" t="s">
        <v>57</v>
      </c>
      <c r="C2888" s="3">
        <v>38684</v>
      </c>
      <c r="D2888" s="3">
        <v>38791</v>
      </c>
      <c r="E2888" t="s">
        <v>17</v>
      </c>
      <c r="F2888">
        <v>33.409999999999997</v>
      </c>
      <c r="G2888">
        <v>472.5</v>
      </c>
      <c r="H2888">
        <v>15786</v>
      </c>
      <c r="I2888" s="4">
        <v>38686</v>
      </c>
      <c r="J2888" s="5">
        <f t="shared" si="90"/>
        <v>-105</v>
      </c>
      <c r="K2888" s="6" t="str">
        <f t="shared" si="91"/>
        <v>A~0</v>
      </c>
      <c r="L2888" t="str">
        <f>IF(J2888&lt;0,"A~0",VLOOKUP(J2888,[1]作法V!$B$1:$C$9,2,TRUE))</f>
        <v>A~0</v>
      </c>
    </row>
    <row r="2889" spans="1:12">
      <c r="A2889">
        <v>4973</v>
      </c>
      <c r="B2889" t="s">
        <v>57</v>
      </c>
      <c r="C2889" s="3">
        <v>38686</v>
      </c>
      <c r="D2889" s="3">
        <v>38791</v>
      </c>
      <c r="E2889" t="s">
        <v>17</v>
      </c>
      <c r="F2889">
        <v>33.409999999999997</v>
      </c>
      <c r="G2889">
        <v>2780.4</v>
      </c>
      <c r="H2889">
        <v>92893</v>
      </c>
      <c r="I2889" s="4">
        <v>38686</v>
      </c>
      <c r="J2889" s="5">
        <f t="shared" si="90"/>
        <v>-105</v>
      </c>
      <c r="K2889" s="6" t="str">
        <f t="shared" si="91"/>
        <v>A~0</v>
      </c>
      <c r="L2889" t="str">
        <f>IF(J2889&lt;0,"A~0",VLOOKUP(J2889,[1]作法V!$B$1:$C$9,2,TRUE))</f>
        <v>A~0</v>
      </c>
    </row>
    <row r="2890" spans="1:12">
      <c r="A2890">
        <v>5053</v>
      </c>
      <c r="B2890" t="s">
        <v>56</v>
      </c>
      <c r="C2890" s="3">
        <v>38656</v>
      </c>
      <c r="D2890" s="3">
        <v>38737</v>
      </c>
      <c r="E2890" t="s">
        <v>17</v>
      </c>
      <c r="F2890">
        <v>33.4</v>
      </c>
      <c r="G2890">
        <v>700</v>
      </c>
      <c r="H2890">
        <v>23380</v>
      </c>
      <c r="I2890" s="4">
        <v>38686</v>
      </c>
      <c r="J2890" s="5">
        <f t="shared" si="90"/>
        <v>-51</v>
      </c>
      <c r="K2890" s="6" t="str">
        <f t="shared" si="91"/>
        <v>A~0</v>
      </c>
      <c r="L2890" t="str">
        <f>IF(J2890&lt;0,"A~0",VLOOKUP(J2890,[1]作法V!$B$1:$C$9,2,TRUE))</f>
        <v>A~0</v>
      </c>
    </row>
    <row r="2891" spans="1:12">
      <c r="A2891">
        <v>5053</v>
      </c>
      <c r="B2891" t="s">
        <v>56</v>
      </c>
      <c r="C2891" s="3">
        <v>38656</v>
      </c>
      <c r="D2891" s="3">
        <v>38737</v>
      </c>
      <c r="E2891" t="s">
        <v>17</v>
      </c>
      <c r="F2891">
        <v>33.4</v>
      </c>
      <c r="G2891">
        <v>812</v>
      </c>
      <c r="H2891">
        <v>27121</v>
      </c>
      <c r="I2891" s="4">
        <v>38686</v>
      </c>
      <c r="J2891" s="5">
        <f t="shared" si="90"/>
        <v>-51</v>
      </c>
      <c r="K2891" s="6" t="str">
        <f t="shared" si="91"/>
        <v>A~0</v>
      </c>
      <c r="L2891" t="str">
        <f>IF(J2891&lt;0,"A~0",VLOOKUP(J2891,[1]作法V!$B$1:$C$9,2,TRUE))</f>
        <v>A~0</v>
      </c>
    </row>
    <row r="2892" spans="1:12">
      <c r="A2892">
        <v>5053</v>
      </c>
      <c r="B2892" t="s">
        <v>56</v>
      </c>
      <c r="C2892" s="3">
        <v>38663</v>
      </c>
      <c r="D2892" s="3">
        <v>38737</v>
      </c>
      <c r="E2892" t="s">
        <v>17</v>
      </c>
      <c r="F2892">
        <v>33.715000000000003</v>
      </c>
      <c r="G2892">
        <v>300</v>
      </c>
      <c r="H2892">
        <v>10115</v>
      </c>
      <c r="I2892" s="4">
        <v>38686</v>
      </c>
      <c r="J2892" s="5">
        <f t="shared" si="90"/>
        <v>-51</v>
      </c>
      <c r="K2892" s="6" t="str">
        <f t="shared" si="91"/>
        <v>A~0</v>
      </c>
      <c r="L2892" t="str">
        <f>IF(J2892&lt;0,"A~0",VLOOKUP(J2892,[1]作法V!$B$1:$C$9,2,TRUE))</f>
        <v>A~0</v>
      </c>
    </row>
    <row r="2893" spans="1:12">
      <c r="A2893">
        <v>5134</v>
      </c>
      <c r="B2893" t="s">
        <v>58</v>
      </c>
      <c r="C2893" s="3">
        <v>38664</v>
      </c>
      <c r="D2893" s="3">
        <v>38812</v>
      </c>
      <c r="E2893" t="s">
        <v>17</v>
      </c>
      <c r="F2893">
        <v>33.715000000000003</v>
      </c>
      <c r="G2893">
        <v>1400</v>
      </c>
      <c r="H2893">
        <v>47201</v>
      </c>
      <c r="I2893" s="4">
        <v>38686</v>
      </c>
      <c r="J2893" s="5">
        <f t="shared" si="90"/>
        <v>-126</v>
      </c>
      <c r="K2893" s="6" t="str">
        <f t="shared" si="91"/>
        <v>A~0</v>
      </c>
      <c r="L2893" t="str">
        <f>IF(J2893&lt;0,"A~0",VLOOKUP(J2893,[1]作法V!$B$1:$C$9,2,TRUE))</f>
        <v>A~0</v>
      </c>
    </row>
    <row r="2894" spans="1:12">
      <c r="A2894">
        <v>5134</v>
      </c>
      <c r="B2894" t="s">
        <v>58</v>
      </c>
      <c r="C2894" s="3">
        <v>38681</v>
      </c>
      <c r="D2894" s="3">
        <v>38842</v>
      </c>
      <c r="E2894" t="s">
        <v>17</v>
      </c>
      <c r="F2894">
        <v>33.409999999999997</v>
      </c>
      <c r="G2894">
        <v>700</v>
      </c>
      <c r="H2894">
        <v>23387</v>
      </c>
      <c r="I2894" s="4">
        <v>38686</v>
      </c>
      <c r="J2894" s="5">
        <f t="shared" si="90"/>
        <v>-156</v>
      </c>
      <c r="K2894" s="6" t="str">
        <f t="shared" si="91"/>
        <v>A~0</v>
      </c>
      <c r="L2894" t="str">
        <f>IF(J2894&lt;0,"A~0",VLOOKUP(J2894,[1]作法V!$B$1:$C$9,2,TRUE))</f>
        <v>A~0</v>
      </c>
    </row>
    <row r="2895" spans="1:12" ht="17.25" thickBot="1">
      <c r="G2895" s="7">
        <f>SUBTOTAL(9,G124:G2894)</f>
        <v>120914884.60000007</v>
      </c>
      <c r="H2895" s="7">
        <f>SUBTOTAL(9,H124:H2894)</f>
        <v>243271993</v>
      </c>
    </row>
    <row r="2896" spans="1:12" ht="17.25" thickTop="1">
      <c r="E2896" s="9"/>
      <c r="F2896" s="8"/>
      <c r="G2896" s="8"/>
      <c r="H2896" s="8"/>
      <c r="I2896" s="8"/>
    </row>
  </sheetData>
  <dataConsolidate/>
  <phoneticPr fontId="2" type="noConversion"/>
  <pageMargins left="0.75" right="0.75" top="1" bottom="1" header="0.5" footer="0.5"/>
  <pageSetup paperSize="0" orientation="portrait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I2"/>
  <sheetViews>
    <sheetView workbookViewId="0">
      <selection activeCell="B26" sqref="B26"/>
    </sheetView>
  </sheetViews>
  <sheetFormatPr defaultRowHeight="16.5"/>
  <cols>
    <col min="1" max="1" width="28.625" customWidth="1"/>
    <col min="2" max="2" width="12" customWidth="1"/>
    <col min="3" max="3" width="10.75" customWidth="1"/>
    <col min="4" max="4" width="9.625" customWidth="1"/>
    <col min="5" max="5" width="8.5" customWidth="1"/>
    <col min="6" max="6" width="9.75" customWidth="1"/>
    <col min="7" max="7" width="10.75" customWidth="1"/>
    <col min="8" max="8" width="11.25" customWidth="1"/>
    <col min="9" max="9" width="9.625" customWidth="1"/>
  </cols>
  <sheetData>
    <row r="1" spans="1:9" ht="63">
      <c r="A1" s="10"/>
      <c r="B1" s="11" t="s">
        <v>0</v>
      </c>
      <c r="C1" s="11" t="s">
        <v>1</v>
      </c>
      <c r="D1" s="11" t="s">
        <v>2</v>
      </c>
      <c r="E1" s="11" t="s">
        <v>3</v>
      </c>
      <c r="F1" s="11" t="s">
        <v>4</v>
      </c>
      <c r="G1" s="11" t="s">
        <v>5</v>
      </c>
      <c r="H1" s="11" t="s">
        <v>6</v>
      </c>
      <c r="I1" s="11" t="s">
        <v>119</v>
      </c>
    </row>
    <row r="2" spans="1:9">
      <c r="A2" s="12" t="s">
        <v>7</v>
      </c>
      <c r="B2" s="13">
        <v>0</v>
      </c>
      <c r="C2" s="13">
        <v>0</v>
      </c>
      <c r="D2" s="13">
        <v>0.02</v>
      </c>
      <c r="E2" s="13">
        <v>0.05</v>
      </c>
      <c r="F2" s="13">
        <v>0.1</v>
      </c>
      <c r="G2" s="13">
        <v>0.15</v>
      </c>
      <c r="H2" s="13">
        <v>0.2</v>
      </c>
      <c r="I2" s="14">
        <v>0.5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B1:C9"/>
  <sheetViews>
    <sheetView workbookViewId="0">
      <selection activeCell="E12" sqref="E12"/>
    </sheetView>
  </sheetViews>
  <sheetFormatPr defaultRowHeight="16.5"/>
  <sheetData>
    <row r="1" spans="2:3">
      <c r="B1" t="s">
        <v>128</v>
      </c>
      <c r="C1" t="s">
        <v>129</v>
      </c>
    </row>
    <row r="2" spans="2:3">
      <c r="B2">
        <v>0</v>
      </c>
      <c r="C2" t="s">
        <v>124</v>
      </c>
    </row>
    <row r="3" spans="2:3">
      <c r="B3">
        <v>1</v>
      </c>
      <c r="C3" t="s">
        <v>121</v>
      </c>
    </row>
    <row r="4" spans="2:3">
      <c r="B4">
        <v>31</v>
      </c>
      <c r="C4" t="s">
        <v>120</v>
      </c>
    </row>
    <row r="5" spans="2:3">
      <c r="B5">
        <v>61</v>
      </c>
      <c r="C5" t="s">
        <v>123</v>
      </c>
    </row>
    <row r="6" spans="2:3">
      <c r="B6">
        <v>91</v>
      </c>
      <c r="C6" t="s">
        <v>127</v>
      </c>
    </row>
    <row r="7" spans="2:3">
      <c r="B7">
        <v>121</v>
      </c>
      <c r="C7" t="s">
        <v>122</v>
      </c>
    </row>
    <row r="8" spans="2:3">
      <c r="B8">
        <v>181</v>
      </c>
      <c r="C8" t="s">
        <v>126</v>
      </c>
    </row>
    <row r="9" spans="2:3">
      <c r="B9">
        <v>361</v>
      </c>
      <c r="C9" t="s">
        <v>125</v>
      </c>
    </row>
  </sheetData>
  <sortState ref="A1:A9">
    <sortCondition ref="A1"/>
  </sortState>
  <phoneticPr fontId="2" type="noConversion"/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客戶明細</vt:lpstr>
      <vt:lpstr>帳齡分析_驗算</vt:lpstr>
      <vt:lpstr>作法V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Lin, Forster C.J. (TW/511511)</dc:creator>
  <cp:lastModifiedBy>user</cp:lastModifiedBy>
  <dcterms:created xsi:type="dcterms:W3CDTF">2005-12-07T03:17:06Z</dcterms:created>
  <dcterms:modified xsi:type="dcterms:W3CDTF">2018-05-08T09:48:22Z</dcterms:modified>
</cp:coreProperties>
</file>